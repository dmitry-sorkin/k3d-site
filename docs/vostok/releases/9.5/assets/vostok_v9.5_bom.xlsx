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/>
  <mc:AlternateContent xmlns:mc="http://schemas.openxmlformats.org/markup-compatibility/2006">
    <mc:Choice Requires="x15">
      <x15ac:absPath xmlns:x15ac="http://schemas.microsoft.com/office/spreadsheetml/2010/11/ac" url="D:\VOSTOK\VOSTOK_9\"/>
    </mc:Choice>
  </mc:AlternateContent>
  <xr:revisionPtr revIDLastSave="0" documentId="13_ncr:1_{E4758AE5-8892-4268-BB4B-0C8F91A8D351}" xr6:coauthVersionLast="47" xr6:coauthVersionMax="47" xr10:uidLastSave="{00000000-0000-0000-0000-000000000000}"/>
  <bookViews>
    <workbookView xWindow="37935" yWindow="0" windowWidth="38250" windowHeight="21705" tabRatio="500" xr2:uid="{00000000-000D-0000-FFFF-FFFF00000000}"/>
  </bookViews>
  <sheets>
    <sheet name="Настройки" sheetId="1" r:id="rId1"/>
    <sheet name="Покупные изд." sheetId="2" r:id="rId2"/>
    <sheet name="Стандартные изд." sheetId="3" r:id="rId3"/>
    <sheet name="Печатные изд." sheetId="4" r:id="rId4"/>
    <sheet name="Профиль" sheetId="5" r:id="rId5"/>
    <sheet name="Зашивка" sheetId="7" r:id="rId6"/>
    <sheet name="Проводка" sheetId="6" r:id="rId7"/>
    <sheet name="Константы" sheetId="8" state="hidden" r:id="rId8"/>
    <sheet name="Расчёты" sheetId="9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53" i="4" l="1" a="1"/>
  <c r="L53" i="4" s="1"/>
  <c r="K53" i="4" a="1"/>
  <c r="K53" i="4" s="1"/>
  <c r="H53" i="4" a="1"/>
  <c r="H53" i="4" s="1"/>
  <c r="I53" i="4" s="1"/>
  <c r="L125" i="4" a="1"/>
  <c r="L125" i="4" s="1"/>
  <c r="K125" i="4" a="1"/>
  <c r="K125" i="4" s="1"/>
  <c r="H125" i="4" a="1"/>
  <c r="H125" i="4" s="1"/>
  <c r="I125" i="4" s="1"/>
  <c r="L121" i="4" a="1"/>
  <c r="L121" i="4" s="1"/>
  <c r="K121" i="4" a="1"/>
  <c r="K121" i="4" s="1"/>
  <c r="H121" i="4" a="1"/>
  <c r="H121" i="4" s="1"/>
  <c r="I121" i="4" s="1"/>
  <c r="H20" i="6"/>
  <c r="J20" i="6" s="1"/>
  <c r="G20" i="6"/>
  <c r="H19" i="6"/>
  <c r="J19" i="6" s="1"/>
  <c r="G19" i="6"/>
  <c r="B42" i="1"/>
  <c r="K124" i="4" a="1"/>
  <c r="K124" i="4" s="1"/>
  <c r="K123" i="4" a="1"/>
  <c r="K123" i="4" s="1"/>
  <c r="K122" i="4" a="1"/>
  <c r="K122" i="4" s="1"/>
  <c r="K120" i="4" a="1"/>
  <c r="K120" i="4" s="1"/>
  <c r="K119" i="4" a="1"/>
  <c r="K119" i="4" s="1"/>
  <c r="K118" i="4" a="1"/>
  <c r="K118" i="4" s="1"/>
  <c r="K117" i="4" a="1"/>
  <c r="K117" i="4" s="1"/>
  <c r="K116" i="4" a="1"/>
  <c r="K116" i="4" s="1"/>
  <c r="K115" i="4" a="1"/>
  <c r="K115" i="4" s="1"/>
  <c r="K114" i="4" a="1"/>
  <c r="K114" i="4" s="1"/>
  <c r="K113" i="4" a="1"/>
  <c r="K113" i="4" s="1"/>
  <c r="K112" i="4" a="1"/>
  <c r="K112" i="4" s="1"/>
  <c r="K111" i="4" a="1"/>
  <c r="K111" i="4" s="1"/>
  <c r="K110" i="4" a="1"/>
  <c r="K110" i="4" s="1"/>
  <c r="K109" i="4" a="1"/>
  <c r="K109" i="4" s="1"/>
  <c r="K108" i="4" a="1"/>
  <c r="K108" i="4" s="1"/>
  <c r="K107" i="4" a="1"/>
  <c r="K107" i="4" s="1"/>
  <c r="K106" i="4" a="1"/>
  <c r="K106" i="4" s="1"/>
  <c r="K105" i="4" a="1"/>
  <c r="K105" i="4" s="1"/>
  <c r="K104" i="4" a="1"/>
  <c r="K104" i="4" s="1"/>
  <c r="K103" i="4" a="1"/>
  <c r="K103" i="4" s="1"/>
  <c r="K102" i="4" a="1"/>
  <c r="K102" i="4" s="1"/>
  <c r="K101" i="4" a="1"/>
  <c r="K101" i="4" s="1"/>
  <c r="K100" i="4" a="1"/>
  <c r="K100" i="4" s="1"/>
  <c r="K99" i="4" a="1"/>
  <c r="K99" i="4" s="1"/>
  <c r="K98" i="4" a="1"/>
  <c r="K98" i="4" s="1"/>
  <c r="K97" i="4" a="1"/>
  <c r="K97" i="4" s="1"/>
  <c r="K96" i="4" a="1"/>
  <c r="K96" i="4" s="1"/>
  <c r="K95" i="4" a="1"/>
  <c r="K95" i="4" s="1"/>
  <c r="K94" i="4" a="1"/>
  <c r="K94" i="4" s="1"/>
  <c r="K93" i="4" a="1"/>
  <c r="K93" i="4" s="1"/>
  <c r="K92" i="4" a="1"/>
  <c r="K92" i="4" s="1"/>
  <c r="K91" i="4" a="1"/>
  <c r="K91" i="4" s="1"/>
  <c r="K90" i="4" a="1"/>
  <c r="K90" i="4" s="1"/>
  <c r="K89" i="4" a="1"/>
  <c r="K89" i="4" s="1"/>
  <c r="K88" i="4" a="1"/>
  <c r="K88" i="4" s="1"/>
  <c r="K87" i="4" a="1"/>
  <c r="K87" i="4" s="1"/>
  <c r="K86" i="4" a="1"/>
  <c r="K86" i="4" s="1"/>
  <c r="K85" i="4" a="1"/>
  <c r="K85" i="4" s="1"/>
  <c r="K84" i="4" a="1"/>
  <c r="K84" i="4" s="1"/>
  <c r="K83" i="4" a="1"/>
  <c r="K83" i="4" s="1"/>
  <c r="K82" i="4" a="1"/>
  <c r="K82" i="4" s="1"/>
  <c r="K81" i="4" a="1"/>
  <c r="K81" i="4" s="1"/>
  <c r="K80" i="4" a="1"/>
  <c r="K80" i="4" s="1"/>
  <c r="K79" i="4" a="1"/>
  <c r="K79" i="4" s="1"/>
  <c r="K78" i="4" a="1"/>
  <c r="K78" i="4" s="1"/>
  <c r="K77" i="4" a="1"/>
  <c r="K77" i="4" s="1"/>
  <c r="K76" i="4" a="1"/>
  <c r="K76" i="4" s="1"/>
  <c r="K75" i="4" a="1"/>
  <c r="K75" i="4" s="1"/>
  <c r="K74" i="4" a="1"/>
  <c r="K74" i="4" s="1"/>
  <c r="K73" i="4" a="1"/>
  <c r="K73" i="4" s="1"/>
  <c r="K72" i="4" a="1"/>
  <c r="K72" i="4" s="1"/>
  <c r="K71" i="4" a="1"/>
  <c r="K71" i="4" s="1"/>
  <c r="K70" i="4" a="1"/>
  <c r="K70" i="4" s="1"/>
  <c r="K69" i="4" a="1"/>
  <c r="K69" i="4" s="1"/>
  <c r="K68" i="4" a="1"/>
  <c r="K68" i="4" s="1"/>
  <c r="K67" i="4" a="1"/>
  <c r="K67" i="4" s="1"/>
  <c r="K66" i="4" a="1"/>
  <c r="K66" i="4" s="1"/>
  <c r="K65" i="4" a="1"/>
  <c r="K65" i="4" s="1"/>
  <c r="K64" i="4" a="1"/>
  <c r="K64" i="4" s="1"/>
  <c r="K63" i="4" a="1"/>
  <c r="K63" i="4" s="1"/>
  <c r="K62" i="4" a="1"/>
  <c r="K62" i="4" s="1"/>
  <c r="K61" i="4" a="1"/>
  <c r="K61" i="4" s="1"/>
  <c r="K60" i="4" a="1"/>
  <c r="K60" i="4" s="1"/>
  <c r="K59" i="4" a="1"/>
  <c r="K59" i="4" s="1"/>
  <c r="K58" i="4" a="1"/>
  <c r="K58" i="4" s="1"/>
  <c r="K57" i="4" a="1"/>
  <c r="K57" i="4" s="1"/>
  <c r="K56" i="4" a="1"/>
  <c r="K56" i="4" s="1"/>
  <c r="K55" i="4" a="1"/>
  <c r="K55" i="4" s="1"/>
  <c r="K54" i="4" a="1"/>
  <c r="K54" i="4" s="1"/>
  <c r="K52" i="4" a="1"/>
  <c r="K52" i="4" s="1"/>
  <c r="K51" i="4" a="1"/>
  <c r="K51" i="4" s="1"/>
  <c r="K50" i="4" a="1"/>
  <c r="K50" i="4" s="1"/>
  <c r="K49" i="4" a="1"/>
  <c r="K49" i="4" s="1"/>
  <c r="K48" i="4" a="1"/>
  <c r="K48" i="4" s="1"/>
  <c r="K47" i="4" a="1"/>
  <c r="K47" i="4" s="1"/>
  <c r="K46" i="4" a="1"/>
  <c r="K46" i="4" s="1"/>
  <c r="K45" i="4" a="1"/>
  <c r="K45" i="4" s="1"/>
  <c r="K44" i="4" a="1"/>
  <c r="K44" i="4" s="1"/>
  <c r="K43" i="4" a="1"/>
  <c r="K43" i="4" s="1"/>
  <c r="K42" i="4" a="1"/>
  <c r="K42" i="4" s="1"/>
  <c r="K41" i="4" a="1"/>
  <c r="K41" i="4" s="1"/>
  <c r="K40" i="4" a="1"/>
  <c r="K40" i="4" s="1"/>
  <c r="K39" i="4" a="1"/>
  <c r="K39" i="4" s="1"/>
  <c r="K38" i="4" a="1"/>
  <c r="K38" i="4" s="1"/>
  <c r="K37" i="4" a="1"/>
  <c r="K37" i="4" s="1"/>
  <c r="K36" i="4" a="1"/>
  <c r="K36" i="4" s="1"/>
  <c r="K35" i="4" a="1"/>
  <c r="K35" i="4" s="1"/>
  <c r="K34" i="4" a="1"/>
  <c r="K34" i="4" s="1"/>
  <c r="K33" i="4" a="1"/>
  <c r="K33" i="4" s="1"/>
  <c r="K32" i="4" a="1"/>
  <c r="K32" i="4" s="1"/>
  <c r="K31" i="4" a="1"/>
  <c r="K31" i="4" s="1"/>
  <c r="K30" i="4" a="1"/>
  <c r="K30" i="4" s="1"/>
  <c r="K29" i="4" a="1"/>
  <c r="K29" i="4" s="1"/>
  <c r="K28" i="4" a="1"/>
  <c r="K28" i="4" s="1"/>
  <c r="K27" i="4" a="1"/>
  <c r="K27" i="4" s="1"/>
  <c r="K26" i="4" a="1"/>
  <c r="K26" i="4" s="1"/>
  <c r="K25" i="4" a="1"/>
  <c r="K25" i="4" s="1"/>
  <c r="K24" i="4" a="1"/>
  <c r="K24" i="4" s="1"/>
  <c r="K23" i="4" a="1"/>
  <c r="K23" i="4" s="1"/>
  <c r="K22" i="4" a="1"/>
  <c r="K22" i="4" s="1"/>
  <c r="K21" i="4" a="1"/>
  <c r="K21" i="4" s="1"/>
  <c r="K20" i="4" a="1"/>
  <c r="K20" i="4" s="1"/>
  <c r="K19" i="4" a="1"/>
  <c r="K19" i="4" s="1"/>
  <c r="K18" i="4" a="1"/>
  <c r="K18" i="4" s="1"/>
  <c r="K17" i="4" a="1"/>
  <c r="K17" i="4" s="1"/>
  <c r="K16" i="4" a="1"/>
  <c r="K16" i="4" s="1"/>
  <c r="K15" i="4" a="1"/>
  <c r="K15" i="4" s="1"/>
  <c r="K14" i="4" a="1"/>
  <c r="K14" i="4" s="1"/>
  <c r="K13" i="4" a="1"/>
  <c r="K13" i="4" s="1"/>
  <c r="K12" i="4" a="1"/>
  <c r="K12" i="4" s="1"/>
  <c r="K11" i="4" a="1"/>
  <c r="K11" i="4" s="1"/>
  <c r="K10" i="4" a="1"/>
  <c r="K10" i="4" s="1"/>
  <c r="K9" i="4" a="1"/>
  <c r="K9" i="4" s="1"/>
  <c r="K8" i="4" a="1"/>
  <c r="K8" i="4" s="1"/>
  <c r="K7" i="4" a="1"/>
  <c r="K7" i="4" s="1"/>
  <c r="K6" i="4" a="1"/>
  <c r="K6" i="4" s="1"/>
  <c r="K5" i="4" a="1"/>
  <c r="K5" i="4" s="1"/>
  <c r="K4" i="4" a="1"/>
  <c r="K4" i="4" s="1"/>
  <c r="K3" i="4" a="1"/>
  <c r="K3" i="4" s="1"/>
  <c r="G13" i="4"/>
  <c r="G12" i="4" s="1"/>
  <c r="H12" i="4" s="1" a="1"/>
  <c r="H12" i="4" s="1"/>
  <c r="L124" i="4" a="1"/>
  <c r="L124" i="4" s="1"/>
  <c r="H124" i="4" a="1"/>
  <c r="H124" i="4" s="1"/>
  <c r="L123" i="4" a="1"/>
  <c r="L123" i="4" s="1"/>
  <c r="H123" i="4" a="1"/>
  <c r="H123" i="4" s="1"/>
  <c r="L122" i="4" a="1"/>
  <c r="L122" i="4" s="1"/>
  <c r="H122" i="4" a="1"/>
  <c r="H122" i="4" s="1"/>
  <c r="L120" i="4" a="1"/>
  <c r="L120" i="4" s="1"/>
  <c r="H120" i="4" a="1"/>
  <c r="H120" i="4" s="1"/>
  <c r="L119" i="4" a="1"/>
  <c r="L119" i="4" s="1"/>
  <c r="H119" i="4" a="1"/>
  <c r="H119" i="4" s="1"/>
  <c r="L118" i="4" a="1"/>
  <c r="L118" i="4" s="1"/>
  <c r="H118" i="4" a="1"/>
  <c r="H118" i="4" s="1"/>
  <c r="L117" i="4" a="1"/>
  <c r="L117" i="4" s="1"/>
  <c r="H117" i="4" a="1"/>
  <c r="H117" i="4" s="1"/>
  <c r="L116" i="4" a="1"/>
  <c r="L116" i="4" s="1"/>
  <c r="H116" i="4" a="1"/>
  <c r="H116" i="4" s="1"/>
  <c r="L115" i="4" a="1"/>
  <c r="L115" i="4" s="1"/>
  <c r="H115" i="4" a="1"/>
  <c r="H115" i="4" s="1"/>
  <c r="L114" i="4" a="1"/>
  <c r="L114" i="4" s="1"/>
  <c r="H114" i="4" a="1"/>
  <c r="H114" i="4" s="1"/>
  <c r="L113" i="4" a="1"/>
  <c r="L113" i="4" s="1"/>
  <c r="H113" i="4" a="1"/>
  <c r="H113" i="4" s="1"/>
  <c r="L112" i="4" a="1"/>
  <c r="L112" i="4" s="1"/>
  <c r="H112" i="4" a="1"/>
  <c r="H112" i="4" s="1"/>
  <c r="L111" i="4" a="1"/>
  <c r="L111" i="4" s="1"/>
  <c r="H111" i="4" a="1"/>
  <c r="H111" i="4" s="1"/>
  <c r="L110" i="4" a="1"/>
  <c r="L110" i="4" s="1"/>
  <c r="H110" i="4" a="1"/>
  <c r="H110" i="4" s="1"/>
  <c r="L109" i="4" a="1"/>
  <c r="L109" i="4" s="1"/>
  <c r="H109" i="4" a="1"/>
  <c r="H109" i="4" s="1"/>
  <c r="L108" i="4" a="1"/>
  <c r="L108" i="4" s="1"/>
  <c r="H108" i="4" a="1"/>
  <c r="H108" i="4" s="1"/>
  <c r="L107" i="4" a="1"/>
  <c r="L107" i="4" s="1"/>
  <c r="H107" i="4" a="1"/>
  <c r="H107" i="4" s="1"/>
  <c r="L106" i="4" a="1"/>
  <c r="L106" i="4" s="1"/>
  <c r="H106" i="4" a="1"/>
  <c r="H106" i="4" s="1"/>
  <c r="L105" i="4" a="1"/>
  <c r="L105" i="4" s="1"/>
  <c r="H105" i="4" a="1"/>
  <c r="H105" i="4" s="1"/>
  <c r="L104" i="4" a="1"/>
  <c r="L104" i="4" s="1"/>
  <c r="H104" i="4" a="1"/>
  <c r="H104" i="4" s="1"/>
  <c r="L103" i="4" a="1"/>
  <c r="L103" i="4" s="1"/>
  <c r="H103" i="4" a="1"/>
  <c r="H103" i="4" s="1"/>
  <c r="L102" i="4" a="1"/>
  <c r="L102" i="4" s="1"/>
  <c r="H102" i="4" a="1"/>
  <c r="H102" i="4" s="1"/>
  <c r="L101" i="4" a="1"/>
  <c r="L101" i="4" s="1"/>
  <c r="H101" i="4" a="1"/>
  <c r="H101" i="4" s="1"/>
  <c r="L100" i="4" a="1"/>
  <c r="L100" i="4" s="1"/>
  <c r="H100" i="4" a="1"/>
  <c r="H100" i="4" s="1"/>
  <c r="L99" i="4" a="1"/>
  <c r="L99" i="4" s="1"/>
  <c r="H99" i="4" a="1"/>
  <c r="H99" i="4" s="1"/>
  <c r="L98" i="4" a="1"/>
  <c r="L98" i="4" s="1"/>
  <c r="H98" i="4" a="1"/>
  <c r="H98" i="4" s="1"/>
  <c r="L97" i="4" a="1"/>
  <c r="L97" i="4" s="1"/>
  <c r="H97" i="4" a="1"/>
  <c r="H97" i="4" s="1"/>
  <c r="L96" i="4" a="1"/>
  <c r="L96" i="4" s="1"/>
  <c r="H96" i="4" a="1"/>
  <c r="H96" i="4" s="1"/>
  <c r="L95" i="4" a="1"/>
  <c r="L95" i="4" s="1"/>
  <c r="H95" i="4" a="1"/>
  <c r="H95" i="4" s="1"/>
  <c r="L94" i="4" a="1"/>
  <c r="L94" i="4" s="1"/>
  <c r="H94" i="4" a="1"/>
  <c r="H94" i="4" s="1"/>
  <c r="L93" i="4" a="1"/>
  <c r="L93" i="4" s="1"/>
  <c r="H93" i="4" a="1"/>
  <c r="H93" i="4" s="1"/>
  <c r="L92" i="4" a="1"/>
  <c r="L92" i="4" s="1"/>
  <c r="H92" i="4" a="1"/>
  <c r="H92" i="4" s="1"/>
  <c r="L91" i="4" a="1"/>
  <c r="L91" i="4" s="1"/>
  <c r="H91" i="4" a="1"/>
  <c r="H91" i="4" s="1"/>
  <c r="L90" i="4" a="1"/>
  <c r="L90" i="4" s="1"/>
  <c r="H90" i="4" a="1"/>
  <c r="H90" i="4" s="1"/>
  <c r="L89" i="4" a="1"/>
  <c r="L89" i="4" s="1"/>
  <c r="H89" i="4" a="1"/>
  <c r="H89" i="4" s="1"/>
  <c r="L88" i="4" a="1"/>
  <c r="L88" i="4" s="1"/>
  <c r="H88" i="4" a="1"/>
  <c r="H88" i="4" s="1"/>
  <c r="L87" i="4" a="1"/>
  <c r="L87" i="4" s="1"/>
  <c r="H87" i="4" a="1"/>
  <c r="H87" i="4" s="1"/>
  <c r="L86" i="4" a="1"/>
  <c r="L86" i="4" s="1"/>
  <c r="H86" i="4" a="1"/>
  <c r="H86" i="4" s="1"/>
  <c r="L85" i="4" a="1"/>
  <c r="L85" i="4" s="1"/>
  <c r="H85" i="4" a="1"/>
  <c r="H85" i="4" s="1"/>
  <c r="L84" i="4" a="1"/>
  <c r="L84" i="4" s="1"/>
  <c r="H84" i="4" a="1"/>
  <c r="H84" i="4" s="1"/>
  <c r="L83" i="4" a="1"/>
  <c r="L83" i="4" s="1"/>
  <c r="H83" i="4" a="1"/>
  <c r="H83" i="4" s="1"/>
  <c r="L82" i="4" a="1"/>
  <c r="L82" i="4" s="1"/>
  <c r="H82" i="4" a="1"/>
  <c r="H82" i="4" s="1"/>
  <c r="L81" i="4" a="1"/>
  <c r="L81" i="4" s="1"/>
  <c r="H81" i="4" a="1"/>
  <c r="H81" i="4" s="1"/>
  <c r="L80" i="4" a="1"/>
  <c r="L80" i="4" s="1"/>
  <c r="H80" i="4" a="1"/>
  <c r="H80" i="4" s="1"/>
  <c r="L79" i="4" a="1"/>
  <c r="L79" i="4" s="1"/>
  <c r="H79" i="4" a="1"/>
  <c r="H79" i="4" s="1"/>
  <c r="L78" i="4" a="1"/>
  <c r="L78" i="4" s="1"/>
  <c r="H78" i="4" a="1"/>
  <c r="H78" i="4" s="1"/>
  <c r="L77" i="4" a="1"/>
  <c r="L77" i="4" s="1"/>
  <c r="H77" i="4" a="1"/>
  <c r="H77" i="4" s="1"/>
  <c r="L76" i="4" a="1"/>
  <c r="L76" i="4" s="1"/>
  <c r="H76" i="4" a="1"/>
  <c r="H76" i="4" s="1"/>
  <c r="L75" i="4" a="1"/>
  <c r="L75" i="4" s="1"/>
  <c r="H75" i="4" a="1"/>
  <c r="H75" i="4" s="1"/>
  <c r="L74" i="4" a="1"/>
  <c r="L74" i="4" s="1"/>
  <c r="H74" i="4" a="1"/>
  <c r="H74" i="4" s="1"/>
  <c r="L73" i="4" a="1"/>
  <c r="L73" i="4" s="1"/>
  <c r="H73" i="4" a="1"/>
  <c r="H73" i="4" s="1"/>
  <c r="L72" i="4" a="1"/>
  <c r="L72" i="4" s="1"/>
  <c r="H72" i="4" a="1"/>
  <c r="H72" i="4" s="1"/>
  <c r="L71" i="4" a="1"/>
  <c r="L71" i="4" s="1"/>
  <c r="H71" i="4" a="1"/>
  <c r="H71" i="4" s="1"/>
  <c r="L70" i="4" a="1"/>
  <c r="L70" i="4" s="1"/>
  <c r="H70" i="4" a="1"/>
  <c r="H70" i="4" s="1"/>
  <c r="L69" i="4" a="1"/>
  <c r="L69" i="4" s="1"/>
  <c r="H69" i="4" a="1"/>
  <c r="H69" i="4" s="1"/>
  <c r="L68" i="4" a="1"/>
  <c r="L68" i="4" s="1"/>
  <c r="H68" i="4" a="1"/>
  <c r="H68" i="4" s="1"/>
  <c r="L67" i="4" a="1"/>
  <c r="L67" i="4" s="1"/>
  <c r="H67" i="4" a="1"/>
  <c r="H67" i="4" s="1"/>
  <c r="L66" i="4" a="1"/>
  <c r="L66" i="4" s="1"/>
  <c r="H66" i="4" a="1"/>
  <c r="H66" i="4" s="1"/>
  <c r="L65" i="4" a="1"/>
  <c r="L65" i="4" s="1"/>
  <c r="H65" i="4" a="1"/>
  <c r="H65" i="4" s="1"/>
  <c r="L64" i="4" a="1"/>
  <c r="L64" i="4" s="1"/>
  <c r="H64" i="4" a="1"/>
  <c r="H64" i="4" s="1"/>
  <c r="L63" i="4" a="1"/>
  <c r="L63" i="4" s="1"/>
  <c r="H63" i="4" a="1"/>
  <c r="H63" i="4" s="1"/>
  <c r="L62" i="4" a="1"/>
  <c r="L62" i="4" s="1"/>
  <c r="H62" i="4" a="1"/>
  <c r="H62" i="4" s="1"/>
  <c r="L61" i="4" a="1"/>
  <c r="L61" i="4" s="1"/>
  <c r="H61" i="4" a="1"/>
  <c r="H61" i="4" s="1"/>
  <c r="L60" i="4" a="1"/>
  <c r="L60" i="4" s="1"/>
  <c r="H60" i="4" a="1"/>
  <c r="H60" i="4" s="1"/>
  <c r="L59" i="4" a="1"/>
  <c r="L59" i="4" s="1"/>
  <c r="H59" i="4" a="1"/>
  <c r="H59" i="4" s="1"/>
  <c r="L58" i="4" a="1"/>
  <c r="L58" i="4" s="1"/>
  <c r="H58" i="4" a="1"/>
  <c r="H58" i="4" s="1"/>
  <c r="L57" i="4" a="1"/>
  <c r="L57" i="4" s="1"/>
  <c r="H57" i="4" a="1"/>
  <c r="H57" i="4" s="1"/>
  <c r="L56" i="4" a="1"/>
  <c r="L56" i="4" s="1"/>
  <c r="H56" i="4" a="1"/>
  <c r="H56" i="4" s="1"/>
  <c r="L55" i="4" a="1"/>
  <c r="L55" i="4" s="1"/>
  <c r="H55" i="4" a="1"/>
  <c r="H55" i="4" s="1"/>
  <c r="L54" i="4" a="1"/>
  <c r="L54" i="4" s="1"/>
  <c r="H54" i="4" a="1"/>
  <c r="H54" i="4" s="1"/>
  <c r="L52" i="4" a="1"/>
  <c r="L52" i="4" s="1"/>
  <c r="H52" i="4" a="1"/>
  <c r="H52" i="4" s="1"/>
  <c r="L51" i="4" a="1"/>
  <c r="L51" i="4" s="1"/>
  <c r="H51" i="4" a="1"/>
  <c r="H51" i="4" s="1"/>
  <c r="L50" i="4" a="1"/>
  <c r="L50" i="4" s="1"/>
  <c r="H50" i="4" a="1"/>
  <c r="H50" i="4" s="1"/>
  <c r="L49" i="4" a="1"/>
  <c r="L49" i="4" s="1"/>
  <c r="H49" i="4" a="1"/>
  <c r="H49" i="4" s="1"/>
  <c r="L48" i="4" a="1"/>
  <c r="L48" i="4" s="1"/>
  <c r="H48" i="4" a="1"/>
  <c r="H48" i="4" s="1"/>
  <c r="L47" i="4" a="1"/>
  <c r="L47" i="4" s="1"/>
  <c r="H47" i="4" a="1"/>
  <c r="H47" i="4" s="1"/>
  <c r="L46" i="4" a="1"/>
  <c r="L46" i="4" s="1"/>
  <c r="H46" i="4" a="1"/>
  <c r="H46" i="4" s="1"/>
  <c r="L45" i="4" a="1"/>
  <c r="L45" i="4" s="1"/>
  <c r="H45" i="4" a="1"/>
  <c r="H45" i="4" s="1"/>
  <c r="L44" i="4" a="1"/>
  <c r="L44" i="4" s="1"/>
  <c r="H44" i="4" a="1"/>
  <c r="H44" i="4" s="1"/>
  <c r="L43" i="4" a="1"/>
  <c r="L43" i="4" s="1"/>
  <c r="H43" i="4" a="1"/>
  <c r="H43" i="4" s="1"/>
  <c r="L42" i="4" a="1"/>
  <c r="L42" i="4" s="1"/>
  <c r="H42" i="4" a="1"/>
  <c r="H42" i="4" s="1"/>
  <c r="L41" i="4" a="1"/>
  <c r="L41" i="4" s="1"/>
  <c r="H41" i="4" a="1"/>
  <c r="H41" i="4" s="1"/>
  <c r="L40" i="4" a="1"/>
  <c r="L40" i="4" s="1"/>
  <c r="H40" i="4" a="1"/>
  <c r="H40" i="4" s="1"/>
  <c r="L39" i="4" a="1"/>
  <c r="L39" i="4" s="1"/>
  <c r="H39" i="4" a="1"/>
  <c r="H39" i="4" s="1"/>
  <c r="L38" i="4" a="1"/>
  <c r="L38" i="4" s="1"/>
  <c r="H38" i="4" a="1"/>
  <c r="H38" i="4" s="1"/>
  <c r="L37" i="4" a="1"/>
  <c r="L37" i="4" s="1"/>
  <c r="H37" i="4" a="1"/>
  <c r="H37" i="4" s="1"/>
  <c r="L36" i="4" a="1"/>
  <c r="L36" i="4" s="1"/>
  <c r="H36" i="4" a="1"/>
  <c r="H36" i="4" s="1"/>
  <c r="L35" i="4" a="1"/>
  <c r="L35" i="4" s="1"/>
  <c r="H35" i="4" a="1"/>
  <c r="H35" i="4" s="1"/>
  <c r="L34" i="4" a="1"/>
  <c r="L34" i="4" s="1"/>
  <c r="H34" i="4" a="1"/>
  <c r="H34" i="4" s="1"/>
  <c r="L33" i="4" a="1"/>
  <c r="L33" i="4" s="1"/>
  <c r="H33" i="4" a="1"/>
  <c r="H33" i="4" s="1"/>
  <c r="L32" i="4" a="1"/>
  <c r="L32" i="4" s="1"/>
  <c r="H32" i="4" a="1"/>
  <c r="H32" i="4" s="1"/>
  <c r="L31" i="4" a="1"/>
  <c r="L31" i="4" s="1"/>
  <c r="H31" i="4" a="1"/>
  <c r="H31" i="4" s="1"/>
  <c r="L30" i="4" a="1"/>
  <c r="L30" i="4" s="1"/>
  <c r="H30" i="4" a="1"/>
  <c r="H30" i="4" s="1"/>
  <c r="L29" i="4" a="1"/>
  <c r="L29" i="4" s="1"/>
  <c r="H29" i="4" a="1"/>
  <c r="H29" i="4" s="1"/>
  <c r="L28" i="4" a="1"/>
  <c r="L28" i="4" s="1"/>
  <c r="H28" i="4" a="1"/>
  <c r="H28" i="4" s="1"/>
  <c r="L27" i="4" a="1"/>
  <c r="L27" i="4" s="1"/>
  <c r="H27" i="4" a="1"/>
  <c r="H27" i="4" s="1"/>
  <c r="L26" i="4" a="1"/>
  <c r="L26" i="4" s="1"/>
  <c r="H26" i="4" a="1"/>
  <c r="H26" i="4" s="1"/>
  <c r="L25" i="4" a="1"/>
  <c r="L25" i="4" s="1"/>
  <c r="H25" i="4" a="1"/>
  <c r="H25" i="4" s="1"/>
  <c r="L24" i="4" a="1"/>
  <c r="L24" i="4" s="1"/>
  <c r="H24" i="4" a="1"/>
  <c r="H24" i="4" s="1"/>
  <c r="L23" i="4" a="1"/>
  <c r="L23" i="4" s="1"/>
  <c r="H23" i="4" a="1"/>
  <c r="H23" i="4" s="1"/>
  <c r="L22" i="4" a="1"/>
  <c r="L22" i="4" s="1"/>
  <c r="H22" i="4" a="1"/>
  <c r="H22" i="4" s="1"/>
  <c r="L21" i="4" a="1"/>
  <c r="L21" i="4" s="1"/>
  <c r="H21" i="4" a="1"/>
  <c r="H21" i="4" s="1"/>
  <c r="L20" i="4" a="1"/>
  <c r="L20" i="4" s="1"/>
  <c r="H20" i="4" a="1"/>
  <c r="H20" i="4" s="1"/>
  <c r="L19" i="4" a="1"/>
  <c r="L19" i="4" s="1"/>
  <c r="H19" i="4" a="1"/>
  <c r="H19" i="4" s="1"/>
  <c r="L18" i="4" a="1"/>
  <c r="L18" i="4" s="1"/>
  <c r="H18" i="4" a="1"/>
  <c r="H18" i="4" s="1"/>
  <c r="L17" i="4" a="1"/>
  <c r="L17" i="4" s="1"/>
  <c r="H17" i="4" a="1"/>
  <c r="H17" i="4" s="1"/>
  <c r="L16" i="4" a="1"/>
  <c r="L16" i="4" s="1"/>
  <c r="H16" i="4" a="1"/>
  <c r="H16" i="4" s="1"/>
  <c r="L15" i="4" a="1"/>
  <c r="L15" i="4" s="1"/>
  <c r="H15" i="4" a="1"/>
  <c r="H15" i="4" s="1"/>
  <c r="L14" i="4" a="1"/>
  <c r="L14" i="4" s="1"/>
  <c r="H14" i="4" a="1"/>
  <c r="H14" i="4" s="1"/>
  <c r="L13" i="4" a="1"/>
  <c r="L13" i="4" s="1"/>
  <c r="L12" i="4" a="1"/>
  <c r="L12" i="4" s="1"/>
  <c r="L11" i="4" a="1"/>
  <c r="L11" i="4" s="1"/>
  <c r="H11" i="4" a="1"/>
  <c r="H11" i="4" s="1"/>
  <c r="L10" i="4" a="1"/>
  <c r="L10" i="4" s="1"/>
  <c r="H10" i="4" a="1"/>
  <c r="H10" i="4" s="1"/>
  <c r="L9" i="4" a="1"/>
  <c r="L9" i="4" s="1"/>
  <c r="H9" i="4" a="1"/>
  <c r="H9" i="4" s="1"/>
  <c r="L8" i="4" a="1"/>
  <c r="L8" i="4" s="1"/>
  <c r="H8" i="4" a="1"/>
  <c r="H8" i="4" s="1"/>
  <c r="L7" i="4" a="1"/>
  <c r="L7" i="4" s="1"/>
  <c r="H7" i="4" a="1"/>
  <c r="H7" i="4" s="1"/>
  <c r="L6" i="4" a="1"/>
  <c r="L6" i="4" s="1"/>
  <c r="H6" i="4" a="1"/>
  <c r="H6" i="4" s="1"/>
  <c r="L5" i="4" a="1"/>
  <c r="L5" i="4" s="1"/>
  <c r="H5" i="4" a="1"/>
  <c r="H5" i="4" s="1"/>
  <c r="L4" i="4" a="1"/>
  <c r="L4" i="4" s="1"/>
  <c r="H4" i="4" a="1"/>
  <c r="H4" i="4" s="1"/>
  <c r="L3" i="4" a="1"/>
  <c r="L3" i="4" s="1"/>
  <c r="H3" i="4" a="1"/>
  <c r="H3" i="4" s="1"/>
  <c r="I3" i="4" s="1"/>
  <c r="H40" i="3" a="1"/>
  <c r="H40" i="3" s="1"/>
  <c r="H39" i="3" a="1"/>
  <c r="H39" i="3" s="1"/>
  <c r="I39" i="3" s="1"/>
  <c r="H38" i="3" a="1"/>
  <c r="H38" i="3" s="1"/>
  <c r="I38" i="3" s="1"/>
  <c r="H37" i="3" a="1"/>
  <c r="H37" i="3" s="1"/>
  <c r="I37" i="3" s="1"/>
  <c r="H36" i="3" a="1"/>
  <c r="H36" i="3" s="1"/>
  <c r="I36" i="3" s="1"/>
  <c r="H35" i="3" a="1"/>
  <c r="H35" i="3" s="1"/>
  <c r="I35" i="3" s="1"/>
  <c r="H34" i="3" a="1"/>
  <c r="H34" i="3" s="1"/>
  <c r="I34" i="3" s="1"/>
  <c r="H33" i="3" a="1"/>
  <c r="H33" i="3" s="1"/>
  <c r="I33" i="3" s="1"/>
  <c r="H32" i="3" a="1"/>
  <c r="H32" i="3" s="1"/>
  <c r="I32" i="3" s="1"/>
  <c r="H31" i="3" a="1"/>
  <c r="H31" i="3" s="1"/>
  <c r="I31" i="3" s="1"/>
  <c r="H30" i="3" a="1"/>
  <c r="H30" i="3" s="1"/>
  <c r="I30" i="3" s="1"/>
  <c r="H29" i="3" a="1"/>
  <c r="H29" i="3" s="1"/>
  <c r="I29" i="3" s="1"/>
  <c r="H28" i="3" a="1"/>
  <c r="H28" i="3" s="1"/>
  <c r="I28" i="3" s="1"/>
  <c r="H27" i="3" a="1"/>
  <c r="H27" i="3" s="1"/>
  <c r="I27" i="3" s="1"/>
  <c r="H26" i="3" a="1"/>
  <c r="H26" i="3" s="1"/>
  <c r="I26" i="3" s="1"/>
  <c r="H25" i="3" a="1"/>
  <c r="H25" i="3" s="1"/>
  <c r="I25" i="3" s="1"/>
  <c r="H24" i="3" a="1"/>
  <c r="H24" i="3" s="1"/>
  <c r="I24" i="3" s="1"/>
  <c r="H23" i="3" a="1"/>
  <c r="H23" i="3" s="1"/>
  <c r="I23" i="3" s="1"/>
  <c r="H22" i="3" a="1"/>
  <c r="H22" i="3" s="1"/>
  <c r="I22" i="3" s="1"/>
  <c r="H21" i="3" a="1"/>
  <c r="H21" i="3" s="1"/>
  <c r="H20" i="3" a="1"/>
  <c r="H20" i="3" s="1"/>
  <c r="I20" i="3" s="1"/>
  <c r="H19" i="3" a="1"/>
  <c r="H19" i="3" s="1"/>
  <c r="I19" i="3" s="1"/>
  <c r="H18" i="3" a="1"/>
  <c r="H18" i="3" s="1"/>
  <c r="I18" i="3" s="1"/>
  <c r="H17" i="3" a="1"/>
  <c r="H17" i="3" s="1"/>
  <c r="I17" i="3" s="1"/>
  <c r="H16" i="3" a="1"/>
  <c r="H16" i="3" s="1"/>
  <c r="I16" i="3" s="1"/>
  <c r="H15" i="3" a="1"/>
  <c r="H15" i="3" s="1"/>
  <c r="I15" i="3" s="1"/>
  <c r="H14" i="3" a="1"/>
  <c r="H14" i="3" s="1"/>
  <c r="I14" i="3" s="1"/>
  <c r="H13" i="3" a="1"/>
  <c r="H13" i="3" s="1"/>
  <c r="I13" i="3" s="1"/>
  <c r="H12" i="3" a="1"/>
  <c r="H12" i="3" s="1"/>
  <c r="I12" i="3" s="1"/>
  <c r="H11" i="3" a="1"/>
  <c r="H11" i="3" s="1"/>
  <c r="I11" i="3" s="1"/>
  <c r="H10" i="3" a="1"/>
  <c r="H10" i="3" s="1"/>
  <c r="I10" i="3" s="1"/>
  <c r="H9" i="3" a="1"/>
  <c r="H9" i="3" s="1"/>
  <c r="I9" i="3" s="1"/>
  <c r="H8" i="3" a="1"/>
  <c r="H8" i="3" s="1"/>
  <c r="I8" i="3" s="1"/>
  <c r="H7" i="3" a="1"/>
  <c r="H7" i="3" s="1"/>
  <c r="I7" i="3" s="1"/>
  <c r="H6" i="3" a="1"/>
  <c r="H6" i="3" s="1"/>
  <c r="I6" i="3" s="1"/>
  <c r="H5" i="3" a="1"/>
  <c r="H5" i="3" s="1"/>
  <c r="I5" i="3" s="1"/>
  <c r="H4" i="3" a="1"/>
  <c r="H4" i="3" s="1"/>
  <c r="H3" i="3" a="1"/>
  <c r="H3" i="3" s="1"/>
  <c r="I3" i="3" s="1"/>
  <c r="H2" i="3" a="1"/>
  <c r="H2" i="3" s="1"/>
  <c r="I2" i="3" s="1"/>
  <c r="G64" i="2"/>
  <c r="I64" i="2" s="1"/>
  <c r="H65" i="2"/>
  <c r="I65" i="2"/>
  <c r="F65" i="2"/>
  <c r="H64" i="2"/>
  <c r="F64" i="2"/>
  <c r="F57" i="2"/>
  <c r="F32" i="2"/>
  <c r="H34" i="2"/>
  <c r="I34" i="2" s="1"/>
  <c r="H33" i="2"/>
  <c r="I33" i="2" s="1"/>
  <c r="H32" i="2"/>
  <c r="I32" i="2" s="1"/>
  <c r="H30" i="2"/>
  <c r="I30" i="2" s="1"/>
  <c r="F30" i="2"/>
  <c r="H29" i="2"/>
  <c r="I29" i="2" s="1"/>
  <c r="F29" i="2"/>
  <c r="H28" i="2"/>
  <c r="I28" i="2" s="1"/>
  <c r="F28" i="2"/>
  <c r="G11" i="2"/>
  <c r="I11" i="2" s="1"/>
  <c r="E9" i="2"/>
  <c r="F9" i="2" s="1"/>
  <c r="E6" i="2"/>
  <c r="F6" i="2" s="1"/>
  <c r="E5" i="2" a="1"/>
  <c r="E5" i="2" s="1"/>
  <c r="F5" i="2" s="1"/>
  <c r="H6" i="2"/>
  <c r="I6" i="2" s="1"/>
  <c r="B24" i="1" a="1"/>
  <c r="B24" i="1" s="1"/>
  <c r="B23" i="1" a="1"/>
  <c r="B23" i="1" s="1"/>
  <c r="B26" i="1" a="1"/>
  <c r="B26" i="1" s="1"/>
  <c r="B22" i="1" a="1"/>
  <c r="B22" i="1" s="1"/>
  <c r="B21" i="1" a="1"/>
  <c r="B21" i="1" s="1"/>
  <c r="B20" i="1" a="1"/>
  <c r="B20" i="1" s="1"/>
  <c r="B25" i="1" a="1"/>
  <c r="B25" i="1" s="1"/>
  <c r="D7" i="9"/>
  <c r="B7" i="9"/>
  <c r="B6" i="9"/>
  <c r="D5" i="9"/>
  <c r="B5" i="9"/>
  <c r="B2" i="9"/>
  <c r="B4" i="9" s="1"/>
  <c r="H21" i="6"/>
  <c r="J21" i="6" s="1"/>
  <c r="G21" i="6"/>
  <c r="H18" i="6"/>
  <c r="J18" i="6" s="1"/>
  <c r="I17" i="6"/>
  <c r="H17" i="6"/>
  <c r="J17" i="6" s="1"/>
  <c r="G17" i="6"/>
  <c r="I16" i="6"/>
  <c r="H16" i="6"/>
  <c r="G16" i="6"/>
  <c r="I15" i="6"/>
  <c r="H15" i="6"/>
  <c r="J15" i="6" s="1"/>
  <c r="G15" i="6"/>
  <c r="H14" i="6"/>
  <c r="J14" i="6" s="1"/>
  <c r="D14" i="6"/>
  <c r="D18" i="6" s="1"/>
  <c r="G18" i="6" s="1"/>
  <c r="C14" i="6"/>
  <c r="C18" i="6" s="1"/>
  <c r="B14" i="6"/>
  <c r="B18" i="6" s="1"/>
  <c r="I13" i="6"/>
  <c r="H13" i="6"/>
  <c r="G13" i="6"/>
  <c r="I12" i="6"/>
  <c r="H12" i="6"/>
  <c r="J12" i="6" s="1"/>
  <c r="G12" i="6"/>
  <c r="I11" i="6"/>
  <c r="H11" i="6"/>
  <c r="J11" i="6" s="1"/>
  <c r="G11" i="6"/>
  <c r="I10" i="6"/>
  <c r="H10" i="6"/>
  <c r="J10" i="6" s="1"/>
  <c r="G10" i="6"/>
  <c r="I8" i="6"/>
  <c r="H8" i="6"/>
  <c r="G8" i="6"/>
  <c r="I7" i="6"/>
  <c r="H7" i="6"/>
  <c r="G7" i="6"/>
  <c r="I6" i="6"/>
  <c r="H6" i="6"/>
  <c r="G6" i="6"/>
  <c r="I5" i="6"/>
  <c r="H5" i="6"/>
  <c r="J5" i="6" s="1"/>
  <c r="C5" i="6"/>
  <c r="D5" i="6" s="1"/>
  <c r="G5" i="6" s="1"/>
  <c r="I4" i="6"/>
  <c r="H4" i="6"/>
  <c r="G4" i="6"/>
  <c r="K13" i="5"/>
  <c r="M13" i="5" s="1"/>
  <c r="G13" i="5"/>
  <c r="L12" i="5"/>
  <c r="K12" i="5"/>
  <c r="M12" i="5" s="1"/>
  <c r="G12" i="5"/>
  <c r="L11" i="5"/>
  <c r="K11" i="5"/>
  <c r="M11" i="5" s="1"/>
  <c r="G11" i="5"/>
  <c r="L10" i="5"/>
  <c r="K10" i="5"/>
  <c r="M10" i="5" s="1"/>
  <c r="G10" i="5"/>
  <c r="L9" i="5"/>
  <c r="K9" i="5"/>
  <c r="M9" i="5" s="1"/>
  <c r="G9" i="5"/>
  <c r="L8" i="5"/>
  <c r="K8" i="5"/>
  <c r="M8" i="5" s="1"/>
  <c r="G8" i="5"/>
  <c r="L7" i="5"/>
  <c r="K7" i="5"/>
  <c r="M7" i="5" s="1"/>
  <c r="G7" i="5"/>
  <c r="K6" i="5"/>
  <c r="M6" i="5" s="1"/>
  <c r="G6" i="5"/>
  <c r="L5" i="5"/>
  <c r="K5" i="5"/>
  <c r="M5" i="5" s="1"/>
  <c r="G5" i="5"/>
  <c r="L4" i="5"/>
  <c r="K4" i="5"/>
  <c r="M4" i="5" s="1"/>
  <c r="G4" i="5"/>
  <c r="L3" i="5"/>
  <c r="K3" i="5"/>
  <c r="M3" i="5" s="1"/>
  <c r="G3" i="5"/>
  <c r="L2" i="5"/>
  <c r="K2" i="5"/>
  <c r="M2" i="5" s="1"/>
  <c r="G2" i="5"/>
  <c r="K36" i="3"/>
  <c r="K13" i="3"/>
  <c r="K8" i="3"/>
  <c r="K7" i="3"/>
  <c r="K6" i="3"/>
  <c r="K5" i="3"/>
  <c r="K4" i="3"/>
  <c r="K3" i="3"/>
  <c r="K2" i="3"/>
  <c r="H63" i="2"/>
  <c r="G63" i="2"/>
  <c r="F63" i="2"/>
  <c r="C63" i="2"/>
  <c r="D63" i="2" s="1"/>
  <c r="H62" i="2"/>
  <c r="H61" i="2"/>
  <c r="F61" i="2"/>
  <c r="H60" i="2"/>
  <c r="G60" i="2"/>
  <c r="F60" i="2"/>
  <c r="H59" i="2"/>
  <c r="F59" i="2"/>
  <c r="H58" i="2"/>
  <c r="F58" i="2"/>
  <c r="H57" i="2"/>
  <c r="I57" i="2" s="1"/>
  <c r="H56" i="2"/>
  <c r="I56" i="2" s="1"/>
  <c r="F56" i="2"/>
  <c r="H55" i="2"/>
  <c r="I55" i="2" s="1"/>
  <c r="F55" i="2"/>
  <c r="H53" i="2"/>
  <c r="I53" i="2" s="1"/>
  <c r="F53" i="2"/>
  <c r="H52" i="2"/>
  <c r="I52" i="2" s="1"/>
  <c r="F52" i="2"/>
  <c r="H51" i="2"/>
  <c r="I51" i="2" s="1"/>
  <c r="F51" i="2"/>
  <c r="H50" i="2"/>
  <c r="F50" i="2"/>
  <c r="H49" i="2"/>
  <c r="G49" i="2"/>
  <c r="F49" i="2"/>
  <c r="H48" i="2"/>
  <c r="I48" i="2" s="1"/>
  <c r="F48" i="2"/>
  <c r="H47" i="2"/>
  <c r="I47" i="2" s="1"/>
  <c r="F47" i="2"/>
  <c r="H46" i="2"/>
  <c r="I46" i="2" s="1"/>
  <c r="E62" i="2"/>
  <c r="F62" i="2" s="1"/>
  <c r="J62" i="2" s="1"/>
  <c r="H45" i="2"/>
  <c r="I45" i="2" s="1"/>
  <c r="F45" i="2"/>
  <c r="H44" i="2"/>
  <c r="I44" i="2" s="1"/>
  <c r="F44" i="2"/>
  <c r="H43" i="2"/>
  <c r="F43" i="2"/>
  <c r="D43" i="2"/>
  <c r="C43" i="2"/>
  <c r="H42" i="2"/>
  <c r="I42" i="2" s="1"/>
  <c r="F42" i="2"/>
  <c r="H40" i="2"/>
  <c r="I40" i="2" s="1"/>
  <c r="F40" i="2"/>
  <c r="H39" i="2"/>
  <c r="I39" i="2" s="1"/>
  <c r="F39" i="2"/>
  <c r="H38" i="2"/>
  <c r="I38" i="2" s="1"/>
  <c r="F38" i="2"/>
  <c r="H37" i="2"/>
  <c r="I37" i="2" s="1"/>
  <c r="F37" i="2"/>
  <c r="H36" i="2"/>
  <c r="I36" i="2" s="1"/>
  <c r="F36" i="2"/>
  <c r="H35" i="2"/>
  <c r="I35" i="2" s="1"/>
  <c r="F35" i="2"/>
  <c r="E34" i="2"/>
  <c r="F34" i="2" s="1"/>
  <c r="H31" i="2"/>
  <c r="F31" i="2"/>
  <c r="H27" i="2"/>
  <c r="I27" i="2" s="1"/>
  <c r="F27" i="2"/>
  <c r="H26" i="2"/>
  <c r="I26" i="2" s="1"/>
  <c r="F26" i="2"/>
  <c r="H25" i="2"/>
  <c r="I25" i="2" s="1"/>
  <c r="F25" i="2"/>
  <c r="H24" i="2"/>
  <c r="F24" i="2"/>
  <c r="H23" i="2"/>
  <c r="I23" i="2" s="1"/>
  <c r="F23" i="2"/>
  <c r="H22" i="2"/>
  <c r="F22" i="2"/>
  <c r="H21" i="2"/>
  <c r="F21" i="2"/>
  <c r="A21" i="2"/>
  <c r="H19" i="2"/>
  <c r="E19" i="2"/>
  <c r="H18" i="2"/>
  <c r="F18" i="2"/>
  <c r="H17" i="2"/>
  <c r="F17" i="2"/>
  <c r="H16" i="2"/>
  <c r="I16" i="2" s="1"/>
  <c r="F16" i="2"/>
  <c r="H15" i="2"/>
  <c r="I15" i="2" s="1"/>
  <c r="F15" i="2"/>
  <c r="H14" i="2"/>
  <c r="I14" i="2" s="1"/>
  <c r="F14" i="2"/>
  <c r="H13" i="2"/>
  <c r="I13" i="2" s="1"/>
  <c r="F13" i="2"/>
  <c r="H12" i="2"/>
  <c r="I12" i="2" s="1"/>
  <c r="F12" i="2"/>
  <c r="F11" i="2"/>
  <c r="H9" i="2"/>
  <c r="I9" i="2" s="1"/>
  <c r="H8" i="2"/>
  <c r="I8" i="2" s="1"/>
  <c r="F8" i="2"/>
  <c r="H7" i="2"/>
  <c r="I7" i="2" s="1"/>
  <c r="E7" i="2"/>
  <c r="F7" i="2" s="1"/>
  <c r="H5" i="2"/>
  <c r="I5" i="2" s="1"/>
  <c r="H4" i="2"/>
  <c r="I4" i="2" s="1"/>
  <c r="F4" i="2"/>
  <c r="H3" i="2"/>
  <c r="I3" i="2" s="1"/>
  <c r="F3" i="2"/>
  <c r="P53" i="4" l="1"/>
  <c r="O53" i="4"/>
  <c r="N53" i="4"/>
  <c r="M53" i="4"/>
  <c r="Q53" i="4" s="1"/>
  <c r="P125" i="4"/>
  <c r="O125" i="4"/>
  <c r="N125" i="4"/>
  <c r="M125" i="4"/>
  <c r="O121" i="4"/>
  <c r="P121" i="4"/>
  <c r="N121" i="4"/>
  <c r="M121" i="4"/>
  <c r="Q121" i="4" s="1"/>
  <c r="K19" i="6"/>
  <c r="K20" i="6"/>
  <c r="G14" i="6"/>
  <c r="J13" i="6"/>
  <c r="J2" i="3"/>
  <c r="J38" i="3"/>
  <c r="L38" i="3" s="1"/>
  <c r="I4" i="3"/>
  <c r="J4" i="3" s="1"/>
  <c r="L4" i="3" s="1"/>
  <c r="I40" i="3"/>
  <c r="J40" i="3" s="1"/>
  <c r="L40" i="3" s="1"/>
  <c r="J18" i="3"/>
  <c r="L18" i="3" s="1"/>
  <c r="J24" i="3"/>
  <c r="L24" i="3" s="1"/>
  <c r="J26" i="3"/>
  <c r="L26" i="3" s="1"/>
  <c r="I21" i="3"/>
  <c r="J21" i="3" s="1"/>
  <c r="L21" i="3" s="1"/>
  <c r="H13" i="4" a="1"/>
  <c r="H13" i="4" s="1"/>
  <c r="I13" i="4" s="1"/>
  <c r="P3" i="4"/>
  <c r="M3" i="4"/>
  <c r="N3" i="4"/>
  <c r="O3" i="4"/>
  <c r="O78" i="4"/>
  <c r="O120" i="4"/>
  <c r="I116" i="4"/>
  <c r="I108" i="4"/>
  <c r="M108" i="4" s="1"/>
  <c r="I43" i="4"/>
  <c r="I35" i="4"/>
  <c r="I5" i="4"/>
  <c r="I28" i="4"/>
  <c r="I36" i="4"/>
  <c r="I63" i="4"/>
  <c r="I93" i="4"/>
  <c r="I6" i="4"/>
  <c r="I55" i="4"/>
  <c r="N55" i="4" s="1"/>
  <c r="I8" i="4"/>
  <c r="I46" i="4"/>
  <c r="I119" i="4"/>
  <c r="I16" i="4"/>
  <c r="I30" i="4"/>
  <c r="I111" i="4"/>
  <c r="P111" i="4" s="1"/>
  <c r="I104" i="4"/>
  <c r="I9" i="4"/>
  <c r="I73" i="4"/>
  <c r="P73" i="4" s="1"/>
  <c r="I96" i="4"/>
  <c r="N96" i="4" s="1"/>
  <c r="I120" i="4"/>
  <c r="P120" i="4" s="1"/>
  <c r="I7" i="4"/>
  <c r="I71" i="4"/>
  <c r="I65" i="4"/>
  <c r="I88" i="4"/>
  <c r="M88" i="4" s="1"/>
  <c r="I23" i="4"/>
  <c r="I85" i="4"/>
  <c r="I38" i="4"/>
  <c r="I19" i="4"/>
  <c r="I57" i="4"/>
  <c r="N57" i="4" s="1"/>
  <c r="I80" i="4"/>
  <c r="P80" i="4" s="1"/>
  <c r="I24" i="4"/>
  <c r="I17" i="4"/>
  <c r="I48" i="4"/>
  <c r="I74" i="4"/>
  <c r="N74" i="4" s="1"/>
  <c r="I40" i="4"/>
  <c r="I122" i="4"/>
  <c r="P122" i="4" s="1"/>
  <c r="I113" i="4"/>
  <c r="M113" i="4" s="1"/>
  <c r="I32" i="4"/>
  <c r="I106" i="4"/>
  <c r="M106" i="4" s="1"/>
  <c r="I98" i="4"/>
  <c r="M98" i="4" s="1"/>
  <c r="I90" i="4"/>
  <c r="I123" i="4"/>
  <c r="M123" i="4" s="1"/>
  <c r="I101" i="4"/>
  <c r="I14" i="4"/>
  <c r="I21" i="4"/>
  <c r="I76" i="4"/>
  <c r="O76" i="4" s="1"/>
  <c r="I68" i="4"/>
  <c r="M68" i="4" s="1"/>
  <c r="I60" i="4"/>
  <c r="P60" i="4" s="1"/>
  <c r="I11" i="4"/>
  <c r="I82" i="4"/>
  <c r="P82" i="4" s="1"/>
  <c r="I51" i="4"/>
  <c r="O51" i="4" s="1"/>
  <c r="I27" i="4"/>
  <c r="I33" i="4"/>
  <c r="I41" i="4"/>
  <c r="I49" i="4"/>
  <c r="I58" i="4"/>
  <c r="N58" i="4" s="1"/>
  <c r="I66" i="4"/>
  <c r="M66" i="4" s="1"/>
  <c r="I44" i="4"/>
  <c r="I52" i="4"/>
  <c r="I61" i="4"/>
  <c r="P61" i="4" s="1"/>
  <c r="I69" i="4"/>
  <c r="P69" i="4" s="1"/>
  <c r="I77" i="4"/>
  <c r="P77" i="4" s="1"/>
  <c r="I83" i="4"/>
  <c r="O83" i="4" s="1"/>
  <c r="I91" i="4"/>
  <c r="P91" i="4" s="1"/>
  <c r="I99" i="4"/>
  <c r="O99" i="4" s="1"/>
  <c r="I107" i="4"/>
  <c r="P107" i="4" s="1"/>
  <c r="I114" i="4"/>
  <c r="O114" i="4" s="1"/>
  <c r="I4" i="4"/>
  <c r="I12" i="4"/>
  <c r="O12" i="4" s="1"/>
  <c r="I20" i="4"/>
  <c r="I26" i="4"/>
  <c r="I31" i="4"/>
  <c r="I39" i="4"/>
  <c r="I47" i="4"/>
  <c r="I56" i="4"/>
  <c r="P56" i="4" s="1"/>
  <c r="I64" i="4"/>
  <c r="I72" i="4"/>
  <c r="O72" i="4" s="1"/>
  <c r="I78" i="4"/>
  <c r="N78" i="4" s="1"/>
  <c r="I86" i="4"/>
  <c r="I94" i="4"/>
  <c r="I102" i="4"/>
  <c r="I109" i="4"/>
  <c r="N109" i="4" s="1"/>
  <c r="I117" i="4"/>
  <c r="I15" i="4"/>
  <c r="I22" i="4"/>
  <c r="I34" i="4"/>
  <c r="P34" i="4" s="1"/>
  <c r="I42" i="4"/>
  <c r="I50" i="4"/>
  <c r="I59" i="4"/>
  <c r="M59" i="4" s="1"/>
  <c r="I67" i="4"/>
  <c r="M67" i="4" s="1"/>
  <c r="I75" i="4"/>
  <c r="P75" i="4" s="1"/>
  <c r="I81" i="4"/>
  <c r="P81" i="4" s="1"/>
  <c r="I89" i="4"/>
  <c r="P89" i="4" s="1"/>
  <c r="I97" i="4"/>
  <c r="I105" i="4"/>
  <c r="N105" i="4" s="1"/>
  <c r="I112" i="4"/>
  <c r="M112" i="4" s="1"/>
  <c r="I10" i="4"/>
  <c r="I18" i="4"/>
  <c r="I25" i="4"/>
  <c r="I29" i="4"/>
  <c r="I37" i="4"/>
  <c r="I45" i="4"/>
  <c r="I54" i="4"/>
  <c r="P54" i="4" s="1"/>
  <c r="I62" i="4"/>
  <c r="M62" i="4" s="1"/>
  <c r="I70" i="4"/>
  <c r="P70" i="4" s="1"/>
  <c r="I84" i="4"/>
  <c r="N84" i="4" s="1"/>
  <c r="I92" i="4"/>
  <c r="P92" i="4" s="1"/>
  <c r="I100" i="4"/>
  <c r="M100" i="4" s="1"/>
  <c r="I115" i="4"/>
  <c r="N115" i="4" s="1"/>
  <c r="I124" i="4"/>
  <c r="P124" i="4" s="1"/>
  <c r="I79" i="4"/>
  <c r="M79" i="4" s="1"/>
  <c r="I87" i="4"/>
  <c r="M87" i="4" s="1"/>
  <c r="I95" i="4"/>
  <c r="M95" i="4" s="1"/>
  <c r="I103" i="4"/>
  <c r="I110" i="4"/>
  <c r="P110" i="4" s="1"/>
  <c r="I118" i="4"/>
  <c r="M118" i="4" s="1"/>
  <c r="J32" i="3"/>
  <c r="L32" i="3" s="1"/>
  <c r="J34" i="3"/>
  <c r="L34" i="3" s="1"/>
  <c r="J30" i="3"/>
  <c r="L30" i="3" s="1"/>
  <c r="J31" i="3"/>
  <c r="L31" i="3" s="1"/>
  <c r="J13" i="3"/>
  <c r="L13" i="3" s="1"/>
  <c r="J29" i="3"/>
  <c r="L29" i="3" s="1"/>
  <c r="J14" i="3"/>
  <c r="L14" i="3" s="1"/>
  <c r="J16" i="3"/>
  <c r="L16" i="3" s="1"/>
  <c r="L2" i="3"/>
  <c r="J65" i="2"/>
  <c r="J64" i="2"/>
  <c r="J32" i="2"/>
  <c r="J57" i="2"/>
  <c r="J34" i="2"/>
  <c r="J28" i="2"/>
  <c r="J30" i="2"/>
  <c r="J29" i="2"/>
  <c r="J6" i="2"/>
  <c r="J8" i="2"/>
  <c r="J14" i="2"/>
  <c r="I31" i="2"/>
  <c r="J31" i="2" s="1"/>
  <c r="J51" i="2"/>
  <c r="I61" i="2"/>
  <c r="J61" i="2" s="1"/>
  <c r="I49" i="2"/>
  <c r="J49" i="2" s="1"/>
  <c r="I24" i="2"/>
  <c r="J24" i="2" s="1"/>
  <c r="I50" i="2"/>
  <c r="J50" i="2" s="1"/>
  <c r="J36" i="2"/>
  <c r="J11" i="2"/>
  <c r="J23" i="2"/>
  <c r="K21" i="6"/>
  <c r="I60" i="2"/>
  <c r="J60" i="2" s="1"/>
  <c r="J38" i="2"/>
  <c r="O11" i="5"/>
  <c r="J16" i="2"/>
  <c r="O6" i="5"/>
  <c r="J13" i="2"/>
  <c r="J5" i="2"/>
  <c r="J42" i="2"/>
  <c r="D4" i="9"/>
  <c r="D6" i="9"/>
  <c r="J37" i="2"/>
  <c r="K15" i="6"/>
  <c r="J6" i="6"/>
  <c r="K6" i="6" s="1"/>
  <c r="I43" i="2"/>
  <c r="J43" i="2" s="1"/>
  <c r="I58" i="2"/>
  <c r="J58" i="2" s="1"/>
  <c r="J7" i="6"/>
  <c r="K7" i="6" s="1"/>
  <c r="J53" i="2"/>
  <c r="J47" i="2"/>
  <c r="I21" i="2"/>
  <c r="J21" i="2" s="1"/>
  <c r="I19" i="2"/>
  <c r="D19" i="2"/>
  <c r="K10" i="6"/>
  <c r="K11" i="6"/>
  <c r="O13" i="5"/>
  <c r="I17" i="2"/>
  <c r="J17" i="2" s="1"/>
  <c r="J12" i="2"/>
  <c r="K5" i="6"/>
  <c r="F46" i="2"/>
  <c r="J46" i="2" s="1"/>
  <c r="J3" i="2"/>
  <c r="I18" i="2"/>
  <c r="J18" i="2" s="1"/>
  <c r="I59" i="2"/>
  <c r="J59" i="2" s="1"/>
  <c r="J35" i="2"/>
  <c r="J16" i="6"/>
  <c r="K16" i="6" s="1"/>
  <c r="J8" i="6"/>
  <c r="K8" i="6" s="1"/>
  <c r="J7" i="2"/>
  <c r="I22" i="2"/>
  <c r="J22" i="2" s="1"/>
  <c r="J39" i="2"/>
  <c r="K18" i="6"/>
  <c r="J4" i="2"/>
  <c r="K12" i="6"/>
  <c r="J52" i="2"/>
  <c r="J25" i="2"/>
  <c r="J40" i="2"/>
  <c r="O4" i="5"/>
  <c r="J56" i="2"/>
  <c r="J4" i="6"/>
  <c r="K4" i="6" s="1"/>
  <c r="O3" i="5"/>
  <c r="J55" i="2"/>
  <c r="J27" i="2"/>
  <c r="J15" i="2"/>
  <c r="J35" i="3"/>
  <c r="L35" i="3" s="1"/>
  <c r="K14" i="6"/>
  <c r="J22" i="3"/>
  <c r="L22" i="3" s="1"/>
  <c r="O7" i="5"/>
  <c r="J37" i="3"/>
  <c r="L37" i="3" s="1"/>
  <c r="J8" i="3"/>
  <c r="L8" i="3" s="1"/>
  <c r="O8" i="5"/>
  <c r="J44" i="2"/>
  <c r="F33" i="2"/>
  <c r="J33" i="2" s="1"/>
  <c r="J9" i="3"/>
  <c r="L9" i="3" s="1"/>
  <c r="J23" i="3"/>
  <c r="L23" i="3" s="1"/>
  <c r="J26" i="2"/>
  <c r="J45" i="2"/>
  <c r="I63" i="2"/>
  <c r="J63" i="2" s="1"/>
  <c r="J11" i="3"/>
  <c r="L11" i="3" s="1"/>
  <c r="J39" i="3"/>
  <c r="L39" i="3" s="1"/>
  <c r="J25" i="3"/>
  <c r="L25" i="3" s="1"/>
  <c r="O9" i="5"/>
  <c r="O10" i="5"/>
  <c r="K17" i="6"/>
  <c r="J3" i="3"/>
  <c r="L3" i="3" s="1"/>
  <c r="J27" i="3"/>
  <c r="L27" i="3" s="1"/>
  <c r="O2" i="5"/>
  <c r="J15" i="3"/>
  <c r="L15" i="3" s="1"/>
  <c r="O12" i="5"/>
  <c r="J6" i="3"/>
  <c r="L6" i="3" s="1"/>
  <c r="J17" i="3"/>
  <c r="L17" i="3" s="1"/>
  <c r="J48" i="2"/>
  <c r="J9" i="2"/>
  <c r="J19" i="3"/>
  <c r="L19" i="3" s="1"/>
  <c r="K13" i="6"/>
  <c r="J33" i="3"/>
  <c r="L33" i="3" s="1"/>
  <c r="J7" i="3"/>
  <c r="L7" i="3" s="1"/>
  <c r="O5" i="5"/>
  <c r="J10" i="3"/>
  <c r="L10" i="3" s="1"/>
  <c r="D2" i="9"/>
  <c r="B19" i="2" s="1"/>
  <c r="F19" i="2" s="1"/>
  <c r="B3" i="9"/>
  <c r="D3" i="9" s="1"/>
  <c r="C19" i="2" s="1"/>
  <c r="J5" i="3"/>
  <c r="L5" i="3" s="1"/>
  <c r="J12" i="3"/>
  <c r="L12" i="3" s="1"/>
  <c r="J20" i="3"/>
  <c r="L20" i="3" s="1"/>
  <c r="J28" i="3"/>
  <c r="L28" i="3" s="1"/>
  <c r="J36" i="3"/>
  <c r="L36" i="3" s="1"/>
  <c r="Q125" i="4" l="1"/>
  <c r="N51" i="4"/>
  <c r="P51" i="4"/>
  <c r="M51" i="4"/>
  <c r="N108" i="4"/>
  <c r="O110" i="4"/>
  <c r="N110" i="4"/>
  <c r="O68" i="4"/>
  <c r="N76" i="4"/>
  <c r="P78" i="4"/>
  <c r="M80" i="4"/>
  <c r="M110" i="4"/>
  <c r="O109" i="4"/>
  <c r="M57" i="4"/>
  <c r="P79" i="4"/>
  <c r="P68" i="4"/>
  <c r="P109" i="4"/>
  <c r="P96" i="4"/>
  <c r="B39" i="1"/>
  <c r="P67" i="4"/>
  <c r="P88" i="4"/>
  <c r="N81" i="4"/>
  <c r="N75" i="4"/>
  <c r="O95" i="4"/>
  <c r="M81" i="4"/>
  <c r="M75" i="4"/>
  <c r="O80" i="4"/>
  <c r="N80" i="4"/>
  <c r="N79" i="4"/>
  <c r="O79" i="4"/>
  <c r="B43" i="1"/>
  <c r="B41" i="1"/>
  <c r="O74" i="4"/>
  <c r="M78" i="4"/>
  <c r="P95" i="4"/>
  <c r="N95" i="4"/>
  <c r="O111" i="4"/>
  <c r="N111" i="4"/>
  <c r="M96" i="4"/>
  <c r="B38" i="1"/>
  <c r="N13" i="4"/>
  <c r="M13" i="4"/>
  <c r="M76" i="4"/>
  <c r="P72" i="4"/>
  <c r="P59" i="4"/>
  <c r="P76" i="4"/>
  <c r="P115" i="4"/>
  <c r="N56" i="4"/>
  <c r="M115" i="4"/>
  <c r="O96" i="4"/>
  <c r="P99" i="4"/>
  <c r="M92" i="4"/>
  <c r="O115" i="4"/>
  <c r="O100" i="4"/>
  <c r="N100" i="4"/>
  <c r="P74" i="4"/>
  <c r="N68" i="4"/>
  <c r="Q68" i="4" s="1"/>
  <c r="P100" i="4"/>
  <c r="M56" i="4"/>
  <c r="O56" i="4"/>
  <c r="P106" i="4"/>
  <c r="P57" i="4"/>
  <c r="M105" i="4"/>
  <c r="O69" i="4"/>
  <c r="O92" i="4"/>
  <c r="N92" i="4"/>
  <c r="P12" i="4"/>
  <c r="M58" i="4"/>
  <c r="O57" i="4"/>
  <c r="N69" i="4"/>
  <c r="M111" i="4"/>
  <c r="P32" i="4"/>
  <c r="O32" i="4"/>
  <c r="N32" i="4"/>
  <c r="M32" i="4"/>
  <c r="N12" i="4"/>
  <c r="P26" i="4"/>
  <c r="O26" i="4"/>
  <c r="N26" i="4"/>
  <c r="M26" i="4"/>
  <c r="P48" i="4"/>
  <c r="O48" i="4"/>
  <c r="N48" i="4"/>
  <c r="M48" i="4"/>
  <c r="P55" i="4"/>
  <c r="O25" i="4"/>
  <c r="N25" i="4"/>
  <c r="P25" i="4"/>
  <c r="M25" i="4"/>
  <c r="P84" i="4"/>
  <c r="P5" i="4"/>
  <c r="O5" i="4"/>
  <c r="N5" i="4"/>
  <c r="M5" i="4"/>
  <c r="O108" i="4"/>
  <c r="M12" i="4"/>
  <c r="P6" i="4"/>
  <c r="O6" i="4"/>
  <c r="N6" i="4"/>
  <c r="M6" i="4"/>
  <c r="M55" i="4"/>
  <c r="M69" i="4"/>
  <c r="N107" i="4"/>
  <c r="P105" i="4"/>
  <c r="N70" i="4"/>
  <c r="P97" i="4"/>
  <c r="N97" i="4"/>
  <c r="M97" i="4"/>
  <c r="N99" i="4"/>
  <c r="M109" i="4"/>
  <c r="P98" i="4"/>
  <c r="P4" i="4"/>
  <c r="O4" i="4"/>
  <c r="N4" i="4"/>
  <c r="M4" i="4"/>
  <c r="P43" i="4"/>
  <c r="O43" i="4"/>
  <c r="N43" i="4"/>
  <c r="M43" i="4"/>
  <c r="M114" i="4"/>
  <c r="P108" i="4"/>
  <c r="P66" i="4"/>
  <c r="P47" i="4"/>
  <c r="O47" i="4"/>
  <c r="N47" i="4"/>
  <c r="M47" i="4"/>
  <c r="O70" i="4"/>
  <c r="M74" i="4"/>
  <c r="P44" i="4"/>
  <c r="O44" i="4"/>
  <c r="N44" i="4"/>
  <c r="M44" i="4"/>
  <c r="P38" i="4"/>
  <c r="O38" i="4"/>
  <c r="N38" i="4"/>
  <c r="M38" i="4"/>
  <c r="O62" i="4"/>
  <c r="M107" i="4"/>
  <c r="O118" i="4"/>
  <c r="P114" i="4"/>
  <c r="M70" i="4"/>
  <c r="P116" i="4"/>
  <c r="O116" i="4"/>
  <c r="N116" i="4"/>
  <c r="M116" i="4"/>
  <c r="P85" i="4"/>
  <c r="O85" i="4"/>
  <c r="N85" i="4"/>
  <c r="M85" i="4"/>
  <c r="O54" i="4"/>
  <c r="O67" i="4"/>
  <c r="M99" i="4"/>
  <c r="P87" i="4"/>
  <c r="P83" i="4"/>
  <c r="P50" i="4"/>
  <c r="O50" i="4"/>
  <c r="N50" i="4"/>
  <c r="M50" i="4"/>
  <c r="P23" i="4"/>
  <c r="O23" i="4"/>
  <c r="N23" i="4"/>
  <c r="M23" i="4"/>
  <c r="N62" i="4"/>
  <c r="N67" i="4"/>
  <c r="O113" i="4"/>
  <c r="P118" i="4"/>
  <c r="O55" i="4"/>
  <c r="P39" i="4"/>
  <c r="O39" i="4"/>
  <c r="N39" i="4"/>
  <c r="M39" i="4"/>
  <c r="P40" i="4"/>
  <c r="O40" i="4"/>
  <c r="N40" i="4"/>
  <c r="M40" i="4"/>
  <c r="N54" i="4"/>
  <c r="O106" i="4"/>
  <c r="N118" i="4"/>
  <c r="P90" i="4"/>
  <c r="M90" i="4"/>
  <c r="O66" i="4"/>
  <c r="O91" i="4"/>
  <c r="O98" i="4"/>
  <c r="P113" i="4"/>
  <c r="P31" i="4"/>
  <c r="O31" i="4"/>
  <c r="N31" i="4"/>
  <c r="M31" i="4"/>
  <c r="P22" i="4"/>
  <c r="O22" i="4"/>
  <c r="N22" i="4"/>
  <c r="M22" i="4"/>
  <c r="O33" i="4"/>
  <c r="N33" i="4"/>
  <c r="P33" i="4"/>
  <c r="M33" i="4"/>
  <c r="P71" i="4"/>
  <c r="O71" i="4"/>
  <c r="N71" i="4"/>
  <c r="M71" i="4"/>
  <c r="M54" i="4"/>
  <c r="N66" i="4"/>
  <c r="N91" i="4"/>
  <c r="N113" i="4"/>
  <c r="O124" i="4"/>
  <c r="O97" i="4"/>
  <c r="P8" i="4"/>
  <c r="O8" i="4"/>
  <c r="N8" i="4"/>
  <c r="M8" i="4"/>
  <c r="Q8" i="4" s="1"/>
  <c r="N114" i="4"/>
  <c r="P7" i="4"/>
  <c r="O7" i="4"/>
  <c r="N7" i="4"/>
  <c r="M7" i="4"/>
  <c r="O61" i="4"/>
  <c r="M91" i="4"/>
  <c r="N106" i="4"/>
  <c r="N124" i="4"/>
  <c r="P123" i="4"/>
  <c r="P20" i="4"/>
  <c r="O20" i="4"/>
  <c r="N20" i="4"/>
  <c r="M20" i="4"/>
  <c r="P37" i="4"/>
  <c r="O37" i="4"/>
  <c r="N37" i="4"/>
  <c r="M37" i="4"/>
  <c r="P103" i="4"/>
  <c r="O103" i="4"/>
  <c r="N103" i="4"/>
  <c r="M103" i="4"/>
  <c r="P117" i="4"/>
  <c r="O117" i="4"/>
  <c r="N117" i="4"/>
  <c r="M117" i="4"/>
  <c r="N90" i="4"/>
  <c r="N98" i="4"/>
  <c r="M124" i="4"/>
  <c r="P62" i="4"/>
  <c r="P45" i="4"/>
  <c r="O45" i="4"/>
  <c r="N45" i="4"/>
  <c r="M45" i="4"/>
  <c r="P18" i="4"/>
  <c r="O18" i="4"/>
  <c r="N18" i="4"/>
  <c r="M18" i="4"/>
  <c r="P10" i="4"/>
  <c r="O10" i="4"/>
  <c r="N10" i="4"/>
  <c r="M10" i="4"/>
  <c r="O49" i="4"/>
  <c r="P49" i="4"/>
  <c r="N49" i="4"/>
  <c r="M49" i="4"/>
  <c r="N61" i="4"/>
  <c r="O84" i="4"/>
  <c r="O89" i="4"/>
  <c r="O123" i="4"/>
  <c r="P13" i="4"/>
  <c r="P63" i="4"/>
  <c r="O63" i="4"/>
  <c r="N63" i="4"/>
  <c r="M63" i="4"/>
  <c r="P24" i="4"/>
  <c r="O24" i="4"/>
  <c r="N24" i="4"/>
  <c r="M24" i="4"/>
  <c r="O82" i="4"/>
  <c r="M82" i="4"/>
  <c r="N89" i="4"/>
  <c r="N123" i="4"/>
  <c r="O107" i="4"/>
  <c r="N77" i="4"/>
  <c r="M77" i="4"/>
  <c r="P42" i="4"/>
  <c r="O42" i="4"/>
  <c r="N42" i="4"/>
  <c r="M42" i="4"/>
  <c r="O9" i="4"/>
  <c r="N9" i="4"/>
  <c r="P9" i="4"/>
  <c r="M9" i="4"/>
  <c r="O59" i="4"/>
  <c r="M84" i="4"/>
  <c r="M89" i="4"/>
  <c r="O13" i="4"/>
  <c r="P29" i="4"/>
  <c r="O29" i="4"/>
  <c r="N29" i="4"/>
  <c r="M29" i="4"/>
  <c r="N17" i="4"/>
  <c r="P17" i="4"/>
  <c r="O17" i="4"/>
  <c r="M17" i="4"/>
  <c r="P41" i="4"/>
  <c r="N41" i="4"/>
  <c r="O41" i="4"/>
  <c r="M41" i="4"/>
  <c r="P86" i="4"/>
  <c r="O86" i="4"/>
  <c r="N86" i="4"/>
  <c r="M86" i="4"/>
  <c r="P104" i="4"/>
  <c r="O104" i="4"/>
  <c r="N104" i="4"/>
  <c r="M104" i="4"/>
  <c r="N59" i="4"/>
  <c r="O77" i="4"/>
  <c r="O88" i="4"/>
  <c r="O112" i="4"/>
  <c r="N120" i="4"/>
  <c r="P93" i="4"/>
  <c r="O93" i="4"/>
  <c r="N93" i="4"/>
  <c r="M93" i="4"/>
  <c r="M101" i="4"/>
  <c r="P101" i="4"/>
  <c r="O101" i="4"/>
  <c r="N101" i="4"/>
  <c r="P36" i="4"/>
  <c r="O36" i="4"/>
  <c r="N36" i="4"/>
  <c r="M36" i="4"/>
  <c r="P28" i="4"/>
  <c r="O28" i="4"/>
  <c r="N28" i="4"/>
  <c r="M28" i="4"/>
  <c r="P35" i="4"/>
  <c r="O35" i="4"/>
  <c r="N35" i="4"/>
  <c r="M35" i="4"/>
  <c r="P65" i="4"/>
  <c r="O65" i="4"/>
  <c r="N65" i="4"/>
  <c r="M65" i="4"/>
  <c r="O60" i="4"/>
  <c r="N60" i="4"/>
  <c r="M60" i="4"/>
  <c r="N88" i="4"/>
  <c r="P112" i="4"/>
  <c r="M72" i="4"/>
  <c r="N72" i="4"/>
  <c r="P30" i="4"/>
  <c r="O30" i="4"/>
  <c r="N30" i="4"/>
  <c r="M30" i="4"/>
  <c r="N83" i="4"/>
  <c r="N112" i="4"/>
  <c r="O90" i="4"/>
  <c r="O81" i="4"/>
  <c r="P19" i="4"/>
  <c r="O19" i="4"/>
  <c r="N19" i="4"/>
  <c r="M19" i="4"/>
  <c r="O34" i="4"/>
  <c r="N34" i="4"/>
  <c r="M34" i="4"/>
  <c r="P27" i="4"/>
  <c r="O27" i="4"/>
  <c r="N27" i="4"/>
  <c r="M27" i="4"/>
  <c r="M61" i="4"/>
  <c r="P94" i="4"/>
  <c r="O94" i="4"/>
  <c r="N94" i="4"/>
  <c r="M94" i="4"/>
  <c r="O105" i="4"/>
  <c r="M120" i="4"/>
  <c r="P64" i="4"/>
  <c r="O64" i="4"/>
  <c r="N64" i="4"/>
  <c r="M64" i="4"/>
  <c r="P21" i="4"/>
  <c r="O21" i="4"/>
  <c r="N21" i="4"/>
  <c r="M21" i="4"/>
  <c r="P16" i="4"/>
  <c r="O16" i="4"/>
  <c r="N16" i="4"/>
  <c r="M16" i="4"/>
  <c r="Q16" i="4" s="1"/>
  <c r="O58" i="4"/>
  <c r="M83" i="4"/>
  <c r="O87" i="4"/>
  <c r="P58" i="4"/>
  <c r="P46" i="4"/>
  <c r="O46" i="4"/>
  <c r="N46" i="4"/>
  <c r="M46" i="4"/>
  <c r="P52" i="4"/>
  <c r="O52" i="4"/>
  <c r="N52" i="4"/>
  <c r="M52" i="4"/>
  <c r="P15" i="4"/>
  <c r="O15" i="4"/>
  <c r="N15" i="4"/>
  <c r="M15" i="4"/>
  <c r="P102" i="4"/>
  <c r="O102" i="4"/>
  <c r="N102" i="4"/>
  <c r="M102" i="4"/>
  <c r="O73" i="4"/>
  <c r="N73" i="4"/>
  <c r="M73" i="4"/>
  <c r="P11" i="4"/>
  <c r="O11" i="4"/>
  <c r="N11" i="4"/>
  <c r="M11" i="4"/>
  <c r="O75" i="4"/>
  <c r="P14" i="4"/>
  <c r="O14" i="4"/>
  <c r="N14" i="4"/>
  <c r="M14" i="4"/>
  <c r="P119" i="4"/>
  <c r="O119" i="4"/>
  <c r="N119" i="4"/>
  <c r="M119" i="4"/>
  <c r="N82" i="4"/>
  <c r="N87" i="4"/>
  <c r="O122" i="4"/>
  <c r="M122" i="4"/>
  <c r="N122" i="4"/>
  <c r="Q3" i="4"/>
  <c r="B36" i="1"/>
  <c r="B37" i="1"/>
  <c r="B34" i="1"/>
  <c r="J19" i="2"/>
  <c r="B35" i="1" s="1"/>
  <c r="Q23" i="4" l="1"/>
  <c r="Q57" i="4"/>
  <c r="B29" i="1"/>
  <c r="B30" i="1"/>
  <c r="B28" i="1"/>
  <c r="B31" i="1"/>
  <c r="Q40" i="4"/>
  <c r="Q13" i="4"/>
  <c r="Q106" i="4"/>
  <c r="Q50" i="4"/>
  <c r="Q43" i="4"/>
  <c r="Q32" i="4"/>
  <c r="Q82" i="4"/>
  <c r="Q54" i="4"/>
  <c r="Q124" i="4"/>
  <c r="Q51" i="4"/>
  <c r="Q71" i="4"/>
  <c r="Q69" i="4"/>
  <c r="Q41" i="4"/>
  <c r="Q29" i="4"/>
  <c r="Q18" i="4"/>
  <c r="Q95" i="4"/>
  <c r="Q87" i="4"/>
  <c r="Q12" i="4"/>
  <c r="Q90" i="4"/>
  <c r="Q115" i="4"/>
  <c r="Q113" i="4"/>
  <c r="Q25" i="4"/>
  <c r="Q4" i="4"/>
  <c r="Q47" i="4"/>
  <c r="Q48" i="4"/>
  <c r="Q99" i="4"/>
  <c r="Q42" i="4"/>
  <c r="Q70" i="4"/>
  <c r="Q37" i="4"/>
  <c r="Q119" i="4"/>
  <c r="Q118" i="4"/>
  <c r="Q45" i="4"/>
  <c r="Q112" i="4"/>
  <c r="Q102" i="4"/>
  <c r="Q44" i="4"/>
  <c r="Q114" i="4"/>
  <c r="Q63" i="4"/>
  <c r="Q59" i="4"/>
  <c r="Q52" i="4"/>
  <c r="Q89" i="4"/>
  <c r="Q94" i="4"/>
  <c r="Q58" i="4"/>
  <c r="Q73" i="4"/>
  <c r="Q62" i="4"/>
  <c r="Q117" i="4"/>
  <c r="Q75" i="4"/>
  <c r="Q38" i="4"/>
  <c r="Q83" i="4"/>
  <c r="Q67" i="4"/>
  <c r="Q85" i="4"/>
  <c r="Q84" i="4"/>
  <c r="Q81" i="4"/>
  <c r="Q66" i="4"/>
  <c r="Q27" i="4"/>
  <c r="Q56" i="4"/>
  <c r="Q36" i="4"/>
  <c r="Q109" i="4"/>
  <c r="Q120" i="4"/>
  <c r="Q97" i="4"/>
  <c r="Q28" i="4"/>
  <c r="Q105" i="4"/>
  <c r="Q21" i="4"/>
  <c r="Q79" i="4"/>
  <c r="Q39" i="4"/>
  <c r="Q19" i="4"/>
  <c r="Q92" i="4"/>
  <c r="Q49" i="4"/>
  <c r="Q72" i="4"/>
  <c r="Q46" i="4"/>
  <c r="Q116" i="4"/>
  <c r="Q30" i="4"/>
  <c r="Q98" i="4"/>
  <c r="Q111" i="4"/>
  <c r="Q60" i="4"/>
  <c r="Q22" i="4"/>
  <c r="Q122" i="4"/>
  <c r="Q65" i="4"/>
  <c r="Q24" i="4"/>
  <c r="Q77" i="4"/>
  <c r="Q100" i="4"/>
  <c r="Q33" i="4"/>
  <c r="Q14" i="4"/>
  <c r="Q11" i="4"/>
  <c r="Q10" i="4"/>
  <c r="Q20" i="4"/>
  <c r="Q55" i="4"/>
  <c r="Q93" i="4"/>
  <c r="Q86" i="4"/>
  <c r="Q123" i="4"/>
  <c r="Q74" i="4"/>
  <c r="Q103" i="4"/>
  <c r="Q91" i="4"/>
  <c r="Q108" i="4"/>
  <c r="Q35" i="4"/>
  <c r="Q34" i="4"/>
  <c r="Q96" i="4"/>
  <c r="Q26" i="4"/>
  <c r="Q80" i="4"/>
  <c r="Q101" i="4"/>
  <c r="Q15" i="4"/>
  <c r="Q6" i="4"/>
  <c r="Q9" i="4"/>
  <c r="Q110" i="4"/>
  <c r="Q61" i="4"/>
  <c r="Q5" i="4"/>
  <c r="Q104" i="4"/>
  <c r="Q64" i="4"/>
  <c r="Q88" i="4"/>
  <c r="Q7" i="4"/>
  <c r="Q76" i="4"/>
  <c r="Q17" i="4"/>
  <c r="Q107" i="4"/>
  <c r="Q78" i="4"/>
  <c r="Q31" i="4"/>
  <c r="B33" i="1"/>
  <c r="B40" i="1" l="1"/>
  <c r="B4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<sst xmlns="http://schemas.openxmlformats.org/spreadsheetml/2006/main" count="917" uniqueCount="543">
  <si>
    <t>Выбор конфигурации</t>
  </si>
  <si>
    <t>Комментарий</t>
  </si>
  <si>
    <t>Типоразмер:</t>
  </si>
  <si>
    <t>M</t>
  </si>
  <si>
    <t>Хотэнд:</t>
  </si>
  <si>
    <t>Настройки филамента</t>
  </si>
  <si>
    <t>Плотность</t>
  </si>
  <si>
    <t>Цена/кг</t>
  </si>
  <si>
    <t>Запас</t>
  </si>
  <si>
    <t>Другое</t>
  </si>
  <si>
    <t>Курс доллара:</t>
  </si>
  <si>
    <t>Основные параметры</t>
  </si>
  <si>
    <t>├ Базовая:</t>
  </si>
  <si>
    <t>├ Одноматериальная печать:</t>
  </si>
  <si>
    <t>├ Двухматериальная печать:</t>
  </si>
  <si>
    <t>├ Зеркальный режим:</t>
  </si>
  <si>
    <t>└ Повторяющий режим:</t>
  </si>
  <si>
    <t>Область печати по Z:</t>
  </si>
  <si>
    <t>Габарит:</t>
  </si>
  <si>
    <t>Без учёта экрана</t>
  </si>
  <si>
    <t xml:space="preserve">Расчёт стоимости происходит с несколькими особенностями:
1. При расчёте используются полные цены товаров;
2. Предполагается использование качественных и недешёвых версий деталей;
3. Учтены запасы;
4. Розничные цены на стандартные изделия;
5. Доставка в цену не включается т.к. у всех она разная;
6. Цены всегда считаются за единицы товаров, но некоторые товары продаются только комплектами.
Таким образом, стоимость принтера считается только приблизительно. Фактическая цена может быть как значительно ниже, если пользователь прибегнет к покупке товаров по скидке, поиску более дешёвых версий, покупке стандартных изделий упаковками вскладчину с кем-то и изготовлению деталей стола и зашивки своими силами. Так и дороже, если в ваш регион дорогая доставка или вы решите отходить от проекта. </t>
  </si>
  <si>
    <t>├ Покупные изделия:</t>
  </si>
  <si>
    <t>├ ├ Печатающие головы:</t>
  </si>
  <si>
    <t>├ ├ Механика портала:</t>
  </si>
  <si>
    <t>├ ├ Электроника:</t>
  </si>
  <si>
    <t>├ └ Другое:</t>
  </si>
  <si>
    <t>├ Стандартные изделия:</t>
  </si>
  <si>
    <t>├ Печатные изделия:</t>
  </si>
  <si>
    <t>├ Алюминиевый профиль:</t>
  </si>
  <si>
    <t>├ Зашивка:</t>
  </si>
  <si>
    <t>├ Проводка и разъёмы:</t>
  </si>
  <si>
    <t>└ Итого:</t>
  </si>
  <si>
    <t>Наименование</t>
  </si>
  <si>
    <t>ед. L</t>
  </si>
  <si>
    <t>ед. XL</t>
  </si>
  <si>
    <t>Вкл</t>
  </si>
  <si>
    <t>Цена ед. базовая</t>
  </si>
  <si>
    <t>Цена ед.</t>
  </si>
  <si>
    <t>Цена итого</t>
  </si>
  <si>
    <t>Ссылки</t>
  </si>
  <si>
    <t>Подающие колёса BMG</t>
  </si>
  <si>
    <t>Ali</t>
  </si>
  <si>
    <t>Moons Nema14 L17мм</t>
  </si>
  <si>
    <t>CHC XL</t>
  </si>
  <si>
    <t>BTT MicroProbe</t>
  </si>
  <si>
    <t>Труба алюминиевая 20x20x2мм</t>
  </si>
  <si>
    <t>Ozon</t>
  </si>
  <si>
    <t>RDBB MGN9 L500мм с 2 каретками MGN9H</t>
  </si>
  <si>
    <t>RDBB MGN9 L600мм с 2 каретками MGN9H</t>
  </si>
  <si>
    <t>RDBB MGN12 L300мм с кареткой MGN12H</t>
  </si>
  <si>
    <t>RDBB MGN12 L450мм с кареткой MGN12H</t>
  </si>
  <si>
    <t>RDBB MGN12 L550мм с кареткой MGN12H</t>
  </si>
  <si>
    <t>Двигатель SIBOOR-42STH48</t>
  </si>
  <si>
    <t>- «Для Voron 2.4» устанавливаются как есть, без опорного подшипника;
- «Для Voron Trident» подходят для установки с опорным подшипником. Но надо будет укорачивать вал в размер</t>
  </si>
  <si>
    <t>Шкив 1,5GT 52t W10мм ID5мм</t>
  </si>
  <si>
    <t>Возможна сборка на 2GT ремне и 40-зубых 2GT шкивах</t>
  </si>
  <si>
    <t>Ремень 1,5GT W9mm</t>
  </si>
  <si>
    <t>На ось Z подойдёт любой вариант, но лучше без удлинённого вала</t>
  </si>
  <si>
    <t>Шкив 2GT 40t W10мм ID8мм</t>
  </si>
  <si>
    <t>Шкив 2GT 20t W10мм ID5мм</t>
  </si>
  <si>
    <t>Ремень 2GT W9мм кольцевой</t>
  </si>
  <si>
    <t>Ходовой винт Tr8x8(P2) L350мм</t>
  </si>
  <si>
    <t>Винты идут в комплекте с анти-люфтовыми гайками. От этих гаек используется только основная часть, без пружины и подпружиненной части</t>
  </si>
  <si>
    <t>Ходовой винт Tr8x8(P2) L500мм</t>
  </si>
  <si>
    <t>Ходовой винт Tr8x8(P2) L600мм</t>
  </si>
  <si>
    <t>Пружина OD8мм L25мм</t>
  </si>
  <si>
    <t>Лист 300х400мм АМг2 4мм</t>
  </si>
  <si>
    <t>Prutki</t>
  </si>
  <si>
    <t>Под изготовление пластины стола. Обратите внимание, что заготовки почти всегда идут с припуском и ортогональность сторон под вопросом. Поэтому надо будет не только просверлить, но и отрезать лишнее</t>
  </si>
  <si>
    <t>Лист 400х450мм АМг2 4мм</t>
  </si>
  <si>
    <t>Лист 500х550мм АМг2 4мм</t>
  </si>
  <si>
    <t>Силиконовая грелка 400х250мм</t>
  </si>
  <si>
    <t>Силиконовая грелка 400х400мм</t>
  </si>
  <si>
    <t>Силиконовая грелка 500х500мм</t>
  </si>
  <si>
    <t>Адгезивный лист с PEI 400х300мм</t>
  </si>
  <si>
    <t>TLGRM</t>
  </si>
  <si>
    <t>Магнитную наклейку придётся искать и покупать самостоятельно. Пока не удалось договориться с магазинами о готовых лотах</t>
  </si>
  <si>
    <t>Адгезивный лист с PEI 400х450мм</t>
  </si>
  <si>
    <t>Адгезивный лист с PEI 500х550мм</t>
  </si>
  <si>
    <t>BTT Octopus Pro H723</t>
  </si>
  <si>
    <t>BTT TMC2240</t>
  </si>
  <si>
    <t>BTT Pi V1.2</t>
  </si>
  <si>
    <t>Можно заменить на другую пишку. В таком случае не забудьте заказать блок питания 5в 3+А</t>
  </si>
  <si>
    <t>Fysetc H36</t>
  </si>
  <si>
    <t>BTT HDMI7</t>
  </si>
  <si>
    <t>Блок питания LRS-350-24</t>
  </si>
  <si>
    <t>ChipDip</t>
  </si>
  <si>
    <t>SSR-35DA dual channel</t>
  </si>
  <si>
    <t>WAGO 222-415</t>
  </si>
  <si>
    <t>VI</t>
  </si>
  <si>
    <t>Концевик YD-003</t>
  </si>
  <si>
    <t>DIN рейка 600мм</t>
  </si>
  <si>
    <t>DIN рейка 700мм</t>
  </si>
  <si>
    <t>Вентилятор 200х200мм</t>
  </si>
  <si>
    <t>ws7040 24в с драйвером</t>
  </si>
  <si>
    <t>Шланг CPAP ID15мм 1800мм</t>
  </si>
  <si>
    <t>Светодиодная лента 24в 1м</t>
  </si>
  <si>
    <t>Щетки Snapmaker U1</t>
  </si>
  <si>
    <t>PTFE трубка 2х4мм</t>
  </si>
  <si>
    <t>Пружинная проволока D1.0мм 5м</t>
  </si>
  <si>
    <t>Фиттинг</t>
  </si>
  <si>
    <t>Пружина OD5 ID3 L10</t>
  </si>
  <si>
    <t>Для установки экрана. Не обязательны, можно собирать всё и без них</t>
  </si>
  <si>
    <t>Уплотнитель 8х3</t>
  </si>
  <si>
    <t>Стандарт</t>
  </si>
  <si>
    <t>Резьба / Диаметр</t>
  </si>
  <si>
    <t>Длина / Толщина</t>
  </si>
  <si>
    <t>Кол-во М</t>
  </si>
  <si>
    <t>Кол-во L</t>
  </si>
  <si>
    <t>Кол-во XL</t>
  </si>
  <si>
    <t>Кол-во без запаса</t>
  </si>
  <si>
    <t>Кол-во</t>
  </si>
  <si>
    <t>Ссылка</t>
  </si>
  <si>
    <t>Подшипник 623</t>
  </si>
  <si>
    <t>Подшипник F623</t>
  </si>
  <si>
    <t>Подшипник 608</t>
  </si>
  <si>
    <t>Подшипник F688</t>
  </si>
  <si>
    <t>Вплавляемая резьбовая втулка</t>
  </si>
  <si>
    <t>M3</t>
  </si>
  <si>
    <t>-||- под литьё</t>
  </si>
  <si>
    <t>DIN 934</t>
  </si>
  <si>
    <t>Гайка шестигранная</t>
  </si>
  <si>
    <t>Grover</t>
  </si>
  <si>
    <t>M4</t>
  </si>
  <si>
    <t>Пазовая гайка с подпружиненным шариком</t>
  </si>
  <si>
    <t>PCHSN</t>
  </si>
  <si>
    <t>Стойка для печатных плат</t>
  </si>
  <si>
    <t>Шайба 3x6x0.6</t>
  </si>
  <si>
    <t>Шайба 6x18x1.8</t>
  </si>
  <si>
    <t>Шайба 8x12x1</t>
  </si>
  <si>
    <t>OZON</t>
  </si>
  <si>
    <t>Магнит 10x5x1</t>
  </si>
  <si>
    <t>DIN 912</t>
  </si>
  <si>
    <t>Винт с цилиндрической головкой и шестигранным углублением под ключ</t>
  </si>
  <si>
    <t>M2</t>
  </si>
  <si>
    <t>M2.5</t>
  </si>
  <si>
    <t>ISO 7380-1</t>
  </si>
  <si>
    <t>Винт с полукруглой головкой и шестигранным углублением под ключ</t>
  </si>
  <si>
    <t>M6</t>
  </si>
  <si>
    <t>ISO 7380-2</t>
  </si>
  <si>
    <t>-||- с пресс-шайбой</t>
  </si>
  <si>
    <t>DIN 7991</t>
  </si>
  <si>
    <t>Винт с потайной головкой и шестигранным углублением под ключ</t>
  </si>
  <si>
    <t>Обозначение</t>
  </si>
  <si>
    <t>Объём, см³</t>
  </si>
  <si>
    <t>Вкл.</t>
  </si>
  <si>
    <t>Суммарный объём, см³</t>
  </si>
  <si>
    <t>Материал</t>
  </si>
  <si>
    <t>Суммарная стоимость</t>
  </si>
  <si>
    <t>V9-1111</t>
  </si>
  <si>
    <t>Y axis carriage body</t>
  </si>
  <si>
    <t>V9-1111(R)</t>
  </si>
  <si>
    <t>V9-11411</t>
  </si>
  <si>
    <t>Microfeeder front</t>
  </si>
  <si>
    <t>V9-11411(R)</t>
  </si>
  <si>
    <t>V9-11412</t>
  </si>
  <si>
    <t>Microfeeder back</t>
  </si>
  <si>
    <t>V9-11412(R)</t>
  </si>
  <si>
    <t>V9-11413</t>
  </si>
  <si>
    <t>Microfeeder lever</t>
  </si>
  <si>
    <t>V9-11413(R)</t>
  </si>
  <si>
    <t>V9-1142(B)</t>
  </si>
  <si>
    <t>Bereza body (Goliath 4020)</t>
  </si>
  <si>
    <t>V9-1142(D)</t>
  </si>
  <si>
    <t>Bereza body (Goliath 4010)</t>
  </si>
  <si>
    <t>V9-1143(L)</t>
  </si>
  <si>
    <t>Bereza carriage</t>
  </si>
  <si>
    <t>V9-1143(R)</t>
  </si>
  <si>
    <t>V9-1144</t>
  </si>
  <si>
    <t>Bereza roller spacer</t>
  </si>
  <si>
    <t>Bereza fan duct (Goliath 7040)</t>
  </si>
  <si>
    <t>V9-11521</t>
  </si>
  <si>
    <t>Bereza Goliath nozzle cleaner body</t>
  </si>
  <si>
    <t>V9-11521(R)</t>
  </si>
  <si>
    <t>V9-121</t>
  </si>
  <si>
    <t>XY drive body</t>
  </si>
  <si>
    <t>V9-122</t>
  </si>
  <si>
    <t>V9-131</t>
  </si>
  <si>
    <t>WY drive body</t>
  </si>
  <si>
    <t>V9-141</t>
  </si>
  <si>
    <t>Left belt tensioner body</t>
  </si>
  <si>
    <t>V9-1421</t>
  </si>
  <si>
    <t>V9-1431</t>
  </si>
  <si>
    <t>V9-1432</t>
  </si>
  <si>
    <t>V9-144</t>
  </si>
  <si>
    <t>V9-146</t>
  </si>
  <si>
    <t>Left belt tensioner front holes cover</t>
  </si>
  <si>
    <t>V9-151</t>
  </si>
  <si>
    <t>Right belt tensioner body</t>
  </si>
  <si>
    <t>V9-152</t>
  </si>
  <si>
    <t>Right belt tensioner front holes cover</t>
  </si>
  <si>
    <t>V9-171</t>
  </si>
  <si>
    <t>Portal auxiliary beam mount body</t>
  </si>
  <si>
    <t>V9-211</t>
  </si>
  <si>
    <t>Lower frame strengthener body</t>
  </si>
  <si>
    <t>V9-221</t>
  </si>
  <si>
    <t>Foot body</t>
  </si>
  <si>
    <t>V9-231</t>
  </si>
  <si>
    <t>Auxiliary beam mount body</t>
  </si>
  <si>
    <t>V9-3111</t>
  </si>
  <si>
    <t>Lead screw mount</t>
  </si>
  <si>
    <t>V9-3121</t>
  </si>
  <si>
    <t>Z rollers mount body</t>
  </si>
  <si>
    <t>V9-3131</t>
  </si>
  <si>
    <t>Z belt tensioner slider</t>
  </si>
  <si>
    <t>V9-3132</t>
  </si>
  <si>
    <t>Z belt tensioner mount</t>
  </si>
  <si>
    <t>V9-3133</t>
  </si>
  <si>
    <t>Z belt tensioner cover</t>
  </si>
  <si>
    <t>V9-3211</t>
  </si>
  <si>
    <t>Bed arm end</t>
  </si>
  <si>
    <t>V9-3212</t>
  </si>
  <si>
    <t>Bed arm knob</t>
  </si>
  <si>
    <t>V9-3221</t>
  </si>
  <si>
    <t>2020 to 2020 corner body</t>
  </si>
  <si>
    <t>V9-324</t>
  </si>
  <si>
    <t>Heatbed frame safety corner (2 guides)</t>
  </si>
  <si>
    <t>V9-325</t>
  </si>
  <si>
    <t>2020 T-slot cap</t>
  </si>
  <si>
    <t>V9-326</t>
  </si>
  <si>
    <t>Heatbed frame corner cap (4 guides)</t>
  </si>
  <si>
    <t>V9-341</t>
  </si>
  <si>
    <t>Cable chain link</t>
  </si>
  <si>
    <t>V9-342</t>
  </si>
  <si>
    <t>Cable chain heatbead frame mount</t>
  </si>
  <si>
    <t>V9-343</t>
  </si>
  <si>
    <t>Cable chain middle panel mount</t>
  </si>
  <si>
    <t>V9-344</t>
  </si>
  <si>
    <t>Cable chain mount cover</t>
  </si>
  <si>
    <t>V9-351</t>
  </si>
  <si>
    <t>V9-4151(L)</t>
  </si>
  <si>
    <t>Front door hinge part A</t>
  </si>
  <si>
    <t>V9-4151(R)</t>
  </si>
  <si>
    <t>V9-4152(L)</t>
  </si>
  <si>
    <t>Front door hinge part B</t>
  </si>
  <si>
    <t>V9-4152(R)</t>
  </si>
  <si>
    <t>V9-433(L)</t>
  </si>
  <si>
    <t>Enclosure back door lock</t>
  </si>
  <si>
    <t>V9-433(R)</t>
  </si>
  <si>
    <t>V9-434</t>
  </si>
  <si>
    <t>200mm fan grill</t>
  </si>
  <si>
    <t>V9-435</t>
  </si>
  <si>
    <t>200mm fan grill logo</t>
  </si>
  <si>
    <t>V9-4361</t>
  </si>
  <si>
    <t>Back door hinge part A</t>
  </si>
  <si>
    <t>V9-4362</t>
  </si>
  <si>
    <t>Back door hinge part B</t>
  </si>
  <si>
    <t>V9-442</t>
  </si>
  <si>
    <t>Portal panels front center cover</t>
  </si>
  <si>
    <t>V9-443(ML)</t>
  </si>
  <si>
    <t>Portal panels front cover</t>
  </si>
  <si>
    <t>V9-443(MR)</t>
  </si>
  <si>
    <t>V9-443(XLL)</t>
  </si>
  <si>
    <t>V9-443(XLR)</t>
  </si>
  <si>
    <t>V9-4441</t>
  </si>
  <si>
    <t>Portal panels back center cover base</t>
  </si>
  <si>
    <t>V9-445(M)</t>
  </si>
  <si>
    <t>Portal panels back cover</t>
  </si>
  <si>
    <t>V9-445(XL)</t>
  </si>
  <si>
    <t>V9-447</t>
  </si>
  <si>
    <t>Belt protector</t>
  </si>
  <si>
    <t>V9-452</t>
  </si>
  <si>
    <t>Lower panel cable hole cover</t>
  </si>
  <si>
    <t>V9-462(L)</t>
  </si>
  <si>
    <t>Enclosure side panel motor cover</t>
  </si>
  <si>
    <t>V9-462(R)</t>
  </si>
  <si>
    <t>Enclosure side panel lower cover</t>
  </si>
  <si>
    <t>V9-465</t>
  </si>
  <si>
    <t>Enclosure side panel handle</t>
  </si>
  <si>
    <t>V9-4714</t>
  </si>
  <si>
    <t>Enclosure top upper corner</t>
  </si>
  <si>
    <t>V9-4715(B)</t>
  </si>
  <si>
    <t>Enclosure top hinge moving part</t>
  </si>
  <si>
    <t>V9-4715(F)</t>
  </si>
  <si>
    <t>V9-4716</t>
  </si>
  <si>
    <t>Enclosure top lower corner</t>
  </si>
  <si>
    <t>V9-4717</t>
  </si>
  <si>
    <t>Enclosure top handle</t>
  </si>
  <si>
    <t>V9-4718(B)</t>
  </si>
  <si>
    <t>Enclosure top hinge moving part cover</t>
  </si>
  <si>
    <t>V9-4718(F)</t>
  </si>
  <si>
    <t>V9-4721</t>
  </si>
  <si>
    <t>Enclosure top hinge mount</t>
  </si>
  <si>
    <t>V9-481(M)</t>
  </si>
  <si>
    <t>Skirt front left part</t>
  </si>
  <si>
    <t>V9-481(XL)</t>
  </si>
  <si>
    <t>V9-482(M)</t>
  </si>
  <si>
    <t>Skirt front right part</t>
  </si>
  <si>
    <t>V9-482(XL)</t>
  </si>
  <si>
    <t>V9-511(L)</t>
  </si>
  <si>
    <t>V9-511(R)</t>
  </si>
  <si>
    <t>AC socket mount body</t>
  </si>
  <si>
    <t>V9-5211</t>
  </si>
  <si>
    <t>DIN rail mount</t>
  </si>
  <si>
    <t>V9-531</t>
  </si>
  <si>
    <t>LRS 200+ vertical mount</t>
  </si>
  <si>
    <t>V9-5411</t>
  </si>
  <si>
    <t>BTT Octopus DIN rail mount</t>
  </si>
  <si>
    <t>V9-551</t>
  </si>
  <si>
    <t>SSR DIN rail mount</t>
  </si>
  <si>
    <t>V9-561</t>
  </si>
  <si>
    <t>WAGO 222-415 x3 mount</t>
  </si>
  <si>
    <t>V9-562</t>
  </si>
  <si>
    <t>WAGO 222-415 x3 base</t>
  </si>
  <si>
    <t>V9-563</t>
  </si>
  <si>
    <t>WAGO 222-415 x3 cover</t>
  </si>
  <si>
    <t>V9-571</t>
  </si>
  <si>
    <t>Pi DIN rail mount (BTT Pi or RPi)</t>
  </si>
  <si>
    <t>V9-581</t>
  </si>
  <si>
    <t>ws7040 diver DIN rail mount</t>
  </si>
  <si>
    <t>V9-582</t>
  </si>
  <si>
    <t>ws7040 driver spacer</t>
  </si>
  <si>
    <t>V9-591</t>
  </si>
  <si>
    <t>BTT HDMI7 case</t>
  </si>
  <si>
    <t>V9-592</t>
  </si>
  <si>
    <t>BTT HDMI7 hinge</t>
  </si>
  <si>
    <t>V9-593</t>
  </si>
  <si>
    <t>BTT HDMI7 mount</t>
  </si>
  <si>
    <t>V9-594</t>
  </si>
  <si>
    <t>Portal front center part for BTT HDMI7</t>
  </si>
  <si>
    <t>V9-5A</t>
  </si>
  <si>
    <t>Cable mount</t>
  </si>
  <si>
    <t>V9-6111</t>
  </si>
  <si>
    <t>Spool holder roller body</t>
  </si>
  <si>
    <t>V9-612</t>
  </si>
  <si>
    <t>Spool holder mount</t>
  </si>
  <si>
    <t>V9-612(R)</t>
  </si>
  <si>
    <t>V9-613</t>
  </si>
  <si>
    <t>Spool holder base</t>
  </si>
  <si>
    <t>V9-613(R)</t>
  </si>
  <si>
    <t>V9-621</t>
  </si>
  <si>
    <t>ws7040 damper</t>
  </si>
  <si>
    <t>V9-622</t>
  </si>
  <si>
    <t>ws7040 mount</t>
  </si>
  <si>
    <t>V9-623</t>
  </si>
  <si>
    <t>ws7040 splitter</t>
  </si>
  <si>
    <t>V9-624</t>
  </si>
  <si>
    <t>PTFE tube Y joiner</t>
  </si>
  <si>
    <t>V9-625</t>
  </si>
  <si>
    <t>ws7040 mount ring</t>
  </si>
  <si>
    <t>V9-71</t>
  </si>
  <si>
    <t>X beam drilling jig</t>
  </si>
  <si>
    <t>V9-72</t>
  </si>
  <si>
    <t>2060 drilling jig</t>
  </si>
  <si>
    <t>V9-73</t>
  </si>
  <si>
    <t>2020 drilling jig</t>
  </si>
  <si>
    <t>Тип</t>
  </si>
  <si>
    <t>Длина М</t>
  </si>
  <si>
    <t>Длина L</t>
  </si>
  <si>
    <t>Длина XL</t>
  </si>
  <si>
    <t>Длина</t>
  </si>
  <si>
    <t>Цена/мм</t>
  </si>
  <si>
    <t>Кол-во резов</t>
  </si>
  <si>
    <t>Цена реза</t>
  </si>
  <si>
    <t>Итого цена</t>
  </si>
  <si>
    <t>V9-18</t>
  </si>
  <si>
    <t>Portal longitudinal beam</t>
  </si>
  <si>
    <t>2060 T-slot</t>
  </si>
  <si>
    <t>СЗ</t>
  </si>
  <si>
    <t>V9-19</t>
  </si>
  <si>
    <t>Portal cross beam</t>
  </si>
  <si>
    <t>2020 T-slot</t>
  </si>
  <si>
    <t>V9-1A</t>
  </si>
  <si>
    <t>Portal auxiliary beam</t>
  </si>
  <si>
    <t>V9-24</t>
  </si>
  <si>
    <t>Corner post</t>
  </si>
  <si>
    <t>V9-25</t>
  </si>
  <si>
    <t>Z axis post</t>
  </si>
  <si>
    <t>2020 V-slot</t>
  </si>
  <si>
    <t>V9-26</t>
  </si>
  <si>
    <t>Frame auxiliary post</t>
  </si>
  <si>
    <t>V9-27</t>
  </si>
  <si>
    <t>Frame longitudinal beam</t>
  </si>
  <si>
    <t>V9-28</t>
  </si>
  <si>
    <t>Frame cross beam</t>
  </si>
  <si>
    <t>V9-327</t>
  </si>
  <si>
    <t>Heatbed frame cross beam</t>
  </si>
  <si>
    <t>V9-328</t>
  </si>
  <si>
    <t>Heatbed frame longitudinal beam</t>
  </si>
  <si>
    <t>V9-3213</t>
  </si>
  <si>
    <t>Bed arm beam</t>
  </si>
  <si>
    <t>V9-473</t>
  </si>
  <si>
    <t>Enclosure top post</t>
  </si>
  <si>
    <t>2020L.3C T-slot</t>
  </si>
  <si>
    <t>Единиц</t>
  </si>
  <si>
    <t>Коэфф. запаса</t>
  </si>
  <si>
    <t>Ед. / Длина</t>
  </si>
  <si>
    <t>Коэфф. курса</t>
  </si>
  <si>
    <t>Цена</t>
  </si>
  <si>
    <t>L</t>
  </si>
  <si>
    <t>XL</t>
  </si>
  <si>
    <t>Ед. баз.</t>
  </si>
  <si>
    <t>Ед. корр.</t>
  </si>
  <si>
    <t>Итого</t>
  </si>
  <si>
    <t>Провода</t>
  </si>
  <si>
    <t>Провод многожильный 26AWG</t>
  </si>
  <si>
    <t>Распределяйте по цветам как лично вам удобно. Если не знаете как удобно, то половину красного, половину чёрного</t>
  </si>
  <si>
    <t>Провод многожильный 20AWG</t>
  </si>
  <si>
    <t>Провод USB type-C – type-A</t>
  </si>
  <si>
    <t>Кабели для подключения экрана. Диаметр не более 5мм</t>
  </si>
  <si>
    <t>Провод HDMI-HDMI</t>
  </si>
  <si>
    <t>Разъёмы</t>
  </si>
  <si>
    <t>xh2.54 2-pin</t>
  </si>
  <si>
    <t>xh2.54 3-pin</t>
  </si>
  <si>
    <t>xh2.54 4-pin</t>
  </si>
  <si>
    <t>xh2.54 5-pin</t>
  </si>
  <si>
    <t>Пины для xh2.54 100шт</t>
  </si>
  <si>
    <t>ph2.0 2-pin</t>
  </si>
  <si>
    <t>ph2.0 3-pin</t>
  </si>
  <si>
    <t>ph2.0 4-pin</t>
  </si>
  <si>
    <t>Пины для ph2.0 100шт</t>
  </si>
  <si>
    <t>Розетка 220в 15А</t>
  </si>
  <si>
    <t>Для крупных размеров принтера, возможно, стоит поставить 2 розетки или одну, рассчитанную на больший ток</t>
  </si>
  <si>
    <t>Цена М</t>
  </si>
  <si>
    <t>Цена L</t>
  </si>
  <si>
    <t>Цена XL</t>
  </si>
  <si>
    <t>Основные несущие панели</t>
  </si>
  <si>
    <t>V9-421</t>
  </si>
  <si>
    <t>Enclosure middle panel</t>
  </si>
  <si>
    <t>АКП 4(±10%)мм</t>
  </si>
  <si>
    <t>Могут изготавливаться из АКП, алюминия или стали 4мм. По тестам, разницы в рабочих характеристиках принтера это не даёт</t>
  </si>
  <si>
    <t>V9-441</t>
  </si>
  <si>
    <t>Enclosure portal panel</t>
  </si>
  <si>
    <t>V9-451</t>
  </si>
  <si>
    <t>Enclosure lower panel</t>
  </si>
  <si>
    <t>Другие панели</t>
  </si>
  <si>
    <t>V9-411</t>
  </si>
  <si>
    <t>Enclosure front door</t>
  </si>
  <si>
    <t>ПК 4(±10%)мм</t>
  </si>
  <si>
    <t>V9-431</t>
  </si>
  <si>
    <t>Enclosure back panel</t>
  </si>
  <si>
    <t>При желании, можно изготовить из АКП, алюминия и т.д.</t>
  </si>
  <si>
    <t>V9-432</t>
  </si>
  <si>
    <t>Back door panel</t>
  </si>
  <si>
    <t>V9-461</t>
  </si>
  <si>
    <t>Enclosure side panel</t>
  </si>
  <si>
    <t>V9-4711</t>
  </si>
  <si>
    <t>Enclosure top upper panel</t>
  </si>
  <si>
    <t>V9-4712</t>
  </si>
  <si>
    <t>Enclosure top front panel</t>
  </si>
  <si>
    <t>V9-4713</t>
  </si>
  <si>
    <t>Enclosure top side panel</t>
  </si>
  <si>
    <t>Курс доллара на момент составления спецификации</t>
  </si>
  <si>
    <t>Z кольцевой мин. М</t>
  </si>
  <si>
    <t>Z кольцеовой макс. М</t>
  </si>
  <si>
    <t>Z кольцевой мин. L</t>
  </si>
  <si>
    <t>Z кольцеовой макс. L</t>
  </si>
  <si>
    <t>Z кольцевой мин. XL</t>
  </si>
  <si>
    <t>Z кольцеовой макс. XL</t>
  </si>
  <si>
    <t>Расчёт длины ремней</t>
  </si>
  <si>
    <t>Y один ремень М</t>
  </si>
  <si>
    <t>Y один ремень L</t>
  </si>
  <si>
    <t>Y один ремень XL</t>
  </si>
  <si>
    <t>XW один ремень M</t>
  </si>
  <si>
    <t>XW один ремень L</t>
  </si>
  <si>
    <t>XW один ремень XL</t>
  </si>
  <si>
    <t>Высоконагруженные</t>
  </si>
  <si>
    <t>Средне-нагруженные</t>
  </si>
  <si>
    <t>Ненагруженные</t>
  </si>
  <si>
    <t>Гибкие</t>
  </si>
  <si>
    <t>Параметры материалов для расчёта необходимого количества и общей стоимости филамента. Подробнее в инструкции по печати деталей</t>
  </si>
  <si>
    <t>Goliath + ALPS - экспериментальное сочетание. Устанавливать на свой страх и риск</t>
  </si>
  <si>
    <t>M - 400x250x250 мм | L - 400x400x400 мм | XL - 500x500x500 мм</t>
  </si>
  <si>
    <t>Курс доллара на момент сборки принтера</t>
  </si>
  <si>
    <t>Детали</t>
  </si>
  <si>
    <t>Область печати зависит от режима работы принтера. Реальный диапазон движения осей немного больше указанного.</t>
  </si>
  <si>
    <t>Расход филамента для деталей:</t>
  </si>
  <si>
    <t>Область печати по XY:</t>
  </si>
  <si>
    <t>Стоимость:</t>
  </si>
  <si>
    <t>├ Средне-нагруженные:</t>
  </si>
  <si>
    <t>├ Высоконагруженные:</t>
  </si>
  <si>
    <t>└ Гибкие:</t>
  </si>
  <si>
    <t>├ Ненагруженные:</t>
  </si>
  <si>
    <t>ед.XL</t>
  </si>
  <si>
    <t>ед.M</t>
  </si>
  <si>
    <t>ед.L</t>
  </si>
  <si>
    <t>Запас ремней</t>
  </si>
  <si>
    <t>Запас стандартных изделий</t>
  </si>
  <si>
    <t>Запас проводки</t>
  </si>
  <si>
    <t>Цена
итого</t>
  </si>
  <si>
    <t>Цена
ед.</t>
  </si>
  <si>
    <t>Множитель
курса</t>
  </si>
  <si>
    <t>ALPS Air</t>
  </si>
  <si>
    <t>Goliath Air</t>
  </si>
  <si>
    <t>Вентилятор 40х40х10мм 24в</t>
  </si>
  <si>
    <t>Берите вентиляторы, дающие высокое стат.давление. Если в документации не указано стат. давление, то выбирайте вентилятор с большим количеством лопастей и высокой скоростью вращения</t>
  </si>
  <si>
    <t>Часто режут криво или не в размер. Если есть возможность аккуратно порезать самому, то возьмите с запасом по длине и отрежьте в размер сами</t>
  </si>
  <si>
    <t>На момент составления спецификации, этот драйвер от BTT пропал из продажи. Можно взять 2240 от другого производителя или заменить на 2209/5160 и т.д. по вашему вкусу</t>
  </si>
  <si>
    <t>Fysetc H36 выбран за стойкость к повышенной температуре. Но вы можете установить и какую-нибудь другую, более дешёвую коммутационную плату на свой страх и риск</t>
  </si>
  <si>
    <t>Можно заменить на другую плату, если поправить конфиг под неё не будет для вас проблемой. Требования к материнской плате:
- Минимум 5 драйверов;
- Микроконтроллер STM32H723;
- Возможность USB-CAN Bridge, или придётся докупать адаптер.</t>
  </si>
  <si>
    <t>├ ├ Стол и механика оси Z:</t>
  </si>
  <si>
    <t>На столе рвёт и фазу, и нейтраль. На термокамере один канал управляет нагревателем, другой вентилятором</t>
  </si>
  <si>
    <t>Нагреватель CSP908-F2800</t>
  </si>
  <si>
    <t>Нагреватель термокамеры на 800Вт</t>
  </si>
  <si>
    <t>Термистор NTC100K B3950 M3</t>
  </si>
  <si>
    <t>Один для контроля температуры нагревателя, другой для воздуха в термокамере. Можно взять 104GT-2 или любой другой подобный термистор. Но тогда не забудьте в конфигурации исправить тип термистора</t>
  </si>
  <si>
    <t>Количество</t>
  </si>
  <si>
    <t>Масса</t>
  </si>
  <si>
    <t>V9-1142(E)</t>
  </si>
  <si>
    <t>Z carriage stop body</t>
  </si>
  <si>
    <t>V9-361</t>
  </si>
  <si>
    <t>Z axis carriage body</t>
  </si>
  <si>
    <t>V9-483</t>
  </si>
  <si>
    <t>Skirt front left part letters</t>
  </si>
  <si>
    <t>V9-631</t>
  </si>
  <si>
    <t>Chamer heater mount</t>
  </si>
  <si>
    <t>V9-632</t>
  </si>
  <si>
    <t>Chamber heater cable guide</t>
  </si>
  <si>
    <t>Тип детали</t>
  </si>
  <si>
    <t>Высоконагруженная</t>
  </si>
  <si>
    <t>Стоимость 1г</t>
  </si>
  <si>
    <t>Версия для совместимости с 4020 вентиляторами. Не подходит для ALPS</t>
  </si>
  <si>
    <t>V9-11461(L)</t>
  </si>
  <si>
    <t>V9-11461(R)</t>
  </si>
  <si>
    <t>У этих деталей есть как версии, печатаемые зацело (full), так и разбитые на простые в печати части (part*)</t>
  </si>
  <si>
    <t>Средне-нагруженная</t>
  </si>
  <si>
    <t>Ненагруженная</t>
  </si>
  <si>
    <t>XY drive belt plunger</t>
  </si>
  <si>
    <t>Roller tensioner body</t>
  </si>
  <si>
    <t>Take-up tensioner body</t>
  </si>
  <si>
    <t>Tube-guide версия является экспериментальной. Теоретически, должна легче ходить в корпусе натяжителя. Rib-guide - старая версия</t>
  </si>
  <si>
    <t>По проекту нужна 1.5GT версия</t>
  </si>
  <si>
    <t>Belt tensioner clamp</t>
  </si>
  <si>
    <t>Take-up tensioner anchor</t>
  </si>
  <si>
    <t>Гибкая</t>
  </si>
  <si>
    <t>Одна обычная, одна зеркальная</t>
  </si>
  <si>
    <t>V9-463(L)</t>
  </si>
  <si>
    <t>V9-463(R)</t>
  </si>
  <si>
    <t>Надо выбрать исполнения этих деталей в зависимости от того, на какую сторону принтера вы хотите вывести вводной разъём</t>
  </si>
  <si>
    <t>Расчёт количества необходимого филамента. Особенности:
- Не учитывается запас на поддержки, неудачную печать и т.д.;
- Плотность заполнения всех деталей в расчёте 100%
Реальные траты материала для средне-нагруженных и ненагруженных деталей будет заметно ниже</t>
  </si>
  <si>
    <t>ед./
длина</t>
  </si>
  <si>
    <t>GX16-4</t>
  </si>
  <si>
    <t>GX16-8</t>
  </si>
  <si>
    <t>Для подключения печатных голов</t>
  </si>
  <si>
    <t>Для подключения ws7040</t>
  </si>
  <si>
    <t>Bereza body (Goliath ALPS 4010)</t>
  </si>
  <si>
    <t>Если не будете ставить экран, то надо напечатать 1 шт.</t>
  </si>
  <si>
    <t>V9-633</t>
  </si>
  <si>
    <t>Chamber air thermistor mount</t>
  </si>
  <si>
    <t>V9-74</t>
  </si>
  <si>
    <t>Chamber heater mount holes drilling jig</t>
  </si>
  <si>
    <t>V9-412</t>
  </si>
  <si>
    <t>Front door handle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</si>
</sst>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General&quot; мм&quot;"/>
    <numFmt numFmtId="165" formatCode="0&quot; г&quot;"/>
    <numFmt numFmtId="166" formatCode="#,##0\ [$₽-419];\-#,##0\ [$₽-419]"/>
    <numFmt numFmtId="167" formatCode="#,##0.00\ [$₽-419];\-#,##0.00\ [$₽-419]"/>
    <numFmt numFmtId="168" formatCode="\МGeneral"/>
    <numFmt numFmtId="169" formatCode="#,##0\ [$₽-419];[Red]\-#,##0\ [$₽-419]"/>
    <numFmt numFmtId="170" formatCode="_-* #,##0\ [$₽-419]_-;\-* #,##0\ [$₽-419]_-;_-* &quot;-&quot;??\ [$₽-419]_-;_-@_-"/>
    <numFmt numFmtId="171" formatCode="0.00&quot; г/см³&quot;"/>
    <numFmt numFmtId="172" formatCode="0.00&quot; р/$&quot;"/>
    <numFmt numFmtId="173" formatCode="#,##0.00\ &quot;₽&quot;"/>
    <numFmt numFmtId="174" formatCode="#,##0\ &quot;₽&quot;"/>
  </numFmts>
  <fonts count="8" x14ac:knownFonts="1">
    <font>
      <sz val="10"/>
      <name val="Courier New"/>
      <family val="3"/>
      <charset val="204"/>
    </font>
    <font>
      <strike/>
      <sz val="10"/>
      <color rgb="FFCCCCCC"/>
      <name val="Courier New"/>
      <family val="3"/>
      <charset val="204"/>
    </font>
    <font>
      <b/>
      <sz val="10"/>
      <name val="Courier New"/>
      <family val="3"/>
      <charset val="204"/>
    </font>
    <font>
      <sz val="10"/>
      <name val="Cascadia Code"/>
      <family val="3"/>
      <charset val="204"/>
    </font>
    <font>
      <b/>
      <sz val="11"/>
      <name val="Cascadia Code"/>
      <family val="3"/>
      <charset val="204"/>
    </font>
    <font>
      <sz val="11"/>
      <name val="Cascadia Code"/>
      <family val="3"/>
      <charset val="204"/>
    </font>
    <font>
      <sz val="11"/>
      <color rgb="FF0000FF"/>
      <name val="Cascadia Code"/>
      <family val="3"/>
      <charset val="204"/>
    </font>
    <font>
      <sz val="10"/>
      <name val="Courier New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CCCCCC"/>
      </patternFill>
    </fill>
    <fill>
      <patternFill patternType="solid">
        <fgColor rgb="FFEEEEEE"/>
        <bgColor rgb="FFFFFFFF"/>
      </patternFill>
    </fill>
    <fill>
      <patternFill patternType="solid">
        <fgColor rgb="FFFFFFFF"/>
        <bgColor rgb="FFEEEEEE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 applyBorder="0" applyAlignment="0" applyProtection="0"/>
    <xf numFmtId="9" fontId="7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Font="1" applyAlignment="1">
      <alignment vertical="center"/>
    </xf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0" xfId="0" applyFont="1" applyAlignment="1">
      <alignment horizontal="left" vertical="center" wrapText="1" indent="1"/>
    </xf>
    <xf numFmtId="167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10" fontId="0" fillId="0" borderId="0" xfId="0" applyNumberFormat="1"/>
    <xf numFmtId="0" fontId="3" fillId="0" borderId="1" xfId="0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left" indent="1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Border="1"/>
    <xf numFmtId="0" fontId="5" fillId="0" borderId="0" xfId="0" applyFont="1"/>
    <xf numFmtId="0" fontId="5" fillId="3" borderId="1" xfId="0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indent="1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170" fontId="5" fillId="4" borderId="1" xfId="0" applyNumberFormat="1" applyFont="1" applyFill="1" applyBorder="1" applyAlignment="1">
      <alignment vertical="center"/>
    </xf>
    <xf numFmtId="171" fontId="5" fillId="4" borderId="1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 wrapText="1"/>
    </xf>
    <xf numFmtId="166" fontId="4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vertical="center"/>
    </xf>
    <xf numFmtId="167" fontId="4" fillId="2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 indent="1"/>
    </xf>
    <xf numFmtId="168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9" fontId="5" fillId="0" borderId="1" xfId="0" applyNumberFormat="1" applyFont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/>
    <xf numFmtId="0" fontId="5" fillId="4" borderId="1" xfId="0" applyFont="1" applyFill="1" applyBorder="1"/>
    <xf numFmtId="164" fontId="5" fillId="4" borderId="1" xfId="0" applyNumberFormat="1" applyFont="1" applyFill="1" applyBorder="1"/>
    <xf numFmtId="164" fontId="5" fillId="4" borderId="1" xfId="0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66" fontId="5" fillId="4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 indent="1"/>
    </xf>
    <xf numFmtId="0" fontId="5" fillId="0" borderId="1" xfId="0" applyFont="1" applyBorder="1" applyAlignment="1">
      <alignment horizontal="left" vertical="center" indent="1"/>
    </xf>
    <xf numFmtId="0" fontId="5" fillId="0" borderId="1" xfId="0" applyFont="1" applyBorder="1"/>
    <xf numFmtId="9" fontId="5" fillId="4" borderId="1" xfId="2" applyFont="1" applyFill="1" applyBorder="1" applyAlignment="1">
      <alignment horizontal="center" vertical="center"/>
    </xf>
    <xf numFmtId="9" fontId="0" fillId="0" borderId="0" xfId="2" applyFont="1" applyAlignment="1">
      <alignment horizontal="center" vertical="center"/>
    </xf>
    <xf numFmtId="173" fontId="5" fillId="4" borderId="1" xfId="0" applyNumberFormat="1" applyFont="1" applyFill="1" applyBorder="1" applyAlignment="1">
      <alignment horizontal="center" vertical="center"/>
    </xf>
    <xf numFmtId="174" fontId="4" fillId="2" borderId="1" xfId="0" applyNumberFormat="1" applyFont="1" applyFill="1" applyBorder="1" applyAlignment="1">
      <alignment horizontal="center" vertical="center"/>
    </xf>
    <xf numFmtId="174" fontId="5" fillId="4" borderId="1" xfId="0" applyNumberFormat="1" applyFont="1" applyFill="1" applyBorder="1" applyAlignment="1">
      <alignment horizontal="center" vertical="center"/>
    </xf>
    <xf numFmtId="174" fontId="0" fillId="0" borderId="0" xfId="0" applyNumberFormat="1" applyFont="1" applyAlignment="1">
      <alignment horizontal="center" vertical="center"/>
    </xf>
    <xf numFmtId="9" fontId="5" fillId="4" borderId="1" xfId="0" applyNumberFormat="1" applyFont="1" applyFill="1" applyBorder="1" applyAlignment="1">
      <alignment horizontal="center" vertical="center"/>
    </xf>
    <xf numFmtId="9" fontId="0" fillId="0" borderId="0" xfId="0" applyNumberFormat="1" applyFont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 wrapText="1" indent="1"/>
    </xf>
    <xf numFmtId="166" fontId="5" fillId="4" borderId="1" xfId="0" applyNumberFormat="1" applyFont="1" applyFill="1" applyBorder="1" applyAlignment="1">
      <alignment horizontal="right"/>
    </xf>
    <xf numFmtId="0" fontId="5" fillId="4" borderId="1" xfId="0" applyFont="1" applyFill="1" applyBorder="1" applyAlignment="1">
      <alignment horizontal="right" vertical="center"/>
    </xf>
    <xf numFmtId="0" fontId="4" fillId="3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/>
    <xf numFmtId="165" fontId="5" fillId="4" borderId="1" xfId="0" applyNumberFormat="1" applyFont="1" applyFill="1" applyBorder="1" applyAlignment="1">
      <alignment horizontal="right"/>
    </xf>
    <xf numFmtId="0" fontId="4" fillId="2" borderId="1" xfId="0" applyFont="1" applyFill="1" applyBorder="1" applyAlignment="1">
      <alignment horizontal="center" vertical="center"/>
    </xf>
    <xf numFmtId="172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 vertical="center"/>
    </xf>
    <xf numFmtId="0" fontId="3" fillId="0" borderId="2" xfId="0" applyFont="1" applyBorder="1" applyAlignment="1">
      <alignment horizontal="left" vertical="center" wrapText="1" indent="1"/>
    </xf>
    <xf numFmtId="0" fontId="3" fillId="0" borderId="3" xfId="0" applyFont="1" applyBorder="1" applyAlignment="1">
      <alignment horizontal="left" vertical="center" wrapText="1" indent="1"/>
    </xf>
    <xf numFmtId="0" fontId="3" fillId="0" borderId="4" xfId="0" applyFont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center" vertical="center"/>
    </xf>
    <xf numFmtId="167" fontId="4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3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/>
    </xf>
    <xf numFmtId="9" fontId="4" fillId="2" borderId="1" xfId="0" applyNumberFormat="1" applyFont="1" applyFill="1" applyBorder="1" applyAlignment="1">
      <alignment horizontal="center" vertical="center" wrapText="1"/>
    </xf>
    <xf numFmtId="9" fontId="4" fillId="2" borderId="1" xfId="0" applyNumberFormat="1" applyFont="1" applyFill="1" applyBorder="1" applyAlignment="1">
      <alignment horizontal="center" vertical="center"/>
    </xf>
    <xf numFmtId="174" fontId="4" fillId="2" borderId="1" xfId="0" applyNumberFormat="1" applyFont="1" applyFill="1" applyBorder="1" applyAlignment="1">
      <alignment horizontal="center" vertical="center" wrapText="1"/>
    </xf>
    <xf numFmtId="9" fontId="4" fillId="2" borderId="1" xfId="2" applyFont="1" applyFill="1" applyBorder="1" applyAlignment="1">
      <alignment horizontal="center" vertical="center" wrapText="1"/>
    </xf>
    <xf numFmtId="9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</cellXfs>
  <cellStyles count="3">
    <cellStyle name="Hidden" xfId="1" xr:uid="{00000000-0005-0000-0000-000006000000}"/>
    <cellStyle name="Обычный" xfId="0" builtinId="0"/>
    <cellStyle name="Процентный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Другая 1">
      <a:majorFont>
        <a:latin typeface="Cascadia Code"/>
        <a:ea typeface=""/>
        <a:cs typeface=""/>
      </a:majorFont>
      <a:minorFont>
        <a:latin typeface="Cascadia Code"/>
        <a:ea typeface=""/>
        <a:cs typeface="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li.click/qzc3f19?erid=2SDnjcM3Ff8" TargetMode="External"/><Relationship Id="rId18" Type="http://schemas.openxmlformats.org/officeDocument/2006/relationships/hyperlink" Target="https://alli.pub/76gpvl?erid=2SDnje5QDnk" TargetMode="External"/><Relationship Id="rId26" Type="http://schemas.openxmlformats.org/officeDocument/2006/relationships/hyperlink" Target="http://prutki.ru/list-alyuminievyj-amg2-tolshchina-4-mm/" TargetMode="External"/><Relationship Id="rId39" Type="http://schemas.openxmlformats.org/officeDocument/2006/relationships/hyperlink" Target="https://www.vseinstrumenti.ru/product/klemma-wago-222-415-5-sht-2552-843136/" TargetMode="External"/><Relationship Id="rId21" Type="http://schemas.openxmlformats.org/officeDocument/2006/relationships/hyperlink" Target="https://ali.click/wjl4qf?erid=2SDnjea2nnj" TargetMode="External"/><Relationship Id="rId34" Type="http://schemas.openxmlformats.org/officeDocument/2006/relationships/hyperlink" Target="https://ali.click/zn1cf12?erid=2SDnjc5qtKk" TargetMode="External"/><Relationship Id="rId42" Type="http://schemas.openxmlformats.org/officeDocument/2006/relationships/hyperlink" Target="https://www.vseinstrumenti.ru/product/din-rejka-rexant-80sm-perforirovannaya-otsinkovannaya-12-8080-11535290/" TargetMode="External"/><Relationship Id="rId47" Type="http://schemas.openxmlformats.org/officeDocument/2006/relationships/hyperlink" Target="https://ali.click/sxt3f1a?erid=2SDnjeTTH9k" TargetMode="External"/><Relationship Id="rId50" Type="http://schemas.openxmlformats.org/officeDocument/2006/relationships/hyperlink" Target="https://alli.pub/76f1po?erid=2SDnjeQoSpU" TargetMode="External"/><Relationship Id="rId55" Type="http://schemas.openxmlformats.org/officeDocument/2006/relationships/hyperlink" Target="https://alli.pub/76ksj5?erid=2SDnjf2gdcY" TargetMode="External"/><Relationship Id="rId7" Type="http://schemas.openxmlformats.org/officeDocument/2006/relationships/hyperlink" Target="https://www.ozon.ru/product/truba-profilnaya-kvadratnaya-20h20h2-500-mm-0-5-metra-1299392339/?at=jYtZolxklh4GE3ADc53W33VTKE8lYXSQM9jN5frnyMY2&amp;from_sku=1299394526&amp;oos_search=false" TargetMode="External"/><Relationship Id="rId2" Type="http://schemas.openxmlformats.org/officeDocument/2006/relationships/hyperlink" Target="https://ali.click/anvbf17?erid=2SDnjdTsY8i" TargetMode="External"/><Relationship Id="rId16" Type="http://schemas.openxmlformats.org/officeDocument/2006/relationships/hyperlink" Target="https://ali.click/qzc3f19?erid=2SDnjcM3Ff8" TargetMode="External"/><Relationship Id="rId29" Type="http://schemas.openxmlformats.org/officeDocument/2006/relationships/hyperlink" Target="https://alli.pub/76kssh?erid=2SDnjcDdLYL" TargetMode="External"/><Relationship Id="rId11" Type="http://schemas.openxmlformats.org/officeDocument/2006/relationships/hyperlink" Target="https://alli.pub/76ksj5?erid=2SDnjf2gdcY" TargetMode="External"/><Relationship Id="rId24" Type="http://schemas.openxmlformats.org/officeDocument/2006/relationships/hyperlink" Target="http://prutki.ru/list-alyuminievyj-amg2-tolshchina-4-mm/" TargetMode="External"/><Relationship Id="rId32" Type="http://schemas.openxmlformats.org/officeDocument/2006/relationships/hyperlink" Target="http://t.me/Itdranikk" TargetMode="External"/><Relationship Id="rId37" Type="http://schemas.openxmlformats.org/officeDocument/2006/relationships/hyperlink" Target="https://www.chipdip.ru/product/lrs-350-24" TargetMode="External"/><Relationship Id="rId40" Type="http://schemas.openxmlformats.org/officeDocument/2006/relationships/hyperlink" Target="https://alli.pub/76c6h2?erid=2SDnjced1UQ" TargetMode="External"/><Relationship Id="rId45" Type="http://schemas.openxmlformats.org/officeDocument/2006/relationships/hyperlink" Target="https://ali.click/emt3f1m?erid=2SDnjdb3ha2" TargetMode="External"/><Relationship Id="rId53" Type="http://schemas.openxmlformats.org/officeDocument/2006/relationships/hyperlink" Target="https://ali.click/y1g4j1u?erid=2SDnjc46MFy" TargetMode="External"/><Relationship Id="rId58" Type="http://schemas.openxmlformats.org/officeDocument/2006/relationships/hyperlink" Target="https://ali.click/zsh5j17" TargetMode="External"/><Relationship Id="rId5" Type="http://schemas.openxmlformats.org/officeDocument/2006/relationships/hyperlink" Target="https://ali.click/0eh4j1g?erid=2SDnjetfK2B" TargetMode="External"/><Relationship Id="rId19" Type="http://schemas.openxmlformats.org/officeDocument/2006/relationships/hyperlink" Target="https://alli.pub/76b2jj?erid=2SDnjeZzpsE" TargetMode="External"/><Relationship Id="rId4" Type="http://schemas.openxmlformats.org/officeDocument/2006/relationships/hyperlink" Target="https://alli.pub/76ar00?erid=2SDnjd4H7Xr" TargetMode="External"/><Relationship Id="rId9" Type="http://schemas.openxmlformats.org/officeDocument/2006/relationships/hyperlink" Target="https://alli.pub/76ksid?erid=2SDnjeeSpPN" TargetMode="External"/><Relationship Id="rId14" Type="http://schemas.openxmlformats.org/officeDocument/2006/relationships/hyperlink" Target="https://ali.click/9wd3f1m?erid=2SDnjekQ69Y" TargetMode="External"/><Relationship Id="rId22" Type="http://schemas.openxmlformats.org/officeDocument/2006/relationships/hyperlink" Target="https://ali.click/wjl4qf?erid=2SDnjea2nnj" TargetMode="External"/><Relationship Id="rId27" Type="http://schemas.openxmlformats.org/officeDocument/2006/relationships/hyperlink" Target="https://alli.pub/76kssh?erid=2SDnjcDdLYL" TargetMode="External"/><Relationship Id="rId30" Type="http://schemas.openxmlformats.org/officeDocument/2006/relationships/hyperlink" Target="http://t.me/Itdranikk" TargetMode="External"/><Relationship Id="rId35" Type="http://schemas.openxmlformats.org/officeDocument/2006/relationships/hyperlink" Target="https://ali.click/rp1cf1u?erid=2SDnjcAHrAn" TargetMode="External"/><Relationship Id="rId43" Type="http://schemas.openxmlformats.org/officeDocument/2006/relationships/hyperlink" Target="https://ali.click/aos3f1w?erid=2SDnjdtqDUE" TargetMode="External"/><Relationship Id="rId48" Type="http://schemas.openxmlformats.org/officeDocument/2006/relationships/hyperlink" Target="https://alli.pub/76jzdq?erid=2SDnjcAVxLk" TargetMode="External"/><Relationship Id="rId56" Type="http://schemas.openxmlformats.org/officeDocument/2006/relationships/hyperlink" Target="https://alli.pub/76ksj5?erid=2SDnjf2gdcY" TargetMode="External"/><Relationship Id="rId8" Type="http://schemas.openxmlformats.org/officeDocument/2006/relationships/hyperlink" Target="https://alli.pub/76ksid?erid=2SDnjeeSpPN" TargetMode="External"/><Relationship Id="rId51" Type="http://schemas.openxmlformats.org/officeDocument/2006/relationships/hyperlink" Target="https://ali.click/bjadf1g?erid=2SDnjeu7whL" TargetMode="External"/><Relationship Id="rId3" Type="http://schemas.openxmlformats.org/officeDocument/2006/relationships/hyperlink" Target="https://alli.pub/72s2xy?erid=2SDnjcHok9R" TargetMode="External"/><Relationship Id="rId12" Type="http://schemas.openxmlformats.org/officeDocument/2006/relationships/hyperlink" Target="https://alli.pub/76ksj5?erid=2SDnjf2gdcY" TargetMode="External"/><Relationship Id="rId17" Type="http://schemas.openxmlformats.org/officeDocument/2006/relationships/hyperlink" Target="https://alli.pub/76sg95?erid=2SDnje5J3Mo" TargetMode="External"/><Relationship Id="rId25" Type="http://schemas.openxmlformats.org/officeDocument/2006/relationships/hyperlink" Target="http://prutki.ru/list-alyuminievyj-amg2-tolshchina-4-mm/" TargetMode="External"/><Relationship Id="rId33" Type="http://schemas.openxmlformats.org/officeDocument/2006/relationships/hyperlink" Target="https://ali.click/icm4qo?erid=2SDnjeoP1om" TargetMode="External"/><Relationship Id="rId38" Type="http://schemas.openxmlformats.org/officeDocument/2006/relationships/hyperlink" Target="https://ali.click/75s3f1b?erid=2SDnjc8Y52S" TargetMode="External"/><Relationship Id="rId46" Type="http://schemas.openxmlformats.org/officeDocument/2006/relationships/hyperlink" Target="https://ali.click/jc19h12?erid=2SDnjefz1oy" TargetMode="External"/><Relationship Id="rId59" Type="http://schemas.openxmlformats.org/officeDocument/2006/relationships/printerSettings" Target="../printerSettings/printerSettings1.bin"/><Relationship Id="rId20" Type="http://schemas.openxmlformats.org/officeDocument/2006/relationships/hyperlink" Target="https://ali.click/wjl4qf?erid=2SDnjea2nnj" TargetMode="External"/><Relationship Id="rId41" Type="http://schemas.openxmlformats.org/officeDocument/2006/relationships/hyperlink" Target="https://www.vseinstrumenti.ru/product/din-rejka-rexant-60sm-perforirovannaya-otsinkovannaya-12-8060-9683762/" TargetMode="External"/><Relationship Id="rId54" Type="http://schemas.openxmlformats.org/officeDocument/2006/relationships/hyperlink" Target="https://alli.pub/76ksj5?erid=2SDnjf2gdcY" TargetMode="External"/><Relationship Id="rId1" Type="http://schemas.openxmlformats.org/officeDocument/2006/relationships/hyperlink" Target="https://alli.pub/76b0v2?erid=2SDnjd5yXde" TargetMode="External"/><Relationship Id="rId6" Type="http://schemas.openxmlformats.org/officeDocument/2006/relationships/hyperlink" Target="https://ali.click/ipvbf16?erid=2SDnjdbHUYS" TargetMode="External"/><Relationship Id="rId15" Type="http://schemas.openxmlformats.org/officeDocument/2006/relationships/hyperlink" Target="https://ali.click/06e3f10?erid=2SDnjcXRW7U" TargetMode="External"/><Relationship Id="rId23" Type="http://schemas.openxmlformats.org/officeDocument/2006/relationships/hyperlink" Target="https://alli.pub/76c04s?erid=2SDnjcKBRqv" TargetMode="External"/><Relationship Id="rId28" Type="http://schemas.openxmlformats.org/officeDocument/2006/relationships/hyperlink" Target="https://alli.pub/76kssh?erid=2SDnjcDdLYL" TargetMode="External"/><Relationship Id="rId36" Type="http://schemas.openxmlformats.org/officeDocument/2006/relationships/hyperlink" Target="https://ali.click/ots3f1z?erid=2SDnjeCd4rN" TargetMode="External"/><Relationship Id="rId49" Type="http://schemas.openxmlformats.org/officeDocument/2006/relationships/hyperlink" Target="https://www.ozon.ru/product/provoloka-nerzhaveyushchaya-pruzhinnaya-1-0-mm-v-buhte-5-metrov-stal-12h18n10t-aisi-321-791917824/?at=QktJ10oK3cwMy2mliPRxwlxINGz1JJILYVOQZh2YWDom&amp;from_sku=826407242&amp;oos_search=false" TargetMode="External"/><Relationship Id="rId57" Type="http://schemas.openxmlformats.org/officeDocument/2006/relationships/hyperlink" Target="https://ali.click/9p15j1h?erid=2SDnjdzwV87" TargetMode="External"/><Relationship Id="rId10" Type="http://schemas.openxmlformats.org/officeDocument/2006/relationships/hyperlink" Target="https://alli.pub/76ksj5?erid=2SDnjf2gdcY" TargetMode="External"/><Relationship Id="rId31" Type="http://schemas.openxmlformats.org/officeDocument/2006/relationships/hyperlink" Target="http://t.me/Itdranikk" TargetMode="External"/><Relationship Id="rId44" Type="http://schemas.openxmlformats.org/officeDocument/2006/relationships/hyperlink" Target="https://alli.pub/76sga4?erid=2SDnjeV1qsK" TargetMode="External"/><Relationship Id="rId52" Type="http://schemas.openxmlformats.org/officeDocument/2006/relationships/hyperlink" Target="https://www.ozon.ru/product/uplotnitelnaya-lenta-dlya-varochnoy-paneli-8mm-3mm-2-5m-2063710853/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grover-sk.ru/catalog/metizy/shayby/din_125/din_125_a2/shayby_m3/" TargetMode="External"/><Relationship Id="rId18" Type="http://schemas.openxmlformats.org/officeDocument/2006/relationships/hyperlink" Target="https://grover-sk.ru/catalog/metizy/vinty/din_912/din_912_a2/vinty_m25/" TargetMode="External"/><Relationship Id="rId26" Type="http://schemas.openxmlformats.org/officeDocument/2006/relationships/hyperlink" Target="https://grover-sk.ru/catalog/metizy/vinty/din_912/din_912_a2/vinty_m3/" TargetMode="External"/><Relationship Id="rId39" Type="http://schemas.openxmlformats.org/officeDocument/2006/relationships/hyperlink" Target="https://grover-sk.ru/catalog/metizy/vinty/din_7991/din_7991_8.8_ots/vinty_m4/" TargetMode="External"/><Relationship Id="rId21" Type="http://schemas.openxmlformats.org/officeDocument/2006/relationships/hyperlink" Target="https://grover-sk.ru/catalog/metizy/vinty/din_912/din_912_a2/vinty_m3/" TargetMode="External"/><Relationship Id="rId34" Type="http://schemas.openxmlformats.org/officeDocument/2006/relationships/hyperlink" Target="https://grover-sk.ru/catalog/metizy/vinty/iso_7380/iso_7380_10.9_fosf/vinty_m6/" TargetMode="External"/><Relationship Id="rId7" Type="http://schemas.openxmlformats.org/officeDocument/2006/relationships/hyperlink" Target="https://alli.pub/76ex40?erid=2SDnjeCd55W" TargetMode="External"/><Relationship Id="rId12" Type="http://schemas.openxmlformats.org/officeDocument/2006/relationships/hyperlink" Target="https://ali.click/bao8f19?erid=2SDnjcD6RAz" TargetMode="External"/><Relationship Id="rId17" Type="http://schemas.openxmlformats.org/officeDocument/2006/relationships/hyperlink" Target="https://grover-sk.ru/catalog/metizy/vinty/din_912/din_912_a2/vinty_m2/vinty_m2x8/" TargetMode="External"/><Relationship Id="rId25" Type="http://schemas.openxmlformats.org/officeDocument/2006/relationships/hyperlink" Target="https://grover-sk.ru/catalog/metizy/vinty/din_912/din_912_a2/vinty_m3/" TargetMode="External"/><Relationship Id="rId33" Type="http://schemas.openxmlformats.org/officeDocument/2006/relationships/hyperlink" Target="https://grover-sk.ru/catalog/metizy/vinty/iso_7380/iso_7380_10.9_fosf/vinty_m6/" TargetMode="External"/><Relationship Id="rId38" Type="http://schemas.openxmlformats.org/officeDocument/2006/relationships/hyperlink" Target="https://grover-sk.ru/catalog/metizy/vinty/din_7991/din_7991_a2/vinty_m3/" TargetMode="External"/><Relationship Id="rId2" Type="http://schemas.openxmlformats.org/officeDocument/2006/relationships/hyperlink" Target="https://ali.click/1gm8f1a?erid=2SDnje8G9P8" TargetMode="External"/><Relationship Id="rId16" Type="http://schemas.openxmlformats.org/officeDocument/2006/relationships/hyperlink" Target="https://ali.click/faq8f15?erid=2SDnjc5hVD4" TargetMode="External"/><Relationship Id="rId20" Type="http://schemas.openxmlformats.org/officeDocument/2006/relationships/hyperlink" Target="https://grover-sk.ru/catalog/metizy/vinty/din_912/din_912_a2/vinty_m3/" TargetMode="External"/><Relationship Id="rId29" Type="http://schemas.openxmlformats.org/officeDocument/2006/relationships/hyperlink" Target="https://grover-sk.ru/catalog/metizy/vinty/din_912/din_912_a4/vinty_m4/" TargetMode="External"/><Relationship Id="rId1" Type="http://schemas.openxmlformats.org/officeDocument/2006/relationships/hyperlink" Target="https://alli.pub/76f18d?erid=2SDnjeVDPmv" TargetMode="External"/><Relationship Id="rId6" Type="http://schemas.openxmlformats.org/officeDocument/2006/relationships/hyperlink" Target="https://ali.click/z6zaxv?erid=2SDnjeTr5A8" TargetMode="External"/><Relationship Id="rId11" Type="http://schemas.openxmlformats.org/officeDocument/2006/relationships/hyperlink" Target="https://alli.pub/76entd?erid=2SDnjdEehde" TargetMode="External"/><Relationship Id="rId24" Type="http://schemas.openxmlformats.org/officeDocument/2006/relationships/hyperlink" Target="https://grover-sk.ru/catalog/metizy/vinty/din_912/din_912_a2/vinty_m3/" TargetMode="External"/><Relationship Id="rId32" Type="http://schemas.openxmlformats.org/officeDocument/2006/relationships/hyperlink" Target="https://grover-sk.ru/catalog/metizy/vinty/iso_7380/iso_7380_10.9_fosf/vinty_m4/" TargetMode="External"/><Relationship Id="rId37" Type="http://schemas.openxmlformats.org/officeDocument/2006/relationships/hyperlink" Target="https://grover-sk.ru/catalog/metizy/vinty/din_7991/din_7991_a2/vinty_m3/" TargetMode="External"/><Relationship Id="rId5" Type="http://schemas.openxmlformats.org/officeDocument/2006/relationships/hyperlink" Target="https://ali.click/z6zaxv?erid=2SDnjeTr5A8" TargetMode="External"/><Relationship Id="rId15" Type="http://schemas.openxmlformats.org/officeDocument/2006/relationships/hyperlink" Target="https://www.ozon.ru/product/shayba-alyuminievaya-8h12h1-0-10-sht-2855210596/?at=oZt6RZ9YYIG40kJCVE5n6PtNNmmAku0mQDXNs62Kwp2" TargetMode="External"/><Relationship Id="rId23" Type="http://schemas.openxmlformats.org/officeDocument/2006/relationships/hyperlink" Target="https://grover-sk.ru/catalog/metizy/vinty/din_912/din_912_a2/vinty_m3/" TargetMode="External"/><Relationship Id="rId28" Type="http://schemas.openxmlformats.org/officeDocument/2006/relationships/hyperlink" Target="https://grover-sk.ru/catalog/metizy/vinty/din_912/din_912_a2/vinty_m3/" TargetMode="External"/><Relationship Id="rId36" Type="http://schemas.openxmlformats.org/officeDocument/2006/relationships/hyperlink" Target="https://grover-sk.ru/catalog/metizy/vinty/din_7991/din_7991_a2/vinty_m3/" TargetMode="External"/><Relationship Id="rId10" Type="http://schemas.openxmlformats.org/officeDocument/2006/relationships/hyperlink" Target="https://alli.pub/76entd?erid=2SDnjdEehde" TargetMode="External"/><Relationship Id="rId19" Type="http://schemas.openxmlformats.org/officeDocument/2006/relationships/hyperlink" Target="https://grover-sk.ru/catalog/metizy/vinty/din_912/din_912_a2/vinty_m3/" TargetMode="External"/><Relationship Id="rId31" Type="http://schemas.openxmlformats.org/officeDocument/2006/relationships/hyperlink" Target="https://grover-sk.ru/catalog/metizy/vinty/iso_7380/iso_7380_10.9_fosf/vinty_m3/" TargetMode="External"/><Relationship Id="rId4" Type="http://schemas.openxmlformats.org/officeDocument/2006/relationships/hyperlink" Target="https://ali.click/2lm8f1n?erid=2SDnjeiMrs4" TargetMode="External"/><Relationship Id="rId9" Type="http://schemas.openxmlformats.org/officeDocument/2006/relationships/hyperlink" Target="https://grover-sk.ru/catalog/metizy/gayki/din_934/din_934_a2/standart_shag/gayki_m4/" TargetMode="External"/><Relationship Id="rId14" Type="http://schemas.openxmlformats.org/officeDocument/2006/relationships/hyperlink" Target="https://grover-sk.ru/catalog/metizy/shayby/din_9021/din_9021_a2/shayby_m6/" TargetMode="External"/><Relationship Id="rId22" Type="http://schemas.openxmlformats.org/officeDocument/2006/relationships/hyperlink" Target="https://grover-sk.ru/catalog/metizy/vinty/din_912/din_912_a2/vinty_m3/" TargetMode="External"/><Relationship Id="rId27" Type="http://schemas.openxmlformats.org/officeDocument/2006/relationships/hyperlink" Target="https://grover-sk.ru/catalog/metizy/vinty/din_912/din_912_a2/vinty_m3/" TargetMode="External"/><Relationship Id="rId30" Type="http://schemas.openxmlformats.org/officeDocument/2006/relationships/hyperlink" Target="https://grover-sk.ru/catalog/metizy/vinty/din_912/din_912_a2/vinty_m4/" TargetMode="External"/><Relationship Id="rId35" Type="http://schemas.openxmlformats.org/officeDocument/2006/relationships/hyperlink" Target="https://ali.click/k3laxs?erid=2SDnjdWsp6k" TargetMode="External"/><Relationship Id="rId8" Type="http://schemas.openxmlformats.org/officeDocument/2006/relationships/hyperlink" Target="https://grover-sk.ru/catalog/metizy/gayki/din_934/din_934_a2/standart_shag/gayki_m3/" TargetMode="External"/><Relationship Id="rId3" Type="http://schemas.openxmlformats.org/officeDocument/2006/relationships/hyperlink" Target="https://ali.click/mim8f1y?erid=2SDnjeP62C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oberizavod.ru/catalog/seriya_20_obychnyy_paz_anodirovannyj/profil_konstruktsionnyy_20kh20_an_serebro/" TargetMode="External"/><Relationship Id="rId3" Type="http://schemas.openxmlformats.org/officeDocument/2006/relationships/hyperlink" Target="https://www.soberizavod.ru/catalog/seriya_20_obychnyy_paz_anodirovannyj/profil_konstruktsionnyy_20kh20_an_serebro/" TargetMode="External"/><Relationship Id="rId7" Type="http://schemas.openxmlformats.org/officeDocument/2006/relationships/hyperlink" Target="https://www.soberizavod.ru/catalog/seriya_20_obychnyy_paz_anodirovannyj/profil_konstruktsionnyy_20kh20_an_serebro/" TargetMode="External"/><Relationship Id="rId12" Type="http://schemas.openxmlformats.org/officeDocument/2006/relationships/hyperlink" Target="https://www.soberizavod.ru/catalog/seriya_20_obychnyy_paz_anodirovannyj/profil_konstruktsionnyy_20kh20l_3c_an_serebro/" TargetMode="External"/><Relationship Id="rId2" Type="http://schemas.openxmlformats.org/officeDocument/2006/relationships/hyperlink" Target="https://www.soberizavod.ru/catalog/seriya_20_obychnyy_paz_anodirovannyj/profil_konstruktsionnyy_20kh20_an_serebro/" TargetMode="External"/><Relationship Id="rId1" Type="http://schemas.openxmlformats.org/officeDocument/2006/relationships/hyperlink" Target="https://www.soberizavod.ru/catalog/seriya_20_obychnyy_paz_anodirovannyj/profil_konstruktsionnyy_20kh60l_an_serebro/" TargetMode="External"/><Relationship Id="rId6" Type="http://schemas.openxmlformats.org/officeDocument/2006/relationships/hyperlink" Target="https://www.soberizavod.ru/catalog/seriya_20_obychnyy_paz_anodirovannyj/profil_konstruktsionnyy_20kh20_an_serebro/" TargetMode="External"/><Relationship Id="rId11" Type="http://schemas.openxmlformats.org/officeDocument/2006/relationships/hyperlink" Target="https://www.soberizavod.ru/catalog/seriya_20_obychnyy_paz_anodirovannyj/profil_konstruktsionnyy_20kh20_an_serebro/" TargetMode="External"/><Relationship Id="rId5" Type="http://schemas.openxmlformats.org/officeDocument/2006/relationships/hyperlink" Target="https://www.soberizavod.ru/catalog/seriya_20_v_paz_anodirovannyj/profil_konstruktsionnyy_v20kh20l_an_serebro/" TargetMode="External"/><Relationship Id="rId10" Type="http://schemas.openxmlformats.org/officeDocument/2006/relationships/hyperlink" Target="https://www.soberizavod.ru/catalog/seriya_20_obychnyy_paz_anodirovannyj/profil_konstruktsionnyy_20kh20_an_serebro/" TargetMode="External"/><Relationship Id="rId4" Type="http://schemas.openxmlformats.org/officeDocument/2006/relationships/hyperlink" Target="https://www.soberizavod.ru/catalog/seriya_20_obychnyy_paz_anodirovannyj/profil_konstruktsionnyy_20kh20_an_serebro/" TargetMode="External"/><Relationship Id="rId9" Type="http://schemas.openxmlformats.org/officeDocument/2006/relationships/hyperlink" Target="https://www.soberizavod.ru/catalog/seriya_20_obychnyy_paz_anodirovannyj/profil_konstruktsionnyy_20kh20_an_serebro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t.me/Itdranikk" TargetMode="External"/><Relationship Id="rId3" Type="http://schemas.openxmlformats.org/officeDocument/2006/relationships/hyperlink" Target="http://t.me/Itdranikk" TargetMode="External"/><Relationship Id="rId7" Type="http://schemas.openxmlformats.org/officeDocument/2006/relationships/hyperlink" Target="http://t.me/Itdranikk" TargetMode="External"/><Relationship Id="rId2" Type="http://schemas.openxmlformats.org/officeDocument/2006/relationships/hyperlink" Target="http://t.me/Itdranikk" TargetMode="External"/><Relationship Id="rId1" Type="http://schemas.openxmlformats.org/officeDocument/2006/relationships/hyperlink" Target="http://t.me/Itdranikk" TargetMode="External"/><Relationship Id="rId6" Type="http://schemas.openxmlformats.org/officeDocument/2006/relationships/hyperlink" Target="http://t.me/Itdranikk" TargetMode="External"/><Relationship Id="rId5" Type="http://schemas.openxmlformats.org/officeDocument/2006/relationships/hyperlink" Target="http://t.me/Itdranikk" TargetMode="External"/><Relationship Id="rId10" Type="http://schemas.openxmlformats.org/officeDocument/2006/relationships/hyperlink" Target="http://t.me/Itdranikk" TargetMode="External"/><Relationship Id="rId4" Type="http://schemas.openxmlformats.org/officeDocument/2006/relationships/hyperlink" Target="http://t.me/Itdranikk" TargetMode="External"/><Relationship Id="rId9" Type="http://schemas.openxmlformats.org/officeDocument/2006/relationships/hyperlink" Target="http://t.me/Itdranikk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alli.pub/76ks21?erid=2SDnjefuTjz" TargetMode="External"/><Relationship Id="rId13" Type="http://schemas.openxmlformats.org/officeDocument/2006/relationships/hyperlink" Target="https://alli.pub/76ksd4?erid=2SDnjehQTU8" TargetMode="External"/><Relationship Id="rId3" Type="http://schemas.openxmlformats.org/officeDocument/2006/relationships/hyperlink" Target="https://ali.click/v93cf1k?erid=2SDnjeBQsS2" TargetMode="External"/><Relationship Id="rId7" Type="http://schemas.openxmlformats.org/officeDocument/2006/relationships/hyperlink" Target="https://alli.pub/76ks21?erid=2SDnjefuTjz" TargetMode="External"/><Relationship Id="rId12" Type="http://schemas.openxmlformats.org/officeDocument/2006/relationships/hyperlink" Target="https://alli.pub/76ksd4?erid=2SDnjehQTU8" TargetMode="External"/><Relationship Id="rId17" Type="http://schemas.openxmlformats.org/officeDocument/2006/relationships/hyperlink" Target="https://ali.click/4539j1h?erid=2SDnjc39wKZ" TargetMode="External"/><Relationship Id="rId2" Type="http://schemas.openxmlformats.org/officeDocument/2006/relationships/hyperlink" Target="https://alli.pub/76kpnb?erid=2SDnjcNMrkL" TargetMode="External"/><Relationship Id="rId16" Type="http://schemas.openxmlformats.org/officeDocument/2006/relationships/hyperlink" Target="https://ali.click/4539j1h?erid=2SDnjc39wKZ" TargetMode="External"/><Relationship Id="rId1" Type="http://schemas.openxmlformats.org/officeDocument/2006/relationships/hyperlink" Target="https://alli.pub/76kpnb?erid=2SDnjcNMrkL" TargetMode="External"/><Relationship Id="rId6" Type="http://schemas.openxmlformats.org/officeDocument/2006/relationships/hyperlink" Target="https://alli.pub/76ks21?erid=2SDnjefuTjz" TargetMode="External"/><Relationship Id="rId11" Type="http://schemas.openxmlformats.org/officeDocument/2006/relationships/hyperlink" Target="https://alli.pub/76ksd4?erid=2SDnjehQTU8" TargetMode="External"/><Relationship Id="rId5" Type="http://schemas.openxmlformats.org/officeDocument/2006/relationships/hyperlink" Target="https://ali.click/ck3cf1s?erid=2SDnjee6eWE" TargetMode="External"/><Relationship Id="rId15" Type="http://schemas.openxmlformats.org/officeDocument/2006/relationships/hyperlink" Target="https://alli.pub/76kseo?erid=2SDnjcGZyBJ" TargetMode="External"/><Relationship Id="rId10" Type="http://schemas.openxmlformats.org/officeDocument/2006/relationships/hyperlink" Target="https://alli.pub/76ks21?erid=2SDnjefuTjz" TargetMode="External"/><Relationship Id="rId4" Type="http://schemas.openxmlformats.org/officeDocument/2006/relationships/hyperlink" Target="https://ali.click/v93cf1k?erid=2SDnjeBQsS2" TargetMode="External"/><Relationship Id="rId9" Type="http://schemas.openxmlformats.org/officeDocument/2006/relationships/hyperlink" Target="https://alli.pub/76ks21?erid=2SDnjefuTjz" TargetMode="External"/><Relationship Id="rId14" Type="http://schemas.openxmlformats.org/officeDocument/2006/relationships/hyperlink" Target="https://alli.pub/76ksby?erid=2SDnjeKAe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F44"/>
  <sheetViews>
    <sheetView tabSelected="1" zoomScaleNormal="100" workbookViewId="0">
      <selection activeCell="B3" sqref="B3:C3"/>
    </sheetView>
  </sheetViews>
  <sheetFormatPr defaultColWidth="10.625" defaultRowHeight="15.95" customHeight="1" x14ac:dyDescent="0.3"/>
  <cols>
    <col min="1" max="1" width="30.25" style="23" customWidth="1"/>
    <col min="2" max="2" width="12.625" style="18" customWidth="1"/>
    <col min="3" max="3" width="12.625" style="24" customWidth="1"/>
    <col min="4" max="4" width="95.375" style="18" customWidth="1"/>
    <col min="5" max="16384" width="10.625" style="18"/>
  </cols>
  <sheetData>
    <row r="1" spans="1:6" ht="15.95" customHeight="1" x14ac:dyDescent="0.3">
      <c r="A1" s="88" t="s">
        <v>0</v>
      </c>
      <c r="B1" s="88"/>
      <c r="C1" s="88"/>
      <c r="D1" s="16" t="s">
        <v>1</v>
      </c>
      <c r="E1" s="17"/>
      <c r="F1" s="17"/>
    </row>
    <row r="2" spans="1:6" ht="15.95" customHeight="1" x14ac:dyDescent="0.3">
      <c r="A2" s="19" t="s">
        <v>2</v>
      </c>
      <c r="B2" s="95" t="s">
        <v>3</v>
      </c>
      <c r="C2" s="95"/>
      <c r="D2" s="14" t="s">
        <v>462</v>
      </c>
    </row>
    <row r="3" spans="1:6" ht="15.95" customHeight="1" x14ac:dyDescent="0.3">
      <c r="A3" s="19" t="s">
        <v>4</v>
      </c>
      <c r="B3" s="95" t="s">
        <v>43</v>
      </c>
      <c r="C3" s="95"/>
      <c r="D3" s="14" t="s">
        <v>461</v>
      </c>
    </row>
    <row r="4" spans="1:6" ht="15.95" customHeight="1" x14ac:dyDescent="0.3">
      <c r="A4" s="88" t="s">
        <v>5</v>
      </c>
      <c r="B4" s="88"/>
      <c r="C4" s="88"/>
      <c r="D4" s="92" t="s">
        <v>460</v>
      </c>
    </row>
    <row r="5" spans="1:6" ht="15.95" customHeight="1" x14ac:dyDescent="0.3">
      <c r="A5" s="26" t="s">
        <v>464</v>
      </c>
      <c r="B5" s="27" t="s">
        <v>6</v>
      </c>
      <c r="C5" s="27" t="s">
        <v>7</v>
      </c>
      <c r="D5" s="94"/>
    </row>
    <row r="6" spans="1:6" ht="15.95" customHeight="1" x14ac:dyDescent="0.3">
      <c r="A6" s="21" t="s">
        <v>456</v>
      </c>
      <c r="B6" s="29">
        <v>1.21</v>
      </c>
      <c r="C6" s="28">
        <v>5000</v>
      </c>
      <c r="D6" s="94"/>
    </row>
    <row r="7" spans="1:6" ht="15.95" customHeight="1" x14ac:dyDescent="0.3">
      <c r="A7" s="21" t="s">
        <v>457</v>
      </c>
      <c r="B7" s="29">
        <v>1.1499999999999999</v>
      </c>
      <c r="C7" s="28">
        <v>2000</v>
      </c>
      <c r="D7" s="94"/>
    </row>
    <row r="8" spans="1:6" ht="15.95" customHeight="1" x14ac:dyDescent="0.3">
      <c r="A8" s="21" t="s">
        <v>458</v>
      </c>
      <c r="B8" s="29">
        <v>1.05</v>
      </c>
      <c r="C8" s="28">
        <v>1000</v>
      </c>
      <c r="D8" s="94"/>
    </row>
    <row r="9" spans="1:6" ht="15.95" customHeight="1" x14ac:dyDescent="0.3">
      <c r="A9" s="21" t="s">
        <v>459</v>
      </c>
      <c r="B9" s="29">
        <v>1.2</v>
      </c>
      <c r="C9" s="28">
        <v>2000</v>
      </c>
      <c r="D9" s="93"/>
    </row>
    <row r="10" spans="1:6" ht="15.95" customHeight="1" x14ac:dyDescent="0.3">
      <c r="A10" s="88" t="s">
        <v>9</v>
      </c>
      <c r="B10" s="88"/>
      <c r="C10" s="88"/>
      <c r="D10" s="92" t="s">
        <v>463</v>
      </c>
    </row>
    <row r="11" spans="1:6" ht="15.95" customHeight="1" x14ac:dyDescent="0.3">
      <c r="A11" s="19" t="s">
        <v>10</v>
      </c>
      <c r="B11" s="89">
        <v>82</v>
      </c>
      <c r="C11" s="89"/>
      <c r="D11" s="93"/>
    </row>
    <row r="12" spans="1:6" ht="15.95" customHeight="1" x14ac:dyDescent="0.3">
      <c r="C12" s="18"/>
      <c r="D12" s="24"/>
    </row>
    <row r="13" spans="1:6" ht="15.95" customHeight="1" x14ac:dyDescent="0.3">
      <c r="C13" s="18"/>
      <c r="D13" s="24"/>
    </row>
    <row r="14" spans="1:6" ht="15.95" customHeight="1" x14ac:dyDescent="0.3">
      <c r="C14" s="18"/>
      <c r="D14" s="24"/>
    </row>
    <row r="15" spans="1:6" ht="15.95" customHeight="1" x14ac:dyDescent="0.3">
      <c r="C15" s="18"/>
      <c r="D15" s="24"/>
    </row>
    <row r="16" spans="1:6" ht="15.95" customHeight="1" x14ac:dyDescent="0.3">
      <c r="C16" s="18"/>
      <c r="D16" s="24"/>
    </row>
    <row r="17" spans="1:4" ht="15.95" customHeight="1" x14ac:dyDescent="0.3">
      <c r="C17" s="18"/>
      <c r="D17" s="24"/>
    </row>
    <row r="18" spans="1:4" ht="15.95" customHeight="1" x14ac:dyDescent="0.3">
      <c r="A18" s="88" t="s">
        <v>11</v>
      </c>
      <c r="B18" s="88"/>
      <c r="C18" s="88"/>
      <c r="D18" s="16" t="s">
        <v>1</v>
      </c>
    </row>
    <row r="19" spans="1:4" ht="15.95" customHeight="1" x14ac:dyDescent="0.3">
      <c r="A19" s="80" t="s">
        <v>467</v>
      </c>
      <c r="B19" s="80"/>
      <c r="C19" s="80"/>
      <c r="D19" s="81" t="s">
        <v>465</v>
      </c>
    </row>
    <row r="20" spans="1:4" ht="15.95" customHeight="1" x14ac:dyDescent="0.3">
      <c r="A20" s="19" t="s">
        <v>12</v>
      </c>
      <c r="B20" s="90" t="str" cm="1">
        <f t="array" ref="B20">_xlfn.IFS($B$2="M","400x250 мм",$B$2="L","400x400 мм",$B$2="XL","500x500 мм")</f>
        <v>400x250 мм</v>
      </c>
      <c r="C20" s="90"/>
      <c r="D20" s="81"/>
    </row>
    <row r="21" spans="1:4" ht="15.95" customHeight="1" x14ac:dyDescent="0.3">
      <c r="A21" s="19" t="s">
        <v>13</v>
      </c>
      <c r="B21" s="83" t="str" cm="1">
        <f t="array" ref="B21">_xlfn.IFS($B$2="M","390x250 мм",$B$2="L","390x400 мм",$B$2="XL","490x500 мм")</f>
        <v>390x250 мм</v>
      </c>
      <c r="C21" s="83"/>
      <c r="D21" s="81"/>
    </row>
    <row r="22" spans="1:4" ht="15.95" customHeight="1" x14ac:dyDescent="0.3">
      <c r="A22" s="19" t="s">
        <v>14</v>
      </c>
      <c r="B22" s="83" t="str" cm="1">
        <f t="array" ref="B22">_xlfn.IFS($B$2="M","380x250 мм",$B$2="L","380x400 мм",$B$2="XL","480x500 мм")</f>
        <v>380x250 мм</v>
      </c>
      <c r="C22" s="83"/>
      <c r="D22" s="81"/>
    </row>
    <row r="23" spans="1:4" ht="15.95" customHeight="1" x14ac:dyDescent="0.3">
      <c r="A23" s="19" t="s">
        <v>15</v>
      </c>
      <c r="B23" s="83" t="str" cm="1">
        <f t="array" ref="B23">_xlfn.IFS($B$2="M","2х 180x250 мм",$B$2="L","2х 180x400 мм",$B$2="XL","2х 230x500 мм")</f>
        <v>2х 180x250 мм</v>
      </c>
      <c r="C23" s="83"/>
      <c r="D23" s="81"/>
    </row>
    <row r="24" spans="1:4" ht="15.95" customHeight="1" x14ac:dyDescent="0.3">
      <c r="A24" s="19" t="s">
        <v>16</v>
      </c>
      <c r="B24" s="83" t="str" cm="1">
        <f t="array" ref="B24">_xlfn.IFS($B$2="M","2х 200x250 мм",$B$2="L","2х 200x400 мм",$B$2="XL","2х 250x500 мм")</f>
        <v>2х 200x250 мм</v>
      </c>
      <c r="C24" s="83"/>
      <c r="D24" s="81"/>
    </row>
    <row r="25" spans="1:4" ht="15.95" customHeight="1" x14ac:dyDescent="0.3">
      <c r="A25" s="25" t="s">
        <v>17</v>
      </c>
      <c r="B25" s="91" cm="1">
        <f t="array" ref="B25">_xlfn.IFS($B$2="M",250,$B$2="L",400,$B$2="XL",500)</f>
        <v>250</v>
      </c>
      <c r="C25" s="91"/>
      <c r="D25" s="81"/>
    </row>
    <row r="26" spans="1:4" ht="15.95" customHeight="1" x14ac:dyDescent="0.3">
      <c r="A26" s="25" t="s">
        <v>18</v>
      </c>
      <c r="B26" s="83" t="str" cm="1">
        <f t="array" ref="B26">_xlfn.IFS($B$2="M","688x520x750 мм",$B$2="L","688x670x900 мм",$B$2="XL","788x670x900 мм")</f>
        <v>688x520x750 мм</v>
      </c>
      <c r="C26" s="83"/>
      <c r="D26" s="15" t="s">
        <v>19</v>
      </c>
    </row>
    <row r="27" spans="1:4" ht="15.95" customHeight="1" x14ac:dyDescent="0.3">
      <c r="A27" s="84" t="s">
        <v>466</v>
      </c>
      <c r="B27" s="84"/>
      <c r="C27" s="84"/>
      <c r="D27" s="81" t="s">
        <v>529</v>
      </c>
    </row>
    <row r="28" spans="1:4" ht="15.95" customHeight="1" x14ac:dyDescent="0.3">
      <c r="A28" s="19" t="s">
        <v>470</v>
      </c>
      <c r="B28" s="85">
        <f>SUM('Печатные изд.'!M3:M124)</f>
        <v>638.87999999999988</v>
      </c>
      <c r="C28" s="85"/>
      <c r="D28" s="81"/>
    </row>
    <row r="29" spans="1:4" ht="15.95" customHeight="1" x14ac:dyDescent="0.3">
      <c r="A29" s="19" t="s">
        <v>469</v>
      </c>
      <c r="B29" s="85">
        <f>SUM('Печатные изд.'!N3:N124)</f>
        <v>2183.85</v>
      </c>
      <c r="C29" s="85"/>
      <c r="D29" s="81"/>
    </row>
    <row r="30" spans="1:4" ht="15.95" customHeight="1" x14ac:dyDescent="0.3">
      <c r="A30" s="19" t="s">
        <v>472</v>
      </c>
      <c r="B30" s="86">
        <f>SUM('Печатные изд.'!O3:O124)</f>
        <v>2569.35</v>
      </c>
      <c r="C30" s="86"/>
      <c r="D30" s="81"/>
    </row>
    <row r="31" spans="1:4" ht="15.95" customHeight="1" x14ac:dyDescent="0.3">
      <c r="A31" s="19" t="s">
        <v>471</v>
      </c>
      <c r="B31" s="87">
        <f>SUM('Печатные изд.'!P3:P124)</f>
        <v>36</v>
      </c>
      <c r="C31" s="87"/>
      <c r="D31" s="81"/>
    </row>
    <row r="32" spans="1:4" ht="15.95" customHeight="1" x14ac:dyDescent="0.3">
      <c r="A32" s="80" t="s">
        <v>468</v>
      </c>
      <c r="B32" s="80"/>
      <c r="C32" s="80"/>
      <c r="D32" s="81" t="s">
        <v>20</v>
      </c>
    </row>
    <row r="33" spans="1:4" ht="15.95" customHeight="1" x14ac:dyDescent="0.3">
      <c r="A33" s="19" t="s">
        <v>21</v>
      </c>
      <c r="B33" s="82">
        <f>SUM(B34:C38)</f>
        <v>81566.77767499999</v>
      </c>
      <c r="C33" s="82"/>
      <c r="D33" s="81"/>
    </row>
    <row r="34" spans="1:4" ht="15.95" customHeight="1" x14ac:dyDescent="0.3">
      <c r="A34" s="19" t="s">
        <v>22</v>
      </c>
      <c r="B34" s="82">
        <f>SUM('Покупные изд.'!J3:J9)</f>
        <v>20042.150000000001</v>
      </c>
      <c r="C34" s="82"/>
      <c r="D34" s="81"/>
    </row>
    <row r="35" spans="1:4" ht="15.95" customHeight="1" x14ac:dyDescent="0.3">
      <c r="A35" s="19" t="s">
        <v>23</v>
      </c>
      <c r="B35" s="82">
        <f>SUM('Покупные изд.'!J11:J19)</f>
        <v>13785.045</v>
      </c>
      <c r="C35" s="82"/>
      <c r="D35" s="81"/>
    </row>
    <row r="36" spans="1:4" ht="15.95" customHeight="1" x14ac:dyDescent="0.3">
      <c r="A36" s="19" t="s">
        <v>490</v>
      </c>
      <c r="B36" s="82">
        <f>SUM('Покупные изд.'!J21:J40)</f>
        <v>14608.682274999999</v>
      </c>
      <c r="C36" s="82"/>
      <c r="D36" s="81"/>
    </row>
    <row r="37" spans="1:4" ht="15.95" customHeight="1" x14ac:dyDescent="0.3">
      <c r="A37" s="19" t="s">
        <v>24</v>
      </c>
      <c r="B37" s="82">
        <f>SUM('Покупные изд.'!J42:J53)</f>
        <v>22755.499999999996</v>
      </c>
      <c r="C37" s="82"/>
      <c r="D37" s="81"/>
    </row>
    <row r="38" spans="1:4" ht="15.95" customHeight="1" x14ac:dyDescent="0.3">
      <c r="A38" s="19" t="s">
        <v>25</v>
      </c>
      <c r="B38" s="82">
        <f>SUM('Покупные изд.'!J55:J65)</f>
        <v>10375.400399999999</v>
      </c>
      <c r="C38" s="82"/>
      <c r="D38" s="81"/>
    </row>
    <row r="39" spans="1:4" ht="15.95" customHeight="1" x14ac:dyDescent="0.3">
      <c r="A39" s="19" t="s">
        <v>26</v>
      </c>
      <c r="B39" s="82">
        <f>SUM('Стандартные изд.'!L2:L40)</f>
        <v>12247.970000000001</v>
      </c>
      <c r="C39" s="82"/>
      <c r="D39" s="81"/>
    </row>
    <row r="40" spans="1:4" ht="15.95" customHeight="1" x14ac:dyDescent="0.3">
      <c r="A40" s="19" t="s">
        <v>27</v>
      </c>
      <c r="B40" s="82">
        <f>SUM('Печатные изд.'!Q3:Q124)</f>
        <v>10203.450000000001</v>
      </c>
      <c r="C40" s="82"/>
      <c r="D40" s="81"/>
    </row>
    <row r="41" spans="1:4" ht="15.95" customHeight="1" x14ac:dyDescent="0.3">
      <c r="A41" s="19" t="s">
        <v>28</v>
      </c>
      <c r="B41" s="82">
        <f>SUM(Профиль!O2:O13)</f>
        <v>7361.3200000000006</v>
      </c>
      <c r="C41" s="82"/>
      <c r="D41" s="81"/>
    </row>
    <row r="42" spans="1:4" ht="15.95" customHeight="1" x14ac:dyDescent="0.3">
      <c r="A42" s="19" t="s">
        <v>29</v>
      </c>
      <c r="B42" s="82">
        <f>Зашивка!H3+Зашивка!H7</f>
        <v>20550</v>
      </c>
      <c r="C42" s="82"/>
      <c r="D42" s="81"/>
    </row>
    <row r="43" spans="1:4" ht="15.95" customHeight="1" x14ac:dyDescent="0.3">
      <c r="A43" s="19" t="s">
        <v>30</v>
      </c>
      <c r="B43" s="82">
        <f>SUM(Проводка!K4:K8,Проводка!K10:K21)</f>
        <v>3657.82</v>
      </c>
      <c r="C43" s="82"/>
      <c r="D43" s="81"/>
    </row>
    <row r="44" spans="1:4" ht="15.95" customHeight="1" x14ac:dyDescent="0.3">
      <c r="A44" s="19" t="s">
        <v>31</v>
      </c>
      <c r="B44" s="82">
        <f>SUM(B33,B39:C43)</f>
        <v>135587.33767500002</v>
      </c>
      <c r="C44" s="82"/>
      <c r="D44" s="81"/>
    </row>
  </sheetData>
  <mergeCells count="38">
    <mergeCell ref="D4:D9"/>
    <mergeCell ref="A1:C1"/>
    <mergeCell ref="B2:C2"/>
    <mergeCell ref="B3:C3"/>
    <mergeCell ref="A4:C4"/>
    <mergeCell ref="A10:C10"/>
    <mergeCell ref="B11:C11"/>
    <mergeCell ref="A18:C18"/>
    <mergeCell ref="A19:C19"/>
    <mergeCell ref="D19:D25"/>
    <mergeCell ref="B20:C20"/>
    <mergeCell ref="B21:C21"/>
    <mergeCell ref="B22:C22"/>
    <mergeCell ref="B23:C23"/>
    <mergeCell ref="B24:C24"/>
    <mergeCell ref="B25:C25"/>
    <mergeCell ref="D10:D11"/>
    <mergeCell ref="B26:C26"/>
    <mergeCell ref="A27:C27"/>
    <mergeCell ref="D27:D31"/>
    <mergeCell ref="B29:C29"/>
    <mergeCell ref="B30:C30"/>
    <mergeCell ref="B31:C31"/>
    <mergeCell ref="B28:C28"/>
    <mergeCell ref="A32:C32"/>
    <mergeCell ref="D32:D44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</mergeCells>
  <dataValidations count="19">
    <dataValidation operator="equal" allowBlank="1" showErrorMessage="1" sqref="B1:C1 B4:B9 C2 B10:C1044 C4:C9" xr:uid="{00000000-0002-0000-0000-000000000000}">
      <formula1>0</formula1>
      <formula2>0</formula2>
    </dataValidation>
    <dataValidation type="list" operator="equal" allowBlank="1" showErrorMessage="1" sqref="B2" xr:uid="{00000000-0002-0000-0000-000001000000}">
      <formula1>"M,L,XL"</formula1>
      <formula2>0</formula2>
    </dataValidation>
    <dataValidation operator="equal" allowBlank="1" showInputMessage="1" showErrorMessage="1" promptTitle="Область печати" prompt="Область печати разнится в зависимости от режима_x000a_работы принтера:_x000a__x000a_Базовая - размер горячей части стола. Физический_x000a_размер плиты стола будет на 50мм больше вдоль_x000a_оси Y. Этот припуск требуется для более_x000a_равномерного прогрева переднего и заднего_x000a_краёв стола," sqref="A19:A24" xr:uid="{00000000-0002-0000-0000-000004000000}">
      <formula1>0</formula1>
      <formula2>0</formula2>
    </dataValidation>
    <dataValidation operator="equal" allowBlank="1" showInputMessage="1" showErrorMessage="1" promptTitle="Область печати по Z" prompt="Область печати по Z имеет базовый размер 250мм_x000a_для M, 400мм для L и 500мм для XL при_x000a_использовании хотэнда, аналогичного Goliath по_x000a_длине. Установка более короткого хотэнда приведёт к_x000a_увеличению области печати по Z." sqref="A25" xr:uid="{00000000-0002-0000-0000-000005000000}">
      <formula1>0</formula1>
      <formula2>0</formula2>
    </dataValidation>
    <dataValidation operator="equal" allowBlank="1" showInputMessage="1" showErrorMessage="1" promptTitle="Габарит принтера" prompt="Внешний габарит принтера по самым выступающим_x000a_элементам - головкам винтов, ручкам дверей и т.д._x000a_При сравнении габарита с другими принтерами_x000a_учитывайте, что у VOSTOK'а, в отличие от_x000a_большинства других конструкций, катушки пластика_x000a_располагаются над отсеком" sqref="A26" xr:uid="{00000000-0002-0000-0000-000006000000}">
      <formula1>0</formula1>
      <formula2>0</formula2>
    </dataValidation>
    <dataValidation operator="equal" allowBlank="1" showInputMessage="1" showErrorMessage="1" promptTitle="Расход филамента" prompt="Сколько и на какую сумму будет затрачено разных_x000a_видов филамента. Запас учитывается." sqref="A27:A31" xr:uid="{00000000-0002-0000-0000-000007000000}">
      <formula1>0</formula1>
      <formula2>0</formula2>
    </dataValidation>
    <dataValidation operator="equal" allowBlank="1" showInputMessage="1" showErrorMessage="1" promptTitle="Стоимость покупных изделий" prompt="Суммарная стоимость покупных изделий - хотэндов,_x000a_рельс, ремней и т.д. На неё влияет выбранная_x000a_конфигурация принтера и запас ремней." sqref="A33" xr:uid="{00000000-0002-0000-0000-000008000000}">
      <formula1>0</formula1>
      <formula2>0</formula2>
    </dataValidation>
    <dataValidation operator="equal" allowBlank="1" showInputMessage="1" showErrorMessage="1" promptTitle="Стоимость печатающих голов" prompt="Суммарная стоимость покупных деталей, требуемых_x000a_для сборки двух печатающих голов. Не включает в_x000a_себя стоимость стандартных изделий." sqref="A34" xr:uid="{00000000-0002-0000-0000-000009000000}">
      <formula1>0</formula1>
      <formula2>0</formula2>
    </dataValidation>
    <dataValidation operator="equal" allowBlank="1" showInputMessage="1" showErrorMessage="1" promptTitle="Стоимость механики портала" prompt="Суммарная стоимость деталей, требуемых для_x000a_сборки механики портала, за исключением_x000a_печатающих голов. Не включает в себя стоимость_x000a_стандартных изделий и алюминиевых профилей." sqref="A35" xr:uid="{00000000-0002-0000-0000-00000A000000}">
      <formula1>0</formula1>
      <formula2>0</formula2>
    </dataValidation>
    <dataValidation operator="equal" allowBlank="1" showInputMessage="1" showErrorMessage="1" promptTitle="Стоимость механики оси Z" prompt="Суммарная стоимость покупных деталей, требуемых_x000a_для сборки механики оси Z. Не включает в себя_x000a_печатные детали, профили и стандартные изделия." sqref="A36" xr:uid="{00000000-0002-0000-0000-00000B000000}">
      <formula1>0</formula1>
      <formula2>0</formula2>
    </dataValidation>
    <dataValidation operator="equal" allowBlank="1" showInputMessage="1" showErrorMessage="1" promptTitle="Стоимость электроники" prompt="Суммарная стоимость покупных деталей, требуемых_x000a_для сборки электроники. Не включает в себя_x000a_стандартные изделия, проводку и разъёмы." sqref="A37" xr:uid="{00000000-0002-0000-0000-00000D000000}">
      <formula1>0</formula1>
      <formula2>0</formula2>
    </dataValidation>
    <dataValidation operator="equal" allowBlank="1" showInputMessage="1" showErrorMessage="1" promptTitle="Стоимость других деталей" prompt="Суммарная стоимость покупных деталей, требуемых_x000a_для сборки принтера, но не вошедших в другие_x000a_категории." sqref="A38" xr:uid="{00000000-0002-0000-0000-00000E000000}">
      <formula1>0</formula1>
      <formula2>0</formula2>
    </dataValidation>
    <dataValidation operator="equal" allowBlank="1" showInputMessage="1" showErrorMessage="1" promptTitle="Стоимость стандартных изделий" prompt="Суммарная стоимость стандартных изделий - винтов,_x000a_гаек, вплавляемых резьбовых втулок, пружин,_x000a_подшипников и т.д. с учётом запаса." sqref="A39" xr:uid="{00000000-0002-0000-0000-00000F000000}">
      <formula1>0</formula1>
      <formula2>0</formula2>
    </dataValidation>
    <dataValidation operator="equal" allowBlank="1" showInputMessage="1" showErrorMessage="1" promptTitle="Стоимость печатных изделий" prompt="Суммарная стоимость всех печатных деталей,_x000a_требуемых для сборки принтера, включая запас._x000a_Затраты на поддержки, неудачные печати и т.д._x000a_включены в запас." sqref="A40" xr:uid="{00000000-0002-0000-0000-000010000000}">
      <formula1>0</formula1>
      <formula2>0</formula2>
    </dataValidation>
    <dataValidation operator="equal" allowBlank="1" showInputMessage="1" showErrorMessage="1" promptTitle="Стоимость профилей" prompt="Суммарная стоимость всех профилей, требуемых_x000a_для сборки принтера. Сверление и нарезка резьбы_x000a_не учтены." sqref="A41" xr:uid="{00000000-0002-0000-0000-000011000000}">
      <formula1>0</formula1>
      <formula2>0</formula2>
    </dataValidation>
    <dataValidation operator="equal" allowBlank="1" showInputMessage="1" showErrorMessage="1" promptTitle="Стоимость зашивки" prompt="Будет добавлено в следующих версиях." sqref="A42" xr:uid="{00000000-0002-0000-0000-000012000000}">
      <formula1>0</formula1>
      <formula2>0</formula2>
    </dataValidation>
    <dataValidation operator="equal" allowBlank="1" showInputMessage="1" showErrorMessage="1" promptTitle="Стоимость проводки и разъёмов" prompt="Суммарная стоимость всех проводов и разъёмов,_x000a_требуемых для сборки принтера, учитывая запас." sqref="A43" xr:uid="{00000000-0002-0000-0000-000013000000}">
      <formula1>0</formula1>
      <formula2>0</formula2>
    </dataValidation>
    <dataValidation operator="equal" allowBlank="1" showInputMessage="1" showErrorMessage="1" promptTitle="Стоимость итого" prompt="Суммарная стоимость всех деталей, требуемых для_x000a_сборки принтера в выбранной конфигурации._x000a__x000a_Реально затраченная на сборку принтера сумма_x000a_может отличаться от расчётной ввиду разницы_x000a_стоимости доставки (в расчёте для большинства_x000a_товаров учтена доставка до Мо" sqref="A44" xr:uid="{00000000-0002-0000-0000-000014000000}">
      <formula1>0</formula1>
      <formula2>0</formula2>
    </dataValidation>
    <dataValidation type="list" allowBlank="1" showInputMessage="1" showErrorMessage="1" sqref="B3:C3" xr:uid="{2D8B182A-6A0F-4806-A920-40CFBC92BF92}">
      <formula1>"Goliath,Goliath ALPS,CHC XL"</formula1>
    </dataValidation>
  </dataValidation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&amp;C&amp;"Arial,Обычный"&amp;A</oddHeader>
    <oddFooter>&amp;C&amp;"Arial,Обычный"Page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M65"/>
  <sheetViews>
    <sheetView zoomScaleNormal="100" workbookViewId="0">
      <selection activeCell="F17" sqref="F17"/>
    </sheetView>
  </sheetViews>
  <sheetFormatPr defaultColWidth="10.625" defaultRowHeight="16.5" x14ac:dyDescent="0.3"/>
  <cols>
    <col min="1" max="1" width="46.375" style="23" customWidth="1"/>
    <col min="2" max="5" width="6.625" style="38" hidden="1" customWidth="1"/>
    <col min="6" max="6" width="8.625" style="38" customWidth="1"/>
    <col min="7" max="7" width="13.375" style="39" hidden="1" customWidth="1"/>
    <col min="8" max="8" width="12.125" style="23" hidden="1" customWidth="1"/>
    <col min="9" max="10" width="10.625" style="39"/>
    <col min="11" max="11" width="8.25" style="38" customWidth="1"/>
    <col min="12" max="12" width="74.25" style="45" customWidth="1"/>
    <col min="13" max="13" width="10.625" style="18"/>
    <col min="14" max="16384" width="10.625" style="23"/>
  </cols>
  <sheetData>
    <row r="1" spans="1:12" ht="33" x14ac:dyDescent="0.3">
      <c r="A1" s="75" t="s">
        <v>32</v>
      </c>
      <c r="B1" s="16" t="s">
        <v>474</v>
      </c>
      <c r="C1" s="16" t="s">
        <v>475</v>
      </c>
      <c r="D1" s="16" t="s">
        <v>473</v>
      </c>
      <c r="E1" s="16" t="s">
        <v>35</v>
      </c>
      <c r="F1" s="30" t="s">
        <v>530</v>
      </c>
      <c r="G1" s="31" t="s">
        <v>36</v>
      </c>
      <c r="H1" s="30" t="s">
        <v>481</v>
      </c>
      <c r="I1" s="31" t="s">
        <v>480</v>
      </c>
      <c r="J1" s="31" t="s">
        <v>479</v>
      </c>
      <c r="K1" s="16" t="s">
        <v>112</v>
      </c>
      <c r="L1" s="30" t="s">
        <v>1</v>
      </c>
    </row>
    <row r="2" spans="1:12" x14ac:dyDescent="0.3">
      <c r="A2" s="88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</row>
    <row r="3" spans="1:12" x14ac:dyDescent="0.3">
      <c r="A3" s="19" t="s">
        <v>40</v>
      </c>
      <c r="B3" s="33">
        <v>2</v>
      </c>
      <c r="C3" s="33">
        <v>2</v>
      </c>
      <c r="D3" s="33">
        <v>2</v>
      </c>
      <c r="E3" s="33">
        <v>1</v>
      </c>
      <c r="F3" s="34">
        <f>_xlfn.IFS(Настройки!$B$2="M",B3,Настройки!$B$2="L",C3,Настройки!$B$2="XL",D3)*E3</f>
        <v>2</v>
      </c>
      <c r="G3" s="35">
        <v>916.75</v>
      </c>
      <c r="H3" s="22">
        <f>Настройки!$B$11/Константы!$B$1</f>
        <v>1</v>
      </c>
      <c r="I3" s="35">
        <f t="shared" ref="I3:I9" si="0">G3*H3</f>
        <v>916.75</v>
      </c>
      <c r="J3" s="35">
        <f t="shared" ref="J3:J9" si="1">F3*I3</f>
        <v>1833.5</v>
      </c>
      <c r="K3" s="36" t="s">
        <v>41</v>
      </c>
      <c r="L3" s="14"/>
    </row>
    <row r="4" spans="1:12" x14ac:dyDescent="0.3">
      <c r="A4" s="19" t="s">
        <v>42</v>
      </c>
      <c r="B4" s="33">
        <v>2</v>
      </c>
      <c r="C4" s="33">
        <v>2</v>
      </c>
      <c r="D4" s="33">
        <v>2</v>
      </c>
      <c r="E4" s="33">
        <v>1</v>
      </c>
      <c r="F4" s="34">
        <f>_xlfn.IFS(Настройки!$B$2="M",B4,Настройки!$B$2="L",C4,Настройки!$B$2="XL",D4)*E4</f>
        <v>2</v>
      </c>
      <c r="G4" s="35">
        <v>1292.95</v>
      </c>
      <c r="H4" s="22">
        <f>Настройки!$B$11/Константы!$B$1</f>
        <v>1</v>
      </c>
      <c r="I4" s="35">
        <f t="shared" si="0"/>
        <v>1292.95</v>
      </c>
      <c r="J4" s="35">
        <f t="shared" si="1"/>
        <v>2585.9</v>
      </c>
      <c r="K4" s="36" t="s">
        <v>41</v>
      </c>
      <c r="L4" s="14"/>
    </row>
    <row r="5" spans="1:12" x14ac:dyDescent="0.3">
      <c r="A5" s="19" t="s">
        <v>483</v>
      </c>
      <c r="B5" s="33">
        <v>2</v>
      </c>
      <c r="C5" s="33">
        <v>2</v>
      </c>
      <c r="D5" s="33">
        <v>2</v>
      </c>
      <c r="E5" s="33" cm="1">
        <f t="array" ref="E5">_xlfn.IFS(Настройки!B3="Goliath",1,Настройки!B3="Goliath ALPS",1,TRUE,0)</f>
        <v>0</v>
      </c>
      <c r="F5" s="34">
        <f>_xlfn.IFS(Настройки!$B$2="M",B5,Настройки!$B$2="L",C5,Настройки!$B$2="XL",D5)*E5</f>
        <v>0</v>
      </c>
      <c r="G5" s="35">
        <v>10283.75</v>
      </c>
      <c r="H5" s="22">
        <f>Настройки!$B$11/Константы!$B$1</f>
        <v>1</v>
      </c>
      <c r="I5" s="35">
        <f t="shared" si="0"/>
        <v>10283.75</v>
      </c>
      <c r="J5" s="35">
        <f t="shared" si="1"/>
        <v>0</v>
      </c>
      <c r="K5" s="36" t="s">
        <v>41</v>
      </c>
      <c r="L5" s="14"/>
    </row>
    <row r="6" spans="1:12" x14ac:dyDescent="0.3">
      <c r="A6" s="19" t="s">
        <v>482</v>
      </c>
      <c r="B6" s="33">
        <v>2</v>
      </c>
      <c r="C6" s="33">
        <v>2</v>
      </c>
      <c r="D6" s="33">
        <v>2</v>
      </c>
      <c r="E6" s="33">
        <f>IF(Настройки!B3="Goliath ALPS",1,0)</f>
        <v>0</v>
      </c>
      <c r="F6" s="34">
        <f>_xlfn.IFS(Настройки!$B$2="M",B6,Настройки!$B$2="L",C6,Настройки!$B$2="XL",D6)*E6</f>
        <v>0</v>
      </c>
      <c r="G6" s="35">
        <v>2002.6</v>
      </c>
      <c r="H6" s="22">
        <f>Настройки!$B$11/Константы!$B$1</f>
        <v>1</v>
      </c>
      <c r="I6" s="35">
        <f t="shared" si="0"/>
        <v>2002.6</v>
      </c>
      <c r="J6" s="35">
        <f t="shared" si="1"/>
        <v>0</v>
      </c>
      <c r="K6" s="36" t="s">
        <v>41</v>
      </c>
      <c r="L6" s="14"/>
    </row>
    <row r="7" spans="1:12" x14ac:dyDescent="0.3">
      <c r="A7" s="19" t="s">
        <v>43</v>
      </c>
      <c r="B7" s="33">
        <v>2</v>
      </c>
      <c r="C7" s="33">
        <v>2</v>
      </c>
      <c r="D7" s="33">
        <v>2</v>
      </c>
      <c r="E7" s="33">
        <f>IF(Настройки!B3="CHC XL",1,0)</f>
        <v>1</v>
      </c>
      <c r="F7" s="34">
        <f>_xlfn.IFS(Настройки!$B$2="M",B7,Настройки!$B$2="L",C7,Настройки!$B$2="XL",D7)*E7</f>
        <v>2</v>
      </c>
      <c r="G7" s="35">
        <v>6663.2999999999993</v>
      </c>
      <c r="H7" s="22">
        <f>Настройки!$B$11/Константы!$B$1</f>
        <v>1</v>
      </c>
      <c r="I7" s="35">
        <f t="shared" si="0"/>
        <v>6663.2999999999993</v>
      </c>
      <c r="J7" s="35">
        <f t="shared" si="1"/>
        <v>13326.599999999999</v>
      </c>
      <c r="K7" s="36" t="s">
        <v>41</v>
      </c>
      <c r="L7" s="14"/>
    </row>
    <row r="8" spans="1:12" ht="42.75" x14ac:dyDescent="0.3">
      <c r="A8" s="19" t="s">
        <v>484</v>
      </c>
      <c r="B8" s="33">
        <v>2</v>
      </c>
      <c r="C8" s="33">
        <v>2</v>
      </c>
      <c r="D8" s="33">
        <v>2</v>
      </c>
      <c r="E8" s="33">
        <v>1</v>
      </c>
      <c r="F8" s="34">
        <f>_xlfn.IFS(Настройки!$B$2="M",B8,Настройки!$B$2="L",C8,Настройки!$B$2="XL",D8)*E8</f>
        <v>2</v>
      </c>
      <c r="G8" s="35">
        <v>503.5</v>
      </c>
      <c r="H8" s="22">
        <f>Настройки!$B$11/Константы!$B$1</f>
        <v>1</v>
      </c>
      <c r="I8" s="35">
        <f t="shared" si="0"/>
        <v>503.5</v>
      </c>
      <c r="J8" s="35">
        <f t="shared" si="1"/>
        <v>1007</v>
      </c>
      <c r="K8" s="36" t="s">
        <v>41</v>
      </c>
      <c r="L8" s="14" t="s">
        <v>485</v>
      </c>
    </row>
    <row r="9" spans="1:12" x14ac:dyDescent="0.3">
      <c r="A9" s="19" t="s">
        <v>44</v>
      </c>
      <c r="B9" s="33">
        <v>1</v>
      </c>
      <c r="C9" s="33">
        <v>1</v>
      </c>
      <c r="D9" s="33">
        <v>1</v>
      </c>
      <c r="E9" s="33">
        <f>IF(Настройки!B3="Goliath ALPS",0,1)</f>
        <v>1</v>
      </c>
      <c r="F9" s="34">
        <f>_xlfn.IFS(Настройки!$B$2="M",B9,Настройки!$B$2="L",C9,Настройки!$B$2="XL",D9)*E9</f>
        <v>1</v>
      </c>
      <c r="G9" s="35">
        <v>1289.1499999999999</v>
      </c>
      <c r="H9" s="22">
        <f>Настройки!$B$11/Константы!$B$1</f>
        <v>1</v>
      </c>
      <c r="I9" s="35">
        <f t="shared" si="0"/>
        <v>1289.1499999999999</v>
      </c>
      <c r="J9" s="35">
        <f t="shared" si="1"/>
        <v>1289.1499999999999</v>
      </c>
      <c r="K9" s="36" t="s">
        <v>41</v>
      </c>
      <c r="L9" s="14"/>
    </row>
    <row r="10" spans="1:12" x14ac:dyDescent="0.3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6"/>
      <c r="L10" s="96"/>
    </row>
    <row r="11" spans="1:12" ht="42.75" x14ac:dyDescent="0.3">
      <c r="A11" s="19" t="s">
        <v>45</v>
      </c>
      <c r="B11" s="33">
        <v>500</v>
      </c>
      <c r="C11" s="33">
        <v>500</v>
      </c>
      <c r="D11" s="33">
        <v>600</v>
      </c>
      <c r="E11" s="33">
        <v>1</v>
      </c>
      <c r="F11" s="34">
        <f>_xlfn.IFS(Настройки!$B$2="M",B11,Настройки!$B$2="L",C11,Настройки!$B$2="XL",D11)*E11</f>
        <v>500</v>
      </c>
      <c r="G11" s="37">
        <f>294/500</f>
        <v>0.58799999999999997</v>
      </c>
      <c r="H11" s="22">
        <v>1</v>
      </c>
      <c r="I11" s="37">
        <f t="shared" ref="I11:I19" si="2">G11*H11</f>
        <v>0.58799999999999997</v>
      </c>
      <c r="J11" s="35">
        <f t="shared" ref="J11:J19" si="3">F11*I11</f>
        <v>294</v>
      </c>
      <c r="K11" s="36" t="s">
        <v>46</v>
      </c>
      <c r="L11" s="14" t="s">
        <v>486</v>
      </c>
    </row>
    <row r="12" spans="1:12" x14ac:dyDescent="0.3">
      <c r="A12" s="19" t="s">
        <v>47</v>
      </c>
      <c r="B12" s="33">
        <v>1</v>
      </c>
      <c r="C12" s="33">
        <v>1</v>
      </c>
      <c r="D12" s="33">
        <v>0</v>
      </c>
      <c r="E12" s="33">
        <v>1</v>
      </c>
      <c r="F12" s="34">
        <f>_xlfn.IFS(Настройки!$B$2="M",B12,Настройки!$B$2="L",C12,Настройки!$B$2="XL",D12)*E12</f>
        <v>1</v>
      </c>
      <c r="G12" s="37">
        <v>1800.25</v>
      </c>
      <c r="H12" s="22">
        <f>Настройки!$B$11/Константы!$B$1</f>
        <v>1</v>
      </c>
      <c r="I12" s="35">
        <f t="shared" si="2"/>
        <v>1800.25</v>
      </c>
      <c r="J12" s="35">
        <f t="shared" si="3"/>
        <v>1800.25</v>
      </c>
      <c r="K12" s="36" t="s">
        <v>41</v>
      </c>
      <c r="L12" s="14"/>
    </row>
    <row r="13" spans="1:12" x14ac:dyDescent="0.3">
      <c r="A13" s="19" t="s">
        <v>48</v>
      </c>
      <c r="B13" s="33">
        <v>0</v>
      </c>
      <c r="C13" s="33">
        <v>0</v>
      </c>
      <c r="D13" s="33">
        <v>1</v>
      </c>
      <c r="E13" s="33">
        <v>1</v>
      </c>
      <c r="F13" s="34">
        <f>_xlfn.IFS(Настройки!$B$2="M",B13,Настройки!$B$2="L",C13,Настройки!$B$2="XL",D13)*E13</f>
        <v>0</v>
      </c>
      <c r="G13" s="37">
        <v>2913.65</v>
      </c>
      <c r="H13" s="22">
        <f>Настройки!$B$11/Константы!$B$1</f>
        <v>1</v>
      </c>
      <c r="I13" s="35">
        <f t="shared" si="2"/>
        <v>2913.65</v>
      </c>
      <c r="J13" s="35">
        <f t="shared" si="3"/>
        <v>0</v>
      </c>
      <c r="K13" s="36" t="s">
        <v>41</v>
      </c>
      <c r="L13" s="14"/>
    </row>
    <row r="14" spans="1:12" x14ac:dyDescent="0.3">
      <c r="A14" s="19" t="s">
        <v>49</v>
      </c>
      <c r="B14" s="33">
        <v>2</v>
      </c>
      <c r="C14" s="33">
        <v>0</v>
      </c>
      <c r="D14" s="33">
        <v>0</v>
      </c>
      <c r="E14" s="33">
        <v>1</v>
      </c>
      <c r="F14" s="34">
        <f>_xlfn.IFS(Настройки!$B$2="M",B14,Настройки!$B$2="L",C14,Настройки!$B$2="XL",D14)*E14</f>
        <v>2</v>
      </c>
      <c r="G14" s="37">
        <v>1500.05</v>
      </c>
      <c r="H14" s="22">
        <f>Настройки!$B$11/Константы!$B$1</f>
        <v>1</v>
      </c>
      <c r="I14" s="35">
        <f t="shared" si="2"/>
        <v>1500.05</v>
      </c>
      <c r="J14" s="35">
        <f t="shared" si="3"/>
        <v>3000.1</v>
      </c>
      <c r="K14" s="36" t="s">
        <v>41</v>
      </c>
      <c r="L14" s="14"/>
    </row>
    <row r="15" spans="1:12" x14ac:dyDescent="0.3">
      <c r="A15" s="19" t="s">
        <v>50</v>
      </c>
      <c r="B15" s="33">
        <v>0</v>
      </c>
      <c r="C15" s="33">
        <v>2</v>
      </c>
      <c r="D15" s="33">
        <v>0</v>
      </c>
      <c r="E15" s="33">
        <v>1</v>
      </c>
      <c r="F15" s="34">
        <f>_xlfn.IFS(Настройки!$B$2="M",B15,Настройки!$B$2="L",C15,Настройки!$B$2="XL",D15)*E15</f>
        <v>0</v>
      </c>
      <c r="G15" s="37">
        <v>1813.55</v>
      </c>
      <c r="H15" s="22">
        <f>Настройки!$B$11/Константы!$B$1</f>
        <v>1</v>
      </c>
      <c r="I15" s="35">
        <f t="shared" si="2"/>
        <v>1813.55</v>
      </c>
      <c r="J15" s="35">
        <f t="shared" si="3"/>
        <v>0</v>
      </c>
      <c r="K15" s="36" t="s">
        <v>41</v>
      </c>
      <c r="L15" s="14"/>
    </row>
    <row r="16" spans="1:12" x14ac:dyDescent="0.3">
      <c r="A16" s="19" t="s">
        <v>51</v>
      </c>
      <c r="B16" s="33">
        <v>0</v>
      </c>
      <c r="C16" s="33">
        <v>0</v>
      </c>
      <c r="D16" s="33">
        <v>2</v>
      </c>
      <c r="E16" s="33">
        <v>1</v>
      </c>
      <c r="F16" s="34">
        <f>_xlfn.IFS(Настройки!$B$2="M",B16,Настройки!$B$2="L",C16,Настройки!$B$2="XL",D16)*E16</f>
        <v>0</v>
      </c>
      <c r="G16" s="37">
        <v>1946.55</v>
      </c>
      <c r="H16" s="22">
        <f>Настройки!$B$11/Константы!$B$1</f>
        <v>1</v>
      </c>
      <c r="I16" s="35">
        <f t="shared" si="2"/>
        <v>1946.55</v>
      </c>
      <c r="J16" s="35">
        <f t="shared" si="3"/>
        <v>0</v>
      </c>
      <c r="K16" s="36" t="s">
        <v>41</v>
      </c>
      <c r="L16" s="14"/>
    </row>
    <row r="17" spans="1:12" ht="42.75" x14ac:dyDescent="0.3">
      <c r="A17" s="19" t="s">
        <v>52</v>
      </c>
      <c r="B17" s="33">
        <v>4</v>
      </c>
      <c r="C17" s="33">
        <v>4</v>
      </c>
      <c r="D17" s="33">
        <v>4</v>
      </c>
      <c r="E17" s="33">
        <v>1</v>
      </c>
      <c r="F17" s="34">
        <f>_xlfn.IFS(Настройки!$B$2="M",B17,Настройки!$B$2="L",C17,Настройки!$B$2="XL",D17)*E17</f>
        <v>4</v>
      </c>
      <c r="G17" s="35">
        <v>1117.9124999999999</v>
      </c>
      <c r="H17" s="22">
        <f>Настройки!$B$11/Константы!$B$1</f>
        <v>1</v>
      </c>
      <c r="I17" s="35">
        <f t="shared" si="2"/>
        <v>1117.9124999999999</v>
      </c>
      <c r="J17" s="35">
        <f t="shared" si="3"/>
        <v>4471.6499999999996</v>
      </c>
      <c r="K17" s="36" t="s">
        <v>41</v>
      </c>
      <c r="L17" s="14" t="s">
        <v>53</v>
      </c>
    </row>
    <row r="18" spans="1:12" x14ac:dyDescent="0.3">
      <c r="A18" s="19" t="s">
        <v>54</v>
      </c>
      <c r="B18" s="33">
        <v>4</v>
      </c>
      <c r="C18" s="33">
        <v>4</v>
      </c>
      <c r="D18" s="33">
        <v>4</v>
      </c>
      <c r="E18" s="33">
        <v>1</v>
      </c>
      <c r="F18" s="34">
        <f>_xlfn.IFS(Настройки!$B$2="M",B18,Настройки!$B$2="L",C18,Настройки!$B$2="XL",D18)*E18</f>
        <v>4</v>
      </c>
      <c r="G18" s="35">
        <v>512.04999999999995</v>
      </c>
      <c r="H18" s="22">
        <f>Настройки!$B$11/Константы!$B$1</f>
        <v>1</v>
      </c>
      <c r="I18" s="35">
        <f t="shared" si="2"/>
        <v>512.04999999999995</v>
      </c>
      <c r="J18" s="35">
        <f t="shared" si="3"/>
        <v>2048.1999999999998</v>
      </c>
      <c r="K18" s="36" t="s">
        <v>41</v>
      </c>
      <c r="L18" s="81" t="s">
        <v>55</v>
      </c>
    </row>
    <row r="19" spans="1:12" x14ac:dyDescent="0.3">
      <c r="A19" s="19" t="s">
        <v>56</v>
      </c>
      <c r="B19" s="33">
        <f>2*Расчёты!$D$2+2*Расчёты!$D$5</f>
        <v>8104</v>
      </c>
      <c r="C19" s="33">
        <f>2*Расчёты!$D$3+2*Расчёты!$D$6</f>
        <v>9754</v>
      </c>
      <c r="D19" s="33">
        <f>2*Расчёты!$D$4+2*Расчёты!$D$7</f>
        <v>10854</v>
      </c>
      <c r="E19" s="33">
        <f>E18</f>
        <v>1</v>
      </c>
      <c r="F19" s="34">
        <f>ROUNDUP(_xlfn.IFS(Настройки!$B$2="M",B19,Настройки!$B$2="L",C19,Настройки!$B$2="XL",D19)*E19,-3)</f>
        <v>9000</v>
      </c>
      <c r="G19" s="37">
        <v>0.241205</v>
      </c>
      <c r="H19" s="22">
        <f>Настройки!$B$11/Константы!$B$1</f>
        <v>1</v>
      </c>
      <c r="I19" s="37">
        <f t="shared" si="2"/>
        <v>0.241205</v>
      </c>
      <c r="J19" s="35">
        <f t="shared" si="3"/>
        <v>2170.8449999999998</v>
      </c>
      <c r="K19" s="36" t="s">
        <v>41</v>
      </c>
      <c r="L19" s="81"/>
    </row>
    <row r="20" spans="1:12" x14ac:dyDescent="0.3">
      <c r="A20" s="88"/>
      <c r="B20" s="88"/>
      <c r="C20" s="88"/>
      <c r="D20" s="88"/>
      <c r="E20" s="88"/>
      <c r="F20" s="88"/>
      <c r="G20" s="88"/>
      <c r="H20" s="88"/>
      <c r="I20" s="88"/>
      <c r="J20" s="88"/>
      <c r="K20" s="88"/>
      <c r="L20" s="88"/>
    </row>
    <row r="21" spans="1:12" x14ac:dyDescent="0.3">
      <c r="A21" s="19" t="str">
        <f>A17</f>
        <v>Двигатель SIBOOR-42STH48</v>
      </c>
      <c r="B21" s="33">
        <v>1</v>
      </c>
      <c r="C21" s="33">
        <v>1</v>
      </c>
      <c r="D21" s="33">
        <v>1</v>
      </c>
      <c r="E21" s="33">
        <v>1</v>
      </c>
      <c r="F21" s="34">
        <f>_xlfn.IFS(Настройки!$B$2="M",B21,Настройки!$B$2="L",C21,Настройки!$B$2="XL",D21)*E21</f>
        <v>1</v>
      </c>
      <c r="G21" s="35">
        <v>1062.0168749999998</v>
      </c>
      <c r="H21" s="22">
        <f>Настройки!$B$11/Константы!$B$1</f>
        <v>1</v>
      </c>
      <c r="I21" s="35">
        <f t="shared" ref="I21:I40" si="4">G21*H21</f>
        <v>1062.0168749999998</v>
      </c>
      <c r="J21" s="35">
        <f t="shared" ref="J21:J40" si="5">F21*I21</f>
        <v>1062.0168749999998</v>
      </c>
      <c r="K21" s="36" t="s">
        <v>41</v>
      </c>
      <c r="L21" s="14" t="s">
        <v>57</v>
      </c>
    </row>
    <row r="22" spans="1:12" x14ac:dyDescent="0.3">
      <c r="A22" s="19" t="s">
        <v>58</v>
      </c>
      <c r="B22" s="33">
        <v>2</v>
      </c>
      <c r="C22" s="33">
        <v>4</v>
      </c>
      <c r="D22" s="33">
        <v>4</v>
      </c>
      <c r="E22" s="33">
        <v>1</v>
      </c>
      <c r="F22" s="34">
        <f>_xlfn.IFS(Настройки!$B$2="M",B22,Настройки!$B$2="L",C22,Настройки!$B$2="XL",D22)*E22</f>
        <v>2</v>
      </c>
      <c r="G22" s="35">
        <v>299.01249999999999</v>
      </c>
      <c r="H22" s="22">
        <f>Настройки!$B$11/Константы!$B$1</f>
        <v>1</v>
      </c>
      <c r="I22" s="35">
        <f t="shared" si="4"/>
        <v>299.01249999999999</v>
      </c>
      <c r="J22" s="35">
        <f t="shared" si="5"/>
        <v>598.02499999999998</v>
      </c>
      <c r="K22" s="36" t="s">
        <v>41</v>
      </c>
      <c r="L22" s="14"/>
    </row>
    <row r="23" spans="1:12" x14ac:dyDescent="0.3">
      <c r="A23" s="19" t="s">
        <v>59</v>
      </c>
      <c r="B23" s="33">
        <v>1</v>
      </c>
      <c r="C23" s="33">
        <v>1</v>
      </c>
      <c r="D23" s="33">
        <v>1</v>
      </c>
      <c r="E23" s="33">
        <v>1</v>
      </c>
      <c r="F23" s="34">
        <f>_xlfn.IFS(Настройки!$B$2="M",B23,Настройки!$B$2="L",C23,Настройки!$B$2="XL",D23)*E23</f>
        <v>1</v>
      </c>
      <c r="G23" s="35">
        <v>428.45</v>
      </c>
      <c r="H23" s="22">
        <f>Настройки!$B$11/Константы!$B$1</f>
        <v>1</v>
      </c>
      <c r="I23" s="35">
        <f t="shared" si="4"/>
        <v>428.45</v>
      </c>
      <c r="J23" s="35">
        <f t="shared" si="5"/>
        <v>428.45</v>
      </c>
      <c r="K23" s="36" t="s">
        <v>41</v>
      </c>
      <c r="L23" s="14"/>
    </row>
    <row r="24" spans="1:12" x14ac:dyDescent="0.3">
      <c r="A24" s="19" t="s">
        <v>60</v>
      </c>
      <c r="B24" s="33">
        <v>1512</v>
      </c>
      <c r="C24" s="33">
        <v>2000</v>
      </c>
      <c r="D24" s="33">
        <v>3000</v>
      </c>
      <c r="E24" s="33">
        <v>1</v>
      </c>
      <c r="F24" s="34">
        <f>_xlfn.IFS(Настройки!$B$2="M",B24,Настройки!$B$2="L",C24,Настройки!$B$2="XL",D24)*E24</f>
        <v>1512</v>
      </c>
      <c r="G24" s="37">
        <v>0.32711666666666667</v>
      </c>
      <c r="H24" s="22">
        <f>Настройки!$B$11/Константы!$B$1</f>
        <v>1</v>
      </c>
      <c r="I24" s="37">
        <f t="shared" si="4"/>
        <v>0.32711666666666667</v>
      </c>
      <c r="J24" s="35">
        <f t="shared" si="5"/>
        <v>494.60039999999998</v>
      </c>
      <c r="K24" s="36" t="s">
        <v>41</v>
      </c>
      <c r="L24" s="14"/>
    </row>
    <row r="25" spans="1:12" x14ac:dyDescent="0.3">
      <c r="A25" s="19" t="s">
        <v>61</v>
      </c>
      <c r="B25" s="33">
        <v>2</v>
      </c>
      <c r="C25" s="33">
        <v>0</v>
      </c>
      <c r="D25" s="33">
        <v>0</v>
      </c>
      <c r="E25" s="33">
        <v>1</v>
      </c>
      <c r="F25" s="34">
        <f>_xlfn.IFS(Настройки!$B$2="M",B25,Настройки!$B$2="L",C25,Настройки!$B$2="XL",D25)*E25</f>
        <v>2</v>
      </c>
      <c r="G25" s="35">
        <v>554.79999999999995</v>
      </c>
      <c r="H25" s="22">
        <f>Настройки!$B$11/Константы!$B$1</f>
        <v>1</v>
      </c>
      <c r="I25" s="35">
        <f t="shared" si="4"/>
        <v>554.79999999999995</v>
      </c>
      <c r="J25" s="35">
        <f t="shared" si="5"/>
        <v>1109.5999999999999</v>
      </c>
      <c r="K25" s="36" t="s">
        <v>41</v>
      </c>
      <c r="L25" s="81" t="s">
        <v>62</v>
      </c>
    </row>
    <row r="26" spans="1:12" x14ac:dyDescent="0.3">
      <c r="A26" s="19" t="s">
        <v>63</v>
      </c>
      <c r="B26" s="33">
        <v>0</v>
      </c>
      <c r="C26" s="33">
        <v>4</v>
      </c>
      <c r="D26" s="33">
        <v>0</v>
      </c>
      <c r="E26" s="33">
        <v>1</v>
      </c>
      <c r="F26" s="34">
        <f>_xlfn.IFS(Настройки!$B$2="M",B26,Настройки!$B$2="L",C26,Настройки!$B$2="XL",D26)*E26</f>
        <v>0</v>
      </c>
      <c r="G26" s="35">
        <v>888.25</v>
      </c>
      <c r="H26" s="22">
        <f>Настройки!$B$11/Константы!$B$1</f>
        <v>1</v>
      </c>
      <c r="I26" s="35">
        <f t="shared" si="4"/>
        <v>888.25</v>
      </c>
      <c r="J26" s="35">
        <f t="shared" si="5"/>
        <v>0</v>
      </c>
      <c r="K26" s="36" t="s">
        <v>41</v>
      </c>
      <c r="L26" s="81"/>
    </row>
    <row r="27" spans="1:12" x14ac:dyDescent="0.3">
      <c r="A27" s="19" t="s">
        <v>64</v>
      </c>
      <c r="B27" s="33">
        <v>0</v>
      </c>
      <c r="C27" s="33">
        <v>0</v>
      </c>
      <c r="D27" s="33">
        <v>4</v>
      </c>
      <c r="E27" s="33">
        <v>1</v>
      </c>
      <c r="F27" s="34">
        <f>_xlfn.IFS(Настройки!$B$2="M",B27,Настройки!$B$2="L",C27,Настройки!$B$2="XL",D27)*E27</f>
        <v>0</v>
      </c>
      <c r="G27" s="35">
        <v>980.4</v>
      </c>
      <c r="H27" s="22">
        <f>Настройки!$B$11/Константы!$B$1</f>
        <v>1</v>
      </c>
      <c r="I27" s="35">
        <f t="shared" si="4"/>
        <v>980.4</v>
      </c>
      <c r="J27" s="35">
        <f t="shared" si="5"/>
        <v>0</v>
      </c>
      <c r="K27" s="36" t="s">
        <v>41</v>
      </c>
      <c r="L27" s="81"/>
    </row>
    <row r="28" spans="1:12" x14ac:dyDescent="0.3">
      <c r="A28" s="19" t="s">
        <v>49</v>
      </c>
      <c r="B28" s="33">
        <v>2</v>
      </c>
      <c r="C28" s="33">
        <v>0</v>
      </c>
      <c r="D28" s="33">
        <v>0</v>
      </c>
      <c r="E28" s="33">
        <v>1</v>
      </c>
      <c r="F28" s="34">
        <f>_xlfn.IFS(Настройки!$B$2="M",B28,Настройки!$B$2="L",C28,Настройки!$B$2="XL",D28)*E28</f>
        <v>2</v>
      </c>
      <c r="G28" s="37">
        <v>1500.05</v>
      </c>
      <c r="H28" s="22">
        <f>Настройки!$B$11/Константы!$B$1</f>
        <v>1</v>
      </c>
      <c r="I28" s="35">
        <f t="shared" si="4"/>
        <v>1500.05</v>
      </c>
      <c r="J28" s="35">
        <f t="shared" si="5"/>
        <v>3000.1</v>
      </c>
      <c r="K28" s="36" t="s">
        <v>41</v>
      </c>
      <c r="L28" s="14"/>
    </row>
    <row r="29" spans="1:12" x14ac:dyDescent="0.3">
      <c r="A29" s="19" t="s">
        <v>50</v>
      </c>
      <c r="B29" s="33">
        <v>0</v>
      </c>
      <c r="C29" s="33">
        <v>4</v>
      </c>
      <c r="D29" s="33">
        <v>0</v>
      </c>
      <c r="E29" s="33">
        <v>1</v>
      </c>
      <c r="F29" s="34">
        <f>_xlfn.IFS(Настройки!$B$2="M",B29,Настройки!$B$2="L",C29,Настройки!$B$2="XL",D29)*E29</f>
        <v>0</v>
      </c>
      <c r="G29" s="37">
        <v>1813.55</v>
      </c>
      <c r="H29" s="22">
        <f>Настройки!$B$11/Константы!$B$1</f>
        <v>1</v>
      </c>
      <c r="I29" s="35">
        <f t="shared" si="4"/>
        <v>1813.55</v>
      </c>
      <c r="J29" s="35">
        <f t="shared" si="5"/>
        <v>0</v>
      </c>
      <c r="K29" s="36" t="s">
        <v>41</v>
      </c>
      <c r="L29" s="14"/>
    </row>
    <row r="30" spans="1:12" x14ac:dyDescent="0.3">
      <c r="A30" s="19" t="s">
        <v>51</v>
      </c>
      <c r="B30" s="33">
        <v>0</v>
      </c>
      <c r="C30" s="33">
        <v>0</v>
      </c>
      <c r="D30" s="33">
        <v>4</v>
      </c>
      <c r="E30" s="33">
        <v>1</v>
      </c>
      <c r="F30" s="34">
        <f>_xlfn.IFS(Настройки!$B$2="M",B30,Настройки!$B$2="L",C30,Настройки!$B$2="XL",D30)*E30</f>
        <v>0</v>
      </c>
      <c r="G30" s="37">
        <v>1946.55</v>
      </c>
      <c r="H30" s="22">
        <f>Настройки!$B$11/Константы!$B$1</f>
        <v>1</v>
      </c>
      <c r="I30" s="35">
        <f t="shared" si="4"/>
        <v>1946.55</v>
      </c>
      <c r="J30" s="35">
        <f t="shared" si="5"/>
        <v>0</v>
      </c>
      <c r="K30" s="36" t="s">
        <v>41</v>
      </c>
      <c r="L30" s="14"/>
    </row>
    <row r="31" spans="1:12" x14ac:dyDescent="0.3">
      <c r="A31" s="19" t="s">
        <v>65</v>
      </c>
      <c r="B31" s="33">
        <v>9</v>
      </c>
      <c r="C31" s="33">
        <v>9</v>
      </c>
      <c r="D31" s="33">
        <v>9</v>
      </c>
      <c r="E31" s="33">
        <v>1</v>
      </c>
      <c r="F31" s="34">
        <f>_xlfn.IFS(Настройки!$B$2="M",B31,Настройки!$B$2="L",C31,Настройки!$B$2="XL",D31)*E31</f>
        <v>9</v>
      </c>
      <c r="G31" s="35">
        <v>48.26</v>
      </c>
      <c r="H31" s="22">
        <f>Настройки!$B$11/Константы!$B$1</f>
        <v>1</v>
      </c>
      <c r="I31" s="35">
        <f t="shared" si="4"/>
        <v>48.26</v>
      </c>
      <c r="J31" s="35">
        <f t="shared" si="5"/>
        <v>434.34</v>
      </c>
      <c r="K31" s="36" t="s">
        <v>41</v>
      </c>
      <c r="L31" s="14"/>
    </row>
    <row r="32" spans="1:12" x14ac:dyDescent="0.3">
      <c r="A32" s="19" t="s">
        <v>66</v>
      </c>
      <c r="B32" s="33">
        <v>1</v>
      </c>
      <c r="C32" s="33">
        <v>0</v>
      </c>
      <c r="D32" s="33">
        <v>0</v>
      </c>
      <c r="E32" s="33">
        <v>1</v>
      </c>
      <c r="F32" s="34">
        <f>_xlfn.IFS(Настройки!$B$2="M",B32,Настройки!$B$2="L",C32,Настройки!$B$2="XL",D32)*E32</f>
        <v>1</v>
      </c>
      <c r="G32" s="35">
        <v>1370</v>
      </c>
      <c r="H32" s="22">
        <f>Настройки!$B$11/Константы!$B$1</f>
        <v>1</v>
      </c>
      <c r="I32" s="35">
        <f t="shared" si="4"/>
        <v>1370</v>
      </c>
      <c r="J32" s="35">
        <f t="shared" si="5"/>
        <v>1370</v>
      </c>
      <c r="K32" s="36" t="s">
        <v>67</v>
      </c>
      <c r="L32" s="81" t="s">
        <v>68</v>
      </c>
    </row>
    <row r="33" spans="1:12" x14ac:dyDescent="0.3">
      <c r="A33" s="19" t="s">
        <v>69</v>
      </c>
      <c r="B33" s="33">
        <v>0</v>
      </c>
      <c r="C33" s="33">
        <v>1</v>
      </c>
      <c r="D33" s="33">
        <v>0</v>
      </c>
      <c r="E33" s="33">
        <v>1</v>
      </c>
      <c r="F33" s="34">
        <f>_xlfn.IFS(Настройки!$B$2="M",B33,Настройки!$B$2="L",C33,Настройки!$B$2="XL",D33)*E33</f>
        <v>0</v>
      </c>
      <c r="G33" s="35">
        <v>2260</v>
      </c>
      <c r="H33" s="22">
        <f>Настройки!$B$11/Константы!$B$1</f>
        <v>1</v>
      </c>
      <c r="I33" s="35">
        <f t="shared" si="4"/>
        <v>2260</v>
      </c>
      <c r="J33" s="35">
        <f t="shared" si="5"/>
        <v>0</v>
      </c>
      <c r="K33" s="36" t="s">
        <v>67</v>
      </c>
      <c r="L33" s="81"/>
    </row>
    <row r="34" spans="1:12" x14ac:dyDescent="0.3">
      <c r="A34" s="19" t="s">
        <v>70</v>
      </c>
      <c r="B34" s="33">
        <v>0</v>
      </c>
      <c r="C34" s="33">
        <v>0</v>
      </c>
      <c r="D34" s="33">
        <v>1</v>
      </c>
      <c r="E34" s="33">
        <f>$E$32</f>
        <v>1</v>
      </c>
      <c r="F34" s="34">
        <f>_xlfn.IFS(Настройки!$B$2="M",B34,Настройки!$B$2="L",C34,Настройки!$B$2="XL",D34)*E34</f>
        <v>0</v>
      </c>
      <c r="G34" s="35">
        <v>3000</v>
      </c>
      <c r="H34" s="22">
        <f>Настройки!$B$11/Константы!$B$1</f>
        <v>1</v>
      </c>
      <c r="I34" s="35">
        <f t="shared" si="4"/>
        <v>3000</v>
      </c>
      <c r="J34" s="35">
        <f t="shared" si="5"/>
        <v>0</v>
      </c>
      <c r="K34" s="36" t="s">
        <v>67</v>
      </c>
      <c r="L34" s="81"/>
    </row>
    <row r="35" spans="1:12" x14ac:dyDescent="0.3">
      <c r="A35" s="19" t="s">
        <v>71</v>
      </c>
      <c r="B35" s="33">
        <v>1</v>
      </c>
      <c r="C35" s="33">
        <v>0</v>
      </c>
      <c r="D35" s="33">
        <v>0</v>
      </c>
      <c r="E35" s="33">
        <v>1</v>
      </c>
      <c r="F35" s="34">
        <f>_xlfn.IFS(Настройки!$B$2="M",B35,Настройки!$B$2="L",C35,Настройки!$B$2="XL",D35)*E35</f>
        <v>1</v>
      </c>
      <c r="G35" s="35">
        <v>2611.5499999999997</v>
      </c>
      <c r="H35" s="22">
        <f>Настройки!$B$11/Константы!$B$1</f>
        <v>1</v>
      </c>
      <c r="I35" s="35">
        <f t="shared" si="4"/>
        <v>2611.5499999999997</v>
      </c>
      <c r="J35" s="35">
        <f t="shared" si="5"/>
        <v>2611.5499999999997</v>
      </c>
      <c r="K35" s="36" t="s">
        <v>41</v>
      </c>
      <c r="L35" s="14"/>
    </row>
    <row r="36" spans="1:12" x14ac:dyDescent="0.3">
      <c r="A36" s="19" t="s">
        <v>72</v>
      </c>
      <c r="B36" s="33">
        <v>0</v>
      </c>
      <c r="C36" s="33">
        <v>1</v>
      </c>
      <c r="D36" s="33">
        <v>0</v>
      </c>
      <c r="E36" s="33">
        <v>1</v>
      </c>
      <c r="F36" s="34">
        <f>_xlfn.IFS(Настройки!$B$2="M",B36,Настройки!$B$2="L",C36,Настройки!$B$2="XL",D36)*E36</f>
        <v>0</v>
      </c>
      <c r="G36" s="35">
        <v>3514.0499999999997</v>
      </c>
      <c r="H36" s="22">
        <f>Настройки!$B$11/Константы!$B$1</f>
        <v>1</v>
      </c>
      <c r="I36" s="35">
        <f t="shared" si="4"/>
        <v>3514.0499999999997</v>
      </c>
      <c r="J36" s="35">
        <f t="shared" si="5"/>
        <v>0</v>
      </c>
      <c r="K36" s="36" t="s">
        <v>41</v>
      </c>
      <c r="L36" s="14"/>
    </row>
    <row r="37" spans="1:12" x14ac:dyDescent="0.3">
      <c r="A37" s="19" t="s">
        <v>73</v>
      </c>
      <c r="B37" s="33">
        <v>0</v>
      </c>
      <c r="C37" s="33">
        <v>0</v>
      </c>
      <c r="D37" s="33">
        <v>1</v>
      </c>
      <c r="E37" s="33">
        <v>1</v>
      </c>
      <c r="F37" s="34">
        <f>_xlfn.IFS(Настройки!$B$2="M",B37,Настройки!$B$2="L",C37,Настройки!$B$2="XL",D37)*E37</f>
        <v>0</v>
      </c>
      <c r="G37" s="35">
        <v>4416.55</v>
      </c>
      <c r="H37" s="22">
        <f>Настройки!$B$11/Константы!$B$1</f>
        <v>1</v>
      </c>
      <c r="I37" s="35">
        <f t="shared" si="4"/>
        <v>4416.55</v>
      </c>
      <c r="J37" s="35">
        <f t="shared" si="5"/>
        <v>0</v>
      </c>
      <c r="K37" s="36" t="s">
        <v>41</v>
      </c>
      <c r="L37" s="14"/>
    </row>
    <row r="38" spans="1:12" x14ac:dyDescent="0.3">
      <c r="A38" s="19" t="s">
        <v>74</v>
      </c>
      <c r="B38" s="33">
        <v>1</v>
      </c>
      <c r="C38" s="33">
        <v>0</v>
      </c>
      <c r="D38" s="33">
        <v>0</v>
      </c>
      <c r="E38" s="33">
        <v>1</v>
      </c>
      <c r="F38" s="34">
        <f>_xlfn.IFS(Настройки!$B$2="M",B38,Настройки!$B$2="L",C38,Настройки!$B$2="XL",D38)*E38</f>
        <v>1</v>
      </c>
      <c r="G38" s="35">
        <v>3500</v>
      </c>
      <c r="H38" s="22">
        <f>Настройки!$B$11/Константы!$B$1</f>
        <v>1</v>
      </c>
      <c r="I38" s="35">
        <f t="shared" si="4"/>
        <v>3500</v>
      </c>
      <c r="J38" s="35">
        <f t="shared" si="5"/>
        <v>3500</v>
      </c>
      <c r="K38" s="36" t="s">
        <v>75</v>
      </c>
      <c r="L38" s="81" t="s">
        <v>76</v>
      </c>
    </row>
    <row r="39" spans="1:12" x14ac:dyDescent="0.3">
      <c r="A39" s="19" t="s">
        <v>77</v>
      </c>
      <c r="B39" s="33">
        <v>0</v>
      </c>
      <c r="C39" s="33">
        <v>1</v>
      </c>
      <c r="D39" s="33">
        <v>0</v>
      </c>
      <c r="E39" s="33">
        <v>1</v>
      </c>
      <c r="F39" s="34">
        <f>_xlfn.IFS(Настройки!$B$2="M",B39,Настройки!$B$2="L",C39,Настройки!$B$2="XL",D39)*E39</f>
        <v>0</v>
      </c>
      <c r="G39" s="35">
        <v>6800</v>
      </c>
      <c r="H39" s="22">
        <f>Настройки!$B$11/Константы!$B$1</f>
        <v>1</v>
      </c>
      <c r="I39" s="35">
        <f t="shared" si="4"/>
        <v>6800</v>
      </c>
      <c r="J39" s="35">
        <f t="shared" si="5"/>
        <v>0</v>
      </c>
      <c r="K39" s="36" t="s">
        <v>75</v>
      </c>
      <c r="L39" s="81"/>
    </row>
    <row r="40" spans="1:12" x14ac:dyDescent="0.3">
      <c r="A40" s="19" t="s">
        <v>78</v>
      </c>
      <c r="B40" s="33">
        <v>0</v>
      </c>
      <c r="C40" s="33">
        <v>0</v>
      </c>
      <c r="D40" s="33">
        <v>1</v>
      </c>
      <c r="E40" s="33">
        <v>1</v>
      </c>
      <c r="F40" s="34">
        <f>_xlfn.IFS(Настройки!$B$2="M",B40,Настройки!$B$2="L",C40,Настройки!$B$2="XL",D40)*E40</f>
        <v>0</v>
      </c>
      <c r="G40" s="35">
        <v>10500</v>
      </c>
      <c r="H40" s="22">
        <f>Настройки!$B$11/Константы!$B$1</f>
        <v>1</v>
      </c>
      <c r="I40" s="35">
        <f t="shared" si="4"/>
        <v>10500</v>
      </c>
      <c r="J40" s="35">
        <f t="shared" si="5"/>
        <v>0</v>
      </c>
      <c r="K40" s="36" t="s">
        <v>75</v>
      </c>
      <c r="L40" s="81"/>
    </row>
    <row r="41" spans="1:12" x14ac:dyDescent="0.3">
      <c r="A41" s="88"/>
      <c r="B41" s="88"/>
      <c r="C41" s="88"/>
      <c r="D41" s="88"/>
      <c r="E41" s="88"/>
      <c r="F41" s="88"/>
      <c r="G41" s="88"/>
      <c r="H41" s="88"/>
      <c r="I41" s="88"/>
      <c r="J41" s="88"/>
      <c r="K41" s="88"/>
      <c r="L41" s="88"/>
    </row>
    <row r="42" spans="1:12" ht="71.25" x14ac:dyDescent="0.3">
      <c r="A42" s="19" t="s">
        <v>79</v>
      </c>
      <c r="B42" s="33">
        <v>1</v>
      </c>
      <c r="C42" s="33">
        <v>1</v>
      </c>
      <c r="D42" s="33">
        <v>1</v>
      </c>
      <c r="E42" s="33">
        <v>1</v>
      </c>
      <c r="F42" s="34">
        <f>_xlfn.IFS(Настройки!$B$2="M",B42,Настройки!$B$2="L",C42,Настройки!$B$2="XL",D42)*E42</f>
        <v>1</v>
      </c>
      <c r="G42" s="35">
        <v>3951.0499999999997</v>
      </c>
      <c r="H42" s="22">
        <f>Настройки!$B$11/Константы!$B$1</f>
        <v>1</v>
      </c>
      <c r="I42" s="35">
        <f t="shared" ref="I42:I53" si="6">G42*H42</f>
        <v>3951.0499999999997</v>
      </c>
      <c r="J42" s="35">
        <f t="shared" ref="J42:J53" si="7">F42*I42</f>
        <v>3951.0499999999997</v>
      </c>
      <c r="K42" s="36" t="s">
        <v>41</v>
      </c>
      <c r="L42" s="14" t="s">
        <v>489</v>
      </c>
    </row>
    <row r="43" spans="1:12" ht="42.75" x14ac:dyDescent="0.3">
      <c r="A43" s="19" t="s">
        <v>80</v>
      </c>
      <c r="B43" s="33">
        <v>5</v>
      </c>
      <c r="C43" s="33">
        <f>B43</f>
        <v>5</v>
      </c>
      <c r="D43" s="33">
        <f>B43</f>
        <v>5</v>
      </c>
      <c r="E43" s="33">
        <v>1</v>
      </c>
      <c r="F43" s="34">
        <f>_xlfn.IFS(Настройки!$B$2="M",B43,Настройки!$B$2="L",C43,Настройки!$B$2="XL",D43)*E43</f>
        <v>5</v>
      </c>
      <c r="G43" s="35">
        <v>459.61</v>
      </c>
      <c r="H43" s="22">
        <f>Настройки!$B$11/Константы!$B$1</f>
        <v>1</v>
      </c>
      <c r="I43" s="35">
        <f t="shared" si="6"/>
        <v>459.61</v>
      </c>
      <c r="J43" s="35">
        <f t="shared" si="7"/>
        <v>2298.0500000000002</v>
      </c>
      <c r="K43" s="36"/>
      <c r="L43" s="14" t="s">
        <v>487</v>
      </c>
    </row>
    <row r="44" spans="1:12" ht="28.5" x14ac:dyDescent="0.3">
      <c r="A44" s="19" t="s">
        <v>81</v>
      </c>
      <c r="B44" s="33">
        <v>1</v>
      </c>
      <c r="C44" s="33">
        <v>1</v>
      </c>
      <c r="D44" s="33">
        <v>1</v>
      </c>
      <c r="E44" s="33">
        <v>1</v>
      </c>
      <c r="F44" s="34">
        <f>_xlfn.IFS(Настройки!$B$2="M",B44,Настройки!$B$2="L",C44,Настройки!$B$2="XL",D44)*E44</f>
        <v>1</v>
      </c>
      <c r="G44" s="35">
        <v>2041.55</v>
      </c>
      <c r="H44" s="22">
        <f>Настройки!$B$11/Константы!$B$1</f>
        <v>1</v>
      </c>
      <c r="I44" s="35">
        <f t="shared" si="6"/>
        <v>2041.55</v>
      </c>
      <c r="J44" s="35">
        <f t="shared" si="7"/>
        <v>2041.55</v>
      </c>
      <c r="K44" s="36" t="s">
        <v>41</v>
      </c>
      <c r="L44" s="14" t="s">
        <v>82</v>
      </c>
    </row>
    <row r="45" spans="1:12" ht="42.75" x14ac:dyDescent="0.3">
      <c r="A45" s="19" t="s">
        <v>83</v>
      </c>
      <c r="B45" s="33">
        <v>2</v>
      </c>
      <c r="C45" s="33">
        <v>2</v>
      </c>
      <c r="D45" s="33">
        <v>2</v>
      </c>
      <c r="E45" s="33">
        <v>1</v>
      </c>
      <c r="F45" s="34">
        <f>_xlfn.IFS(Настройки!$B$2="M",B45,Настройки!$B$2="L",C45,Настройки!$B$2="XL",D45)*E45</f>
        <v>2</v>
      </c>
      <c r="G45" s="35">
        <v>2482.35</v>
      </c>
      <c r="H45" s="22">
        <f>Настройки!$B$11/Константы!$B$1</f>
        <v>1</v>
      </c>
      <c r="I45" s="35">
        <f t="shared" si="6"/>
        <v>2482.35</v>
      </c>
      <c r="J45" s="35">
        <f t="shared" si="7"/>
        <v>4964.7</v>
      </c>
      <c r="K45" s="36" t="s">
        <v>41</v>
      </c>
      <c r="L45" s="14" t="s">
        <v>488</v>
      </c>
    </row>
    <row r="46" spans="1:12" x14ac:dyDescent="0.3">
      <c r="A46" s="19" t="s">
        <v>84</v>
      </c>
      <c r="B46" s="33">
        <v>1</v>
      </c>
      <c r="C46" s="33">
        <v>1</v>
      </c>
      <c r="D46" s="33">
        <v>1</v>
      </c>
      <c r="E46" s="33">
        <v>1</v>
      </c>
      <c r="F46" s="34">
        <f>_xlfn.IFS(Настройки!$B$2="M",B46,Настройки!$B$2="L",C46,Настройки!$B$2="XL",D46)*E46</f>
        <v>1</v>
      </c>
      <c r="G46" s="35">
        <v>4029.8999999999996</v>
      </c>
      <c r="H46" s="22">
        <f>Настройки!$B$11/Константы!$B$1</f>
        <v>1</v>
      </c>
      <c r="I46" s="35">
        <f t="shared" si="6"/>
        <v>4029.8999999999996</v>
      </c>
      <c r="J46" s="35">
        <f t="shared" si="7"/>
        <v>4029.8999999999996</v>
      </c>
      <c r="K46" s="36" t="s">
        <v>41</v>
      </c>
      <c r="L46" s="14"/>
    </row>
    <row r="47" spans="1:12" x14ac:dyDescent="0.3">
      <c r="A47" s="19" t="s">
        <v>85</v>
      </c>
      <c r="B47" s="33">
        <v>1</v>
      </c>
      <c r="C47" s="33">
        <v>1</v>
      </c>
      <c r="D47" s="33">
        <v>1</v>
      </c>
      <c r="E47" s="33">
        <v>1</v>
      </c>
      <c r="F47" s="34">
        <f>_xlfn.IFS(Настройки!$B$2="M",B47,Настройки!$B$2="L",C47,Настройки!$B$2="XL",D47)*E47</f>
        <v>1</v>
      </c>
      <c r="G47" s="35">
        <v>2380</v>
      </c>
      <c r="H47" s="22">
        <f>Настройки!$B$11/Константы!$B$1</f>
        <v>1</v>
      </c>
      <c r="I47" s="35">
        <f t="shared" si="6"/>
        <v>2380</v>
      </c>
      <c r="J47" s="35">
        <f t="shared" si="7"/>
        <v>2380</v>
      </c>
      <c r="K47" s="36" t="s">
        <v>86</v>
      </c>
      <c r="L47" s="14"/>
    </row>
    <row r="48" spans="1:12" ht="28.5" x14ac:dyDescent="0.3">
      <c r="A48" s="19" t="s">
        <v>87</v>
      </c>
      <c r="B48" s="33">
        <v>2</v>
      </c>
      <c r="C48" s="33">
        <v>2</v>
      </c>
      <c r="D48" s="33">
        <v>2</v>
      </c>
      <c r="E48" s="33">
        <v>1</v>
      </c>
      <c r="F48" s="34">
        <f>_xlfn.IFS(Настройки!$B$2="M",B48,Настройки!$B$2="L",C48,Настройки!$B$2="XL",D48)*E48</f>
        <v>2</v>
      </c>
      <c r="G48" s="35">
        <v>839.8</v>
      </c>
      <c r="H48" s="22">
        <f>Настройки!$B$11/Константы!$B$1</f>
        <v>1</v>
      </c>
      <c r="I48" s="35">
        <f t="shared" si="6"/>
        <v>839.8</v>
      </c>
      <c r="J48" s="35">
        <f t="shared" si="7"/>
        <v>1679.6</v>
      </c>
      <c r="K48" s="36" t="s">
        <v>41</v>
      </c>
      <c r="L48" s="14" t="s">
        <v>491</v>
      </c>
    </row>
    <row r="49" spans="1:12" x14ac:dyDescent="0.3">
      <c r="A49" s="19" t="s">
        <v>88</v>
      </c>
      <c r="B49" s="33">
        <v>3</v>
      </c>
      <c r="C49" s="33">
        <v>3</v>
      </c>
      <c r="D49" s="33">
        <v>3</v>
      </c>
      <c r="E49" s="33">
        <v>1</v>
      </c>
      <c r="F49" s="34">
        <f>_xlfn.IFS(Настройки!$B$2="M",B49,Настройки!$B$2="L",C49,Настройки!$B$2="XL",D49)*E49</f>
        <v>3</v>
      </c>
      <c r="G49" s="35">
        <f>390/5</f>
        <v>78</v>
      </c>
      <c r="H49" s="22">
        <f>Настройки!$B$11/Константы!$B$1</f>
        <v>1</v>
      </c>
      <c r="I49" s="35">
        <f t="shared" si="6"/>
        <v>78</v>
      </c>
      <c r="J49" s="35">
        <f t="shared" si="7"/>
        <v>234</v>
      </c>
      <c r="K49" s="36" t="s">
        <v>89</v>
      </c>
      <c r="L49" s="14"/>
    </row>
    <row r="50" spans="1:12" x14ac:dyDescent="0.3">
      <c r="A50" s="19" t="s">
        <v>90</v>
      </c>
      <c r="B50" s="33">
        <v>4</v>
      </c>
      <c r="C50" s="33">
        <v>4</v>
      </c>
      <c r="D50" s="33">
        <v>4</v>
      </c>
      <c r="E50" s="33">
        <v>1</v>
      </c>
      <c r="F50" s="34">
        <f>_xlfn.IFS(Настройки!$B$2="M",B50,Настройки!$B$2="L",C50,Настройки!$B$2="XL",D50)*E50</f>
        <v>4</v>
      </c>
      <c r="G50" s="37">
        <v>37.524999999999999</v>
      </c>
      <c r="H50" s="22">
        <f>Настройки!$B$11/Константы!$B$1</f>
        <v>1</v>
      </c>
      <c r="I50" s="37">
        <f t="shared" si="6"/>
        <v>37.524999999999999</v>
      </c>
      <c r="J50" s="35">
        <f t="shared" si="7"/>
        <v>150.1</v>
      </c>
      <c r="K50" s="36" t="s">
        <v>41</v>
      </c>
      <c r="L50" s="14"/>
    </row>
    <row r="51" spans="1:12" x14ac:dyDescent="0.3">
      <c r="A51" s="19" t="s">
        <v>91</v>
      </c>
      <c r="B51" s="33">
        <v>2</v>
      </c>
      <c r="C51" s="33">
        <v>2</v>
      </c>
      <c r="D51" s="33">
        <v>0</v>
      </c>
      <c r="E51" s="33">
        <v>1</v>
      </c>
      <c r="F51" s="34">
        <f>_xlfn.IFS(Настройки!$B$2="M",B51,Настройки!$B$2="L",C51,Настройки!$B$2="XL",D51)*E51</f>
        <v>2</v>
      </c>
      <c r="G51" s="35">
        <v>91</v>
      </c>
      <c r="H51" s="22">
        <f>Настройки!$B$11/Константы!$B$1</f>
        <v>1</v>
      </c>
      <c r="I51" s="35">
        <f t="shared" si="6"/>
        <v>91</v>
      </c>
      <c r="J51" s="35">
        <f t="shared" si="7"/>
        <v>182</v>
      </c>
      <c r="K51" s="36" t="s">
        <v>89</v>
      </c>
      <c r="L51" s="14"/>
    </row>
    <row r="52" spans="1:12" x14ac:dyDescent="0.3">
      <c r="A52" s="19" t="s">
        <v>92</v>
      </c>
      <c r="B52" s="33">
        <v>0</v>
      </c>
      <c r="C52" s="33">
        <v>0</v>
      </c>
      <c r="D52" s="33">
        <v>2</v>
      </c>
      <c r="E52" s="33">
        <v>1</v>
      </c>
      <c r="F52" s="34">
        <f>_xlfn.IFS(Настройки!$B$2="M",B52,Настройки!$B$2="L",C52,Настройки!$B$2="XL",D52)*E52</f>
        <v>0</v>
      </c>
      <c r="G52" s="35">
        <v>152</v>
      </c>
      <c r="H52" s="22">
        <f>Настройки!$B$11/Константы!$B$1</f>
        <v>1</v>
      </c>
      <c r="I52" s="35">
        <f t="shared" si="6"/>
        <v>152</v>
      </c>
      <c r="J52" s="35">
        <f t="shared" si="7"/>
        <v>0</v>
      </c>
      <c r="K52" s="36" t="s">
        <v>89</v>
      </c>
      <c r="L52" s="14"/>
    </row>
    <row r="53" spans="1:12" x14ac:dyDescent="0.3">
      <c r="A53" s="19" t="s">
        <v>93</v>
      </c>
      <c r="B53" s="33">
        <v>1</v>
      </c>
      <c r="C53" s="33">
        <v>1</v>
      </c>
      <c r="D53" s="33">
        <v>1</v>
      </c>
      <c r="E53" s="33">
        <v>1</v>
      </c>
      <c r="F53" s="34">
        <f>_xlfn.IFS(Настройки!$B$2="M",B53,Настройки!$B$2="L",C53,Настройки!$B$2="XL",D53)*E53</f>
        <v>1</v>
      </c>
      <c r="G53" s="35">
        <v>844.55</v>
      </c>
      <c r="H53" s="22">
        <f>Настройки!$B$11/Константы!$B$1</f>
        <v>1</v>
      </c>
      <c r="I53" s="35">
        <f t="shared" si="6"/>
        <v>844.55</v>
      </c>
      <c r="J53" s="35">
        <f t="shared" si="7"/>
        <v>844.55</v>
      </c>
      <c r="K53" s="36" t="s">
        <v>41</v>
      </c>
      <c r="L53" s="14"/>
    </row>
    <row r="54" spans="1:12" x14ac:dyDescent="0.3">
      <c r="A54" s="88"/>
      <c r="B54" s="88"/>
      <c r="C54" s="88"/>
      <c r="D54" s="88"/>
      <c r="E54" s="88"/>
      <c r="F54" s="88"/>
      <c r="G54" s="88"/>
      <c r="H54" s="88"/>
      <c r="I54" s="88"/>
      <c r="J54" s="88"/>
      <c r="K54" s="88"/>
      <c r="L54" s="88"/>
    </row>
    <row r="55" spans="1:12" x14ac:dyDescent="0.3">
      <c r="A55" s="19" t="s">
        <v>94</v>
      </c>
      <c r="B55" s="33">
        <v>1</v>
      </c>
      <c r="C55" s="33">
        <v>1</v>
      </c>
      <c r="D55" s="33">
        <v>1</v>
      </c>
      <c r="E55" s="33">
        <v>1</v>
      </c>
      <c r="F55" s="34">
        <f>_xlfn.IFS(Настройки!$B$2="M",B55,Настройки!$B$2="L",C55,Настройки!$B$2="XL",D55)*E55</f>
        <v>1</v>
      </c>
      <c r="G55" s="35">
        <v>4395.6499999999996</v>
      </c>
      <c r="H55" s="22">
        <f>Настройки!$B$11/Константы!$B$1</f>
        <v>1</v>
      </c>
      <c r="I55" s="35">
        <f t="shared" ref="I55:I61" si="8">G55*H55</f>
        <v>4395.6499999999996</v>
      </c>
      <c r="J55" s="35">
        <f t="shared" ref="J55:J65" si="9">F55*I55</f>
        <v>4395.6499999999996</v>
      </c>
      <c r="K55" s="36" t="s">
        <v>41</v>
      </c>
      <c r="L55" s="14"/>
    </row>
    <row r="56" spans="1:12" x14ac:dyDescent="0.3">
      <c r="A56" s="19" t="s">
        <v>95</v>
      </c>
      <c r="B56" s="33">
        <v>1</v>
      </c>
      <c r="C56" s="33">
        <v>1</v>
      </c>
      <c r="D56" s="33">
        <v>1</v>
      </c>
      <c r="E56" s="33">
        <v>1</v>
      </c>
      <c r="F56" s="34">
        <f>_xlfn.IFS(Настройки!$B$2="M",B56,Настройки!$B$2="L",C56,Настройки!$B$2="XL",D56)*E56</f>
        <v>1</v>
      </c>
      <c r="G56" s="35">
        <v>1251.1499999999999</v>
      </c>
      <c r="H56" s="22">
        <f>Настройки!$B$11/Константы!$B$1</f>
        <v>1</v>
      </c>
      <c r="I56" s="35">
        <f t="shared" si="8"/>
        <v>1251.1499999999999</v>
      </c>
      <c r="J56" s="35">
        <f t="shared" si="9"/>
        <v>1251.1499999999999</v>
      </c>
      <c r="K56" s="36" t="s">
        <v>41</v>
      </c>
      <c r="L56" s="14"/>
    </row>
    <row r="57" spans="1:12" x14ac:dyDescent="0.3">
      <c r="A57" s="19" t="s">
        <v>96</v>
      </c>
      <c r="B57" s="33">
        <v>1</v>
      </c>
      <c r="C57" s="33">
        <v>1</v>
      </c>
      <c r="D57" s="33">
        <v>1</v>
      </c>
      <c r="E57" s="33">
        <v>0</v>
      </c>
      <c r="F57" s="34">
        <f>_xlfn.IFS(Настройки!$B$2="M",B57,Настройки!$B$2="L",C57,Настройки!$B$2="XL",D57)*E57</f>
        <v>0</v>
      </c>
      <c r="G57" s="35">
        <v>381.9</v>
      </c>
      <c r="H57" s="22">
        <f>Настройки!$B$11/Константы!$B$1</f>
        <v>1</v>
      </c>
      <c r="I57" s="35">
        <f t="shared" si="8"/>
        <v>381.9</v>
      </c>
      <c r="J57" s="35">
        <f t="shared" si="9"/>
        <v>0</v>
      </c>
      <c r="K57" s="36" t="s">
        <v>41</v>
      </c>
      <c r="L57" s="14"/>
    </row>
    <row r="58" spans="1:12" x14ac:dyDescent="0.3">
      <c r="A58" s="19" t="s">
        <v>97</v>
      </c>
      <c r="B58" s="33">
        <v>2</v>
      </c>
      <c r="C58" s="33">
        <v>2</v>
      </c>
      <c r="D58" s="33">
        <v>2</v>
      </c>
      <c r="E58" s="33">
        <v>1</v>
      </c>
      <c r="F58" s="34">
        <f>_xlfn.IFS(Настройки!$B$2="M",B58,Настройки!$B$2="L",C58,Настройки!$B$2="XL",D58)*E58</f>
        <v>2</v>
      </c>
      <c r="G58" s="35">
        <v>56.762499999999996</v>
      </c>
      <c r="H58" s="22">
        <f>Настройки!$B$11/Константы!$B$1</f>
        <v>1</v>
      </c>
      <c r="I58" s="35">
        <f t="shared" si="8"/>
        <v>56.762499999999996</v>
      </c>
      <c r="J58" s="35">
        <f t="shared" si="9"/>
        <v>113.52499999999999</v>
      </c>
      <c r="K58" s="36" t="s">
        <v>41</v>
      </c>
      <c r="L58" s="14"/>
    </row>
    <row r="59" spans="1:12" x14ac:dyDescent="0.3">
      <c r="A59" s="19" t="s">
        <v>98</v>
      </c>
      <c r="B59" s="33">
        <v>3000</v>
      </c>
      <c r="C59" s="33">
        <v>3000</v>
      </c>
      <c r="D59" s="33">
        <v>4000</v>
      </c>
      <c r="E59" s="33">
        <v>1</v>
      </c>
      <c r="F59" s="34">
        <f>_xlfn.IFS(Настройки!$B$2="M",B59,Настройки!$B$2="L",C59,Настройки!$B$2="XL",D59)*E59</f>
        <v>3000</v>
      </c>
      <c r="G59" s="37">
        <v>0.13015000000000002</v>
      </c>
      <c r="H59" s="22">
        <f>Настройки!$B$11/Константы!$B$1</f>
        <v>1</v>
      </c>
      <c r="I59" s="37">
        <f t="shared" si="8"/>
        <v>0.13015000000000002</v>
      </c>
      <c r="J59" s="35">
        <f t="shared" si="9"/>
        <v>390.45000000000005</v>
      </c>
      <c r="K59" s="36" t="s">
        <v>41</v>
      </c>
      <c r="L59" s="14"/>
    </row>
    <row r="60" spans="1:12" x14ac:dyDescent="0.3">
      <c r="A60" s="19" t="s">
        <v>99</v>
      </c>
      <c r="B60" s="33">
        <v>1</v>
      </c>
      <c r="C60" s="33">
        <v>1</v>
      </c>
      <c r="D60" s="33">
        <v>1</v>
      </c>
      <c r="E60" s="33">
        <v>1</v>
      </c>
      <c r="F60" s="34">
        <f>_xlfn.IFS(Настройки!$B$2="M",B60,Настройки!$B$2="L",C60,Настройки!$B$2="XL",D60)*E60</f>
        <v>1</v>
      </c>
      <c r="G60" s="37">
        <f>372/5000</f>
        <v>7.4399999999999994E-2</v>
      </c>
      <c r="H60" s="22">
        <f>Настройки!$B$11/Константы!$B$1</f>
        <v>1</v>
      </c>
      <c r="I60" s="37">
        <f t="shared" si="8"/>
        <v>7.4399999999999994E-2</v>
      </c>
      <c r="J60" s="35">
        <f t="shared" si="9"/>
        <v>7.4399999999999994E-2</v>
      </c>
      <c r="K60" s="36" t="s">
        <v>46</v>
      </c>
      <c r="L60" s="14"/>
    </row>
    <row r="61" spans="1:12" x14ac:dyDescent="0.3">
      <c r="A61" s="19" t="s">
        <v>100</v>
      </c>
      <c r="B61" s="33">
        <v>10</v>
      </c>
      <c r="C61" s="33">
        <v>10</v>
      </c>
      <c r="D61" s="33">
        <v>10</v>
      </c>
      <c r="E61" s="33">
        <v>1</v>
      </c>
      <c r="F61" s="34">
        <f>_xlfn.IFS(Настройки!$B$2="M",B61,Настройки!$B$2="L",C61,Настройки!$B$2="XL",D61)*E61</f>
        <v>10</v>
      </c>
      <c r="G61" s="35">
        <v>33.487499999999997</v>
      </c>
      <c r="H61" s="22">
        <f>Настройки!$B$11/Константы!$B$1</f>
        <v>1</v>
      </c>
      <c r="I61" s="35">
        <f t="shared" si="8"/>
        <v>33.487499999999997</v>
      </c>
      <c r="J61" s="35">
        <f t="shared" si="9"/>
        <v>334.875</v>
      </c>
      <c r="K61" s="36" t="s">
        <v>41</v>
      </c>
      <c r="L61" s="14"/>
    </row>
    <row r="62" spans="1:12" x14ac:dyDescent="0.3">
      <c r="A62" s="19" t="s">
        <v>101</v>
      </c>
      <c r="B62" s="33">
        <v>2</v>
      </c>
      <c r="C62" s="33">
        <v>2</v>
      </c>
      <c r="D62" s="33">
        <v>2</v>
      </c>
      <c r="E62" s="33">
        <f>E46</f>
        <v>1</v>
      </c>
      <c r="F62" s="34">
        <f>_xlfn.IFS(Настройки!$B$2="M",B62,Настройки!$B$2="L",C62,Настройки!$B$2="XL",D62)*E62</f>
        <v>2</v>
      </c>
      <c r="G62" s="35">
        <v>20.804999999999996</v>
      </c>
      <c r="H62" s="22">
        <f>Настройки!$B$11/Константы!$B$1</f>
        <v>1</v>
      </c>
      <c r="I62" s="35">
        <v>18.600000000000001</v>
      </c>
      <c r="J62" s="35">
        <f t="shared" si="9"/>
        <v>37.200000000000003</v>
      </c>
      <c r="K62" s="36" t="s">
        <v>41</v>
      </c>
      <c r="L62" s="14" t="s">
        <v>102</v>
      </c>
    </row>
    <row r="63" spans="1:12" x14ac:dyDescent="0.3">
      <c r="A63" s="19" t="s">
        <v>103</v>
      </c>
      <c r="B63" s="33">
        <v>2108</v>
      </c>
      <c r="C63" s="33">
        <f>B63+300</f>
        <v>2408</v>
      </c>
      <c r="D63" s="33">
        <f>C63+400</f>
        <v>2808</v>
      </c>
      <c r="E63" s="33">
        <v>1</v>
      </c>
      <c r="F63" s="34">
        <f>_xlfn.IFS(Настройки!$B$2="M",B63,Настройки!$B$2="L",C63,Настройки!$B$2="XL",D63)*E63</f>
        <v>2108</v>
      </c>
      <c r="G63" s="37">
        <f>180/2500</f>
        <v>7.1999999999999995E-2</v>
      </c>
      <c r="H63" s="22">
        <f>Настройки!$B$11/Константы!$B$1</f>
        <v>1</v>
      </c>
      <c r="I63" s="37">
        <f>G63*H63</f>
        <v>7.1999999999999995E-2</v>
      </c>
      <c r="J63" s="35">
        <f t="shared" si="9"/>
        <v>151.77599999999998</v>
      </c>
      <c r="K63" s="36" t="s">
        <v>46</v>
      </c>
      <c r="L63" s="14"/>
    </row>
    <row r="64" spans="1:12" x14ac:dyDescent="0.3">
      <c r="A64" s="19" t="s">
        <v>492</v>
      </c>
      <c r="B64" s="33">
        <v>1</v>
      </c>
      <c r="C64" s="33">
        <v>1</v>
      </c>
      <c r="D64" s="33">
        <v>2</v>
      </c>
      <c r="E64" s="33">
        <v>1</v>
      </c>
      <c r="F64" s="34">
        <f>_xlfn.IFS(Настройки!$B$2="M",B64,Настройки!$B$2="L",C64,Настройки!$B$2="XL",D64)*E64</f>
        <v>1</v>
      </c>
      <c r="G64" s="35">
        <f>(2584+1082)*0.95</f>
        <v>3482.7</v>
      </c>
      <c r="H64" s="22">
        <f>Настройки!$B$11/Константы!$B$1</f>
        <v>1</v>
      </c>
      <c r="I64" s="35">
        <f>G64*H64</f>
        <v>3482.7</v>
      </c>
      <c r="J64" s="35">
        <f t="shared" si="9"/>
        <v>3482.7</v>
      </c>
      <c r="K64" s="36" t="s">
        <v>41</v>
      </c>
      <c r="L64" s="14" t="s">
        <v>493</v>
      </c>
    </row>
    <row r="65" spans="1:12" ht="57" x14ac:dyDescent="0.3">
      <c r="A65" s="19" t="s">
        <v>494</v>
      </c>
      <c r="B65" s="33">
        <v>2</v>
      </c>
      <c r="C65" s="33">
        <v>2</v>
      </c>
      <c r="D65" s="33">
        <v>3</v>
      </c>
      <c r="E65" s="33">
        <v>1</v>
      </c>
      <c r="F65" s="34">
        <f>_xlfn.IFS(Настройки!$B$2="M",B65,Настройки!$B$2="L",C65,Настройки!$B$2="XL",D65)*E65</f>
        <v>2</v>
      </c>
      <c r="G65" s="35">
        <v>109</v>
      </c>
      <c r="H65" s="22">
        <f>Настройки!$B$11/Константы!$B$1</f>
        <v>1</v>
      </c>
      <c r="I65" s="35">
        <f>G65*H65</f>
        <v>109</v>
      </c>
      <c r="J65" s="35">
        <f t="shared" si="9"/>
        <v>218</v>
      </c>
      <c r="K65" s="36" t="s">
        <v>41</v>
      </c>
      <c r="L65" s="14" t="s">
        <v>495</v>
      </c>
    </row>
  </sheetData>
  <mergeCells count="9">
    <mergeCell ref="A41:L41"/>
    <mergeCell ref="A54:L54"/>
    <mergeCell ref="L18:L19"/>
    <mergeCell ref="L25:L27"/>
    <mergeCell ref="A2:L2"/>
    <mergeCell ref="A10:L10"/>
    <mergeCell ref="A20:L20"/>
    <mergeCell ref="L32:L34"/>
    <mergeCell ref="L38:L40"/>
  </mergeCells>
  <dataValidations count="5">
    <dataValidation operator="equal" allowBlank="1" showErrorMessage="1" sqref="B1:L1 A55:L65 A21:L40 A11:L19 A3:L9 A42:L53 A66:A1063" xr:uid="{00000000-0002-0000-0100-000000000000}">
      <formula1>0</formula1>
      <formula2>0</formula2>
    </dataValidation>
    <dataValidation operator="equal" allowBlank="1" showInputMessage="1" showErrorMessage="1" promptTitle="Единиц / Длина" prompt="Для товаров, продающихся поштучно - количетство_x000a_единиц этого товара._x000a__x000a_Для товаров, продающихся погонажно - длина в_x000a_миллиметрах." sqref="F66:F1063" xr:uid="{00000000-0002-0000-0100-000001000000}">
      <formula1>0</formula1>
      <formula2>0</formula2>
    </dataValidation>
    <dataValidation operator="equal" allowBlank="1" showInputMessage="1" showErrorMessage="1" promptTitle="Цена единицы" prompt="Для товаров, продающихся поштучно - стоимость 1_x000a_единицы._x000a__x000a_Для товаров, продающихся погонажно - стоимость 1_x000a_миллиметра._x000a__x000a_Эта цена учитывает изменение курса относительно_x000a_того, который был актуален на момент составления_x000a_спецификации._x000a__x000a_Изменение значений в эт" sqref="I66:I1063" xr:uid="{00000000-0002-0000-0100-000002000000}">
      <formula1>0</formula1>
      <formula2>0</formula2>
    </dataValidation>
    <dataValidation operator="equal" allowBlank="1" showInputMessage="1" showErrorMessage="1" promptTitle="Цена итого" prompt="Суммарная цена всех единиц товара._x000a__x000a_Изменение значений в этом столбце влияет на_x000a_расчёт общей стоимости принтера." sqref="J66:J1063" xr:uid="{00000000-0002-0000-0100-000003000000}">
      <formula1>0</formula1>
      <formula2>0</formula2>
    </dataValidation>
    <dataValidation operator="equal" allowBlank="1" showInputMessage="1" showErrorMessage="1" promptTitle="Ссылки" prompt="Ссылки даны для ознакомления. Товары_x000a_подбирались исходя из принципа &quot;максимальное_x000a_качество за минимальные деньги&quot;. Если какой-то_x000a_товар закончился или не устраивает вас, то вы_x000a_можете заменить его на аналогичный. Главное_x000a_убедиться, что это действительно ана" sqref="K66:K1063" xr:uid="{00000000-0002-0000-0100-000004000000}">
      <formula1>0</formula1>
      <formula2>0</formula2>
    </dataValidation>
  </dataValidations>
  <hyperlinks>
    <hyperlink ref="K3" r:id="rId1" xr:uid="{00000000-0004-0000-0100-000000000000}"/>
    <hyperlink ref="K4" r:id="rId2" xr:uid="{00000000-0004-0000-0100-000001000000}"/>
    <hyperlink ref="K5" r:id="rId3" xr:uid="{00000000-0004-0000-0100-000003000000}"/>
    <hyperlink ref="K7" r:id="rId4" xr:uid="{00000000-0004-0000-0100-000004000000}"/>
    <hyperlink ref="K8" r:id="rId5" xr:uid="{00000000-0004-0000-0100-000005000000}"/>
    <hyperlink ref="K9" r:id="rId6" xr:uid="{00000000-0004-0000-0100-000006000000}"/>
    <hyperlink ref="K11" r:id="rId7" xr:uid="{00000000-0004-0000-0100-000007000000}"/>
    <hyperlink ref="K12" r:id="rId8" xr:uid="{00000000-0004-0000-0100-000008000000}"/>
    <hyperlink ref="K13" r:id="rId9" xr:uid="{00000000-0004-0000-0100-000009000000}"/>
    <hyperlink ref="K14" r:id="rId10" xr:uid="{00000000-0004-0000-0100-00000A000000}"/>
    <hyperlink ref="K15" r:id="rId11" xr:uid="{00000000-0004-0000-0100-00000B000000}"/>
    <hyperlink ref="K16" r:id="rId12" xr:uid="{00000000-0004-0000-0100-00000C000000}"/>
    <hyperlink ref="K17" r:id="rId13" xr:uid="{00000000-0004-0000-0100-00000D000000}"/>
    <hyperlink ref="K18" r:id="rId14" xr:uid="{00000000-0004-0000-0100-00000E000000}"/>
    <hyperlink ref="K19" r:id="rId15" xr:uid="{00000000-0004-0000-0100-00000F000000}"/>
    <hyperlink ref="K21" r:id="rId16" xr:uid="{00000000-0004-0000-0100-000010000000}"/>
    <hyperlink ref="K22" r:id="rId17" xr:uid="{00000000-0004-0000-0100-000011000000}"/>
    <hyperlink ref="K23" r:id="rId18" xr:uid="{00000000-0004-0000-0100-000012000000}"/>
    <hyperlink ref="K24" r:id="rId19" xr:uid="{00000000-0004-0000-0100-000013000000}"/>
    <hyperlink ref="K25" r:id="rId20" xr:uid="{00000000-0004-0000-0100-000014000000}"/>
    <hyperlink ref="K26" r:id="rId21" xr:uid="{00000000-0004-0000-0100-000015000000}"/>
    <hyperlink ref="K27" r:id="rId22" xr:uid="{00000000-0004-0000-0100-000016000000}"/>
    <hyperlink ref="K31" r:id="rId23" xr:uid="{00000000-0004-0000-0100-000018000000}"/>
    <hyperlink ref="K32" r:id="rId24" xr:uid="{00000000-0004-0000-0100-00001A000000}"/>
    <hyperlink ref="K33" r:id="rId25" xr:uid="{00000000-0004-0000-0100-00001B000000}"/>
    <hyperlink ref="K34" r:id="rId26" xr:uid="{00000000-0004-0000-0100-00001C000000}"/>
    <hyperlink ref="K35" r:id="rId27" xr:uid="{00000000-0004-0000-0100-00001D000000}"/>
    <hyperlink ref="K36" r:id="rId28" xr:uid="{00000000-0004-0000-0100-00001E000000}"/>
    <hyperlink ref="K37" r:id="rId29" xr:uid="{00000000-0004-0000-0100-00001F000000}"/>
    <hyperlink ref="K38" r:id="rId30" xr:uid="{00000000-0004-0000-0100-000020000000}"/>
    <hyperlink ref="K39" r:id="rId31" xr:uid="{00000000-0004-0000-0100-000021000000}"/>
    <hyperlink ref="K40" r:id="rId32" xr:uid="{00000000-0004-0000-0100-000022000000}"/>
    <hyperlink ref="K42" r:id="rId33" xr:uid="{00000000-0004-0000-0100-000023000000}"/>
    <hyperlink ref="K44" r:id="rId34" xr:uid="{00000000-0004-0000-0100-000025000000}"/>
    <hyperlink ref="K45" r:id="rId35" xr:uid="{00000000-0004-0000-0100-000026000000}"/>
    <hyperlink ref="K46" r:id="rId36" xr:uid="{00000000-0004-0000-0100-000027000000}"/>
    <hyperlink ref="K47" r:id="rId37" xr:uid="{00000000-0004-0000-0100-000028000000}"/>
    <hyperlink ref="K48" r:id="rId38" xr:uid="{00000000-0004-0000-0100-000029000000}"/>
    <hyperlink ref="K49" r:id="rId39" xr:uid="{00000000-0004-0000-0100-00002A000000}"/>
    <hyperlink ref="K50" r:id="rId40" xr:uid="{00000000-0004-0000-0100-00002B000000}"/>
    <hyperlink ref="K51" r:id="rId41" location="searchQuery=DIN+рейка&amp;searchType=srp" xr:uid="{00000000-0004-0000-0100-00002C000000}"/>
    <hyperlink ref="K52" r:id="rId42" location="searchQuery=DIN+рейка&amp;searchType=srp" xr:uid="{00000000-0004-0000-0100-00002D000000}"/>
    <hyperlink ref="K53" r:id="rId43" xr:uid="{00000000-0004-0000-0100-00002E000000}"/>
    <hyperlink ref="K55" r:id="rId44" xr:uid="{00000000-0004-0000-0100-00002F000000}"/>
    <hyperlink ref="K56" r:id="rId45" xr:uid="{00000000-0004-0000-0100-000030000000}"/>
    <hyperlink ref="K57" r:id="rId46" xr:uid="{00000000-0004-0000-0100-000031000000}"/>
    <hyperlink ref="K58" r:id="rId47" xr:uid="{00000000-0004-0000-0100-000032000000}"/>
    <hyperlink ref="K59" r:id="rId48" xr:uid="{00000000-0004-0000-0100-000033000000}"/>
    <hyperlink ref="K60" r:id="rId49" xr:uid="{00000000-0004-0000-0100-000034000000}"/>
    <hyperlink ref="K61" r:id="rId50" xr:uid="{00000000-0004-0000-0100-000035000000}"/>
    <hyperlink ref="K62" r:id="rId51" xr:uid="{00000000-0004-0000-0100-000036000000}"/>
    <hyperlink ref="K63" r:id="rId52" xr:uid="{00000000-0004-0000-0100-000037000000}"/>
    <hyperlink ref="K6" r:id="rId53" xr:uid="{3D81CFE8-FAFE-416F-82EA-67EBA9D6BDEF}"/>
    <hyperlink ref="K28" r:id="rId54" xr:uid="{E289BC85-DD7F-4F51-8ED3-0B3E8BAC841C}"/>
    <hyperlink ref="K29" r:id="rId55" xr:uid="{E2A98E00-6F4B-4F84-9D3E-C43B7199D938}"/>
    <hyperlink ref="K30" r:id="rId56" xr:uid="{DF872DC4-D03B-4198-808A-9C6EC940FBB7}"/>
    <hyperlink ref="K64" r:id="rId57" xr:uid="{35F2D96A-7BD3-4A72-B39B-F86669325006}"/>
    <hyperlink ref="K65" r:id="rId58" xr:uid="{DD7AFFBE-3E58-43F5-81DC-B9A9CB937C1D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59"/>
  <headerFooter>
    <oddHeader>&amp;C&amp;"Arial,Обычный"&amp;A</oddHeader>
    <oddFooter>&amp;C&amp;"Arial,Обычный"Page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:O40"/>
  <sheetViews>
    <sheetView zoomScaleNormal="100" workbookViewId="0">
      <selection activeCell="K9" sqref="K9"/>
    </sheetView>
  </sheetViews>
  <sheetFormatPr defaultColWidth="10.625" defaultRowHeight="13.5" x14ac:dyDescent="0.25"/>
  <cols>
    <col min="1" max="1" width="13.125" style="4" customWidth="1"/>
    <col min="2" max="2" width="38.875" style="6" customWidth="1"/>
    <col min="3" max="3" width="10.625" style="4" customWidth="1"/>
    <col min="4" max="4" width="11.25" style="4" customWidth="1"/>
    <col min="5" max="7" width="10.625" style="4" hidden="1" customWidth="1"/>
    <col min="8" max="8" width="13.875" style="4" hidden="1" customWidth="1"/>
    <col min="9" max="9" width="10.625" style="4" hidden="1" customWidth="1"/>
    <col min="10" max="10" width="7.125" style="4" customWidth="1"/>
    <col min="11" max="11" width="10.625" style="7"/>
    <col min="12" max="12" width="13.25" style="8" customWidth="1"/>
    <col min="13" max="13" width="9.75" style="4" customWidth="1"/>
    <col min="16" max="16384" width="10.625" style="4"/>
  </cols>
  <sheetData>
    <row r="1" spans="1:13" ht="43.5" customHeight="1" x14ac:dyDescent="0.25">
      <c r="A1" s="16" t="s">
        <v>104</v>
      </c>
      <c r="B1" s="42" t="s">
        <v>32</v>
      </c>
      <c r="C1" s="30" t="s">
        <v>105</v>
      </c>
      <c r="D1" s="30" t="s">
        <v>106</v>
      </c>
      <c r="E1" s="16" t="s">
        <v>107</v>
      </c>
      <c r="F1" s="16" t="s">
        <v>108</v>
      </c>
      <c r="G1" s="16" t="s">
        <v>109</v>
      </c>
      <c r="H1" s="30" t="s">
        <v>110</v>
      </c>
      <c r="I1" s="16" t="s">
        <v>8</v>
      </c>
      <c r="J1" s="16" t="s">
        <v>111</v>
      </c>
      <c r="K1" s="40" t="s">
        <v>37</v>
      </c>
      <c r="L1" s="32" t="s">
        <v>38</v>
      </c>
      <c r="M1" s="16" t="s">
        <v>112</v>
      </c>
    </row>
    <row r="2" spans="1:13" ht="16.5" x14ac:dyDescent="0.25">
      <c r="A2" s="20"/>
      <c r="B2" s="50" t="s">
        <v>113</v>
      </c>
      <c r="C2" s="46"/>
      <c r="D2" s="34"/>
      <c r="E2" s="53">
        <v>37</v>
      </c>
      <c r="F2" s="53">
        <v>42</v>
      </c>
      <c r="G2" s="53">
        <v>42</v>
      </c>
      <c r="H2" s="34" cm="1">
        <f t="array" ref="H2">_xlfn.IFS(Настройки!$B$2="M",'Стандартные изд.'!E2,Настройки!$B$2="L",'Стандартные изд.'!F2,Настройки!$B$2="XL",'Стандартные изд.'!G3)</f>
        <v>37</v>
      </c>
      <c r="I2" s="34">
        <f>ROUNDUP(H2*0.1,0)</f>
        <v>4</v>
      </c>
      <c r="J2" s="34">
        <f t="shared" ref="J2:J40" si="0">H2+I2</f>
        <v>41</v>
      </c>
      <c r="K2" s="47">
        <f>188/10</f>
        <v>18.8</v>
      </c>
      <c r="L2" s="48">
        <f t="shared" ref="L2:L40" si="1">J2*K2</f>
        <v>770.80000000000007</v>
      </c>
      <c r="M2" s="36" t="s">
        <v>41</v>
      </c>
    </row>
    <row r="3" spans="1:13" ht="16.5" x14ac:dyDescent="0.25">
      <c r="A3" s="20"/>
      <c r="B3" s="50" t="s">
        <v>114</v>
      </c>
      <c r="C3" s="46"/>
      <c r="D3" s="34"/>
      <c r="E3" s="53">
        <v>58</v>
      </c>
      <c r="F3" s="53">
        <v>68</v>
      </c>
      <c r="G3" s="53">
        <v>68</v>
      </c>
      <c r="H3" s="34" cm="1">
        <f t="array" ref="H3">_xlfn.IFS(Настройки!$B$2="M",'Стандартные изд.'!E3,Настройки!$B$2="L",'Стандартные изд.'!F3,Настройки!$B$2="XL",'Стандартные изд.'!G4)</f>
        <v>58</v>
      </c>
      <c r="I3" s="34">
        <f t="shared" ref="I3:I40" si="2">ROUNDUP(H3*0.1,0)</f>
        <v>6</v>
      </c>
      <c r="J3" s="34">
        <f t="shared" si="0"/>
        <v>64</v>
      </c>
      <c r="K3" s="47">
        <f>427/10</f>
        <v>42.7</v>
      </c>
      <c r="L3" s="48">
        <f t="shared" si="1"/>
        <v>2732.8</v>
      </c>
      <c r="M3" s="36" t="s">
        <v>41</v>
      </c>
    </row>
    <row r="4" spans="1:13" ht="16.5" x14ac:dyDescent="0.25">
      <c r="A4" s="20"/>
      <c r="B4" s="50" t="s">
        <v>115</v>
      </c>
      <c r="C4" s="46"/>
      <c r="D4" s="34"/>
      <c r="E4" s="53">
        <v>2</v>
      </c>
      <c r="F4" s="53">
        <v>4</v>
      </c>
      <c r="G4" s="53">
        <v>4</v>
      </c>
      <c r="H4" s="34" cm="1">
        <f t="array" ref="H4">_xlfn.IFS(Настройки!$B$2="M",'Стандартные изд.'!E4,Настройки!$B$2="L",'Стандартные изд.'!F4,Настройки!$B$2="XL",'Стандартные изд.'!G5)</f>
        <v>2</v>
      </c>
      <c r="I4" s="34">
        <f t="shared" si="2"/>
        <v>1</v>
      </c>
      <c r="J4" s="34">
        <f t="shared" si="0"/>
        <v>3</v>
      </c>
      <c r="K4" s="47">
        <f>239/10</f>
        <v>23.9</v>
      </c>
      <c r="L4" s="48">
        <f t="shared" si="1"/>
        <v>71.699999999999989</v>
      </c>
      <c r="M4" s="36" t="s">
        <v>41</v>
      </c>
    </row>
    <row r="5" spans="1:13" ht="16.5" x14ac:dyDescent="0.25">
      <c r="A5" s="20"/>
      <c r="B5" s="50" t="s">
        <v>116</v>
      </c>
      <c r="C5" s="46"/>
      <c r="D5" s="34"/>
      <c r="E5" s="53">
        <v>2</v>
      </c>
      <c r="F5" s="53">
        <v>4</v>
      </c>
      <c r="G5" s="53">
        <v>4</v>
      </c>
      <c r="H5" s="34" cm="1">
        <f t="array" ref="H5">_xlfn.IFS(Настройки!$B$2="M",'Стандартные изд.'!E5,Настройки!$B$2="L",'Стандартные изд.'!F5,Настройки!$B$2="XL",'Стандартные изд.'!G6)</f>
        <v>2</v>
      </c>
      <c r="I5" s="34">
        <f t="shared" si="2"/>
        <v>1</v>
      </c>
      <c r="J5" s="34">
        <f t="shared" si="0"/>
        <v>3</v>
      </c>
      <c r="K5" s="47">
        <f>427/10</f>
        <v>42.7</v>
      </c>
      <c r="L5" s="48">
        <f t="shared" si="1"/>
        <v>128.10000000000002</v>
      </c>
      <c r="M5" s="36" t="s">
        <v>41</v>
      </c>
    </row>
    <row r="6" spans="1:13" ht="12.75" customHeight="1" x14ac:dyDescent="0.25">
      <c r="A6" s="97"/>
      <c r="B6" s="98" t="s">
        <v>117</v>
      </c>
      <c r="C6" s="46" t="s">
        <v>118</v>
      </c>
      <c r="D6" s="34">
        <v>3</v>
      </c>
      <c r="E6" s="34">
        <v>59</v>
      </c>
      <c r="F6" s="34">
        <v>69</v>
      </c>
      <c r="G6" s="34">
        <v>69</v>
      </c>
      <c r="H6" s="34" cm="1">
        <f t="array" ref="H6">_xlfn.IFS(Настройки!$B$2="M",'Стандартные изд.'!E6,Настройки!$B$2="L",'Стандартные изд.'!F6,Настройки!$B$2="XL",'Стандартные изд.'!G7)</f>
        <v>59</v>
      </c>
      <c r="I6" s="34">
        <f t="shared" si="2"/>
        <v>6</v>
      </c>
      <c r="J6" s="34">
        <f t="shared" si="0"/>
        <v>65</v>
      </c>
      <c r="K6" s="47">
        <f>135/50</f>
        <v>2.7</v>
      </c>
      <c r="L6" s="48">
        <f t="shared" si="1"/>
        <v>175.5</v>
      </c>
      <c r="M6" s="36" t="s">
        <v>41</v>
      </c>
    </row>
    <row r="7" spans="1:13" ht="16.5" x14ac:dyDescent="0.25">
      <c r="A7" s="97"/>
      <c r="B7" s="98" t="s">
        <v>117</v>
      </c>
      <c r="C7" s="46" t="s">
        <v>118</v>
      </c>
      <c r="D7" s="34">
        <v>5</v>
      </c>
      <c r="E7" s="34">
        <v>43</v>
      </c>
      <c r="F7" s="34">
        <v>53</v>
      </c>
      <c r="G7" s="34">
        <v>53</v>
      </c>
      <c r="H7" s="34" cm="1">
        <f t="array" ref="H7">_xlfn.IFS(Настройки!$B$2="M",'Стандартные изд.'!E7,Настройки!$B$2="L",'Стандартные изд.'!F7,Настройки!$B$2="XL",'Стандартные изд.'!G8)</f>
        <v>43</v>
      </c>
      <c r="I7" s="34">
        <f t="shared" si="2"/>
        <v>5</v>
      </c>
      <c r="J7" s="34">
        <f t="shared" si="0"/>
        <v>48</v>
      </c>
      <c r="K7" s="47">
        <f>151/50</f>
        <v>3.02</v>
      </c>
      <c r="L7" s="48">
        <f t="shared" si="1"/>
        <v>144.96</v>
      </c>
      <c r="M7" s="36" t="s">
        <v>41</v>
      </c>
    </row>
    <row r="8" spans="1:13" ht="16.5" x14ac:dyDescent="0.25">
      <c r="A8" s="20"/>
      <c r="B8" s="50" t="s">
        <v>119</v>
      </c>
      <c r="C8" s="46" t="s">
        <v>118</v>
      </c>
      <c r="D8" s="34">
        <v>5</v>
      </c>
      <c r="E8" s="34">
        <v>9</v>
      </c>
      <c r="F8" s="34">
        <v>9</v>
      </c>
      <c r="G8" s="34">
        <v>9</v>
      </c>
      <c r="H8" s="34" cm="1">
        <f t="array" ref="H8">_xlfn.IFS(Настройки!$B$2="M",'Стандартные изд.'!E8,Настройки!$B$2="L",'Стандартные изд.'!F8,Настройки!$B$2="XL",'Стандартные изд.'!G9)</f>
        <v>9</v>
      </c>
      <c r="I8" s="34">
        <f t="shared" si="2"/>
        <v>1</v>
      </c>
      <c r="J8" s="34">
        <f t="shared" si="0"/>
        <v>10</v>
      </c>
      <c r="K8" s="47">
        <f>88/100</f>
        <v>0.88</v>
      </c>
      <c r="L8" s="48">
        <f t="shared" si="1"/>
        <v>8.8000000000000007</v>
      </c>
      <c r="M8" s="36" t="s">
        <v>41</v>
      </c>
    </row>
    <row r="9" spans="1:13" ht="12.75" customHeight="1" x14ac:dyDescent="0.25">
      <c r="A9" s="97" t="s">
        <v>120</v>
      </c>
      <c r="B9" s="98" t="s">
        <v>121</v>
      </c>
      <c r="C9" s="46" t="s">
        <v>118</v>
      </c>
      <c r="D9" s="34"/>
      <c r="E9" s="34">
        <v>18</v>
      </c>
      <c r="F9" s="34">
        <v>18</v>
      </c>
      <c r="G9" s="34">
        <v>22</v>
      </c>
      <c r="H9" s="34" cm="1">
        <f t="array" ref="H9">_xlfn.IFS(Настройки!$B$2="M",'Стандартные изд.'!E9,Настройки!$B$2="L",'Стандартные изд.'!F9,Настройки!$B$2="XL",'Стандартные изд.'!G10)</f>
        <v>18</v>
      </c>
      <c r="I9" s="34">
        <f t="shared" si="2"/>
        <v>2</v>
      </c>
      <c r="J9" s="34">
        <f t="shared" si="0"/>
        <v>20</v>
      </c>
      <c r="K9" s="47">
        <v>1.3</v>
      </c>
      <c r="L9" s="48">
        <f t="shared" si="1"/>
        <v>26</v>
      </c>
      <c r="M9" s="36" t="s">
        <v>122</v>
      </c>
    </row>
    <row r="10" spans="1:13" ht="16.5" x14ac:dyDescent="0.25">
      <c r="A10" s="97"/>
      <c r="B10" s="98" t="s">
        <v>121</v>
      </c>
      <c r="C10" s="46" t="s">
        <v>123</v>
      </c>
      <c r="D10" s="34"/>
      <c r="E10" s="34">
        <v>8</v>
      </c>
      <c r="F10" s="34">
        <v>8</v>
      </c>
      <c r="G10" s="34">
        <v>8</v>
      </c>
      <c r="H10" s="34" cm="1">
        <f t="array" ref="H10">_xlfn.IFS(Настройки!$B$2="M",'Стандартные изд.'!E10,Настройки!$B$2="L",'Стандартные изд.'!F10,Настройки!$B$2="XL",'Стандартные изд.'!G11)</f>
        <v>8</v>
      </c>
      <c r="I10" s="34">
        <f t="shared" si="2"/>
        <v>1</v>
      </c>
      <c r="J10" s="34">
        <f t="shared" si="0"/>
        <v>9</v>
      </c>
      <c r="K10" s="47">
        <v>1.3</v>
      </c>
      <c r="L10" s="48">
        <f t="shared" si="1"/>
        <v>11.700000000000001</v>
      </c>
      <c r="M10" s="36" t="s">
        <v>122</v>
      </c>
    </row>
    <row r="11" spans="1:13" ht="12.75" customHeight="1" x14ac:dyDescent="0.25">
      <c r="A11" s="97"/>
      <c r="B11" s="98" t="s">
        <v>124</v>
      </c>
      <c r="C11" s="46" t="s">
        <v>118</v>
      </c>
      <c r="D11" s="34"/>
      <c r="E11" s="34">
        <v>28</v>
      </c>
      <c r="F11" s="34">
        <v>50</v>
      </c>
      <c r="G11" s="34">
        <v>52</v>
      </c>
      <c r="H11" s="34" cm="1">
        <f t="array" ref="H11">_xlfn.IFS(Настройки!$B$2="M",'Стандартные изд.'!E11,Настройки!$B$2="L",'Стандартные изд.'!F11,Настройки!$B$2="XL",'Стандартные изд.'!G12)</f>
        <v>28</v>
      </c>
      <c r="I11" s="34">
        <f t="shared" si="2"/>
        <v>3</v>
      </c>
      <c r="J11" s="34">
        <f t="shared" si="0"/>
        <v>31</v>
      </c>
      <c r="K11" s="47">
        <v>10.81</v>
      </c>
      <c r="L11" s="48">
        <f t="shared" si="1"/>
        <v>335.11</v>
      </c>
      <c r="M11" s="36" t="s">
        <v>41</v>
      </c>
    </row>
    <row r="12" spans="1:13" ht="16.5" x14ac:dyDescent="0.25">
      <c r="A12" s="97"/>
      <c r="B12" s="98" t="s">
        <v>124</v>
      </c>
      <c r="C12" s="46" t="s">
        <v>123</v>
      </c>
      <c r="D12" s="34"/>
      <c r="E12" s="34">
        <v>345</v>
      </c>
      <c r="F12" s="34">
        <v>403</v>
      </c>
      <c r="G12" s="34">
        <v>403</v>
      </c>
      <c r="H12" s="34" cm="1">
        <f t="array" ref="H12">_xlfn.IFS(Настройки!$B$2="M",'Стандартные изд.'!E12,Настройки!$B$2="L",'Стандартные изд.'!F12,Настройки!$B$2="XL",'Стандартные изд.'!G13)</f>
        <v>345</v>
      </c>
      <c r="I12" s="34">
        <f t="shared" si="2"/>
        <v>35</v>
      </c>
      <c r="J12" s="34">
        <f t="shared" si="0"/>
        <v>380</v>
      </c>
      <c r="K12" s="47">
        <v>9.76</v>
      </c>
      <c r="L12" s="48">
        <f t="shared" si="1"/>
        <v>3708.7999999999997</v>
      </c>
      <c r="M12" s="36" t="s">
        <v>41</v>
      </c>
    </row>
    <row r="13" spans="1:13" ht="16.5" x14ac:dyDescent="0.25">
      <c r="A13" s="20" t="s">
        <v>125</v>
      </c>
      <c r="B13" s="50" t="s">
        <v>126</v>
      </c>
      <c r="C13" s="46" t="s">
        <v>118</v>
      </c>
      <c r="D13" s="34">
        <v>5</v>
      </c>
      <c r="E13" s="34">
        <v>14</v>
      </c>
      <c r="F13" s="34">
        <v>14</v>
      </c>
      <c r="G13" s="34">
        <v>14</v>
      </c>
      <c r="H13" s="34" cm="1">
        <f t="array" ref="H13">_xlfn.IFS(Настройки!$B$2="M",'Стандартные изд.'!E13,Настройки!$B$2="L",'Стандартные изд.'!F13,Настройки!$B$2="XL",'Стандартные изд.'!G14)</f>
        <v>14</v>
      </c>
      <c r="I13" s="34">
        <f t="shared" si="2"/>
        <v>2</v>
      </c>
      <c r="J13" s="34">
        <f t="shared" si="0"/>
        <v>16</v>
      </c>
      <c r="K13" s="47">
        <f>134/10</f>
        <v>13.4</v>
      </c>
      <c r="L13" s="48">
        <f t="shared" si="1"/>
        <v>214.4</v>
      </c>
      <c r="M13" s="36" t="s">
        <v>41</v>
      </c>
    </row>
    <row r="14" spans="1:13" ht="16.5" x14ac:dyDescent="0.25">
      <c r="A14" s="20"/>
      <c r="B14" s="50" t="s">
        <v>127</v>
      </c>
      <c r="C14" s="46"/>
      <c r="D14" s="34"/>
      <c r="E14" s="53">
        <v>43</v>
      </c>
      <c r="F14" s="53">
        <v>48</v>
      </c>
      <c r="G14" s="53">
        <v>48</v>
      </c>
      <c r="H14" s="34" cm="1">
        <f t="array" ref="H14">_xlfn.IFS(Настройки!$B$2="M",'Стандартные изд.'!E14,Настройки!$B$2="L",'Стандартные изд.'!F14,Настройки!$B$2="XL",'Стандартные изд.'!G15)</f>
        <v>43</v>
      </c>
      <c r="I14" s="34">
        <f t="shared" si="2"/>
        <v>5</v>
      </c>
      <c r="J14" s="34">
        <f t="shared" si="0"/>
        <v>48</v>
      </c>
      <c r="K14" s="47">
        <v>0.5</v>
      </c>
      <c r="L14" s="48">
        <f t="shared" si="1"/>
        <v>24</v>
      </c>
      <c r="M14" s="36" t="s">
        <v>122</v>
      </c>
    </row>
    <row r="15" spans="1:13" ht="16.5" x14ac:dyDescent="0.25">
      <c r="A15" s="20"/>
      <c r="B15" s="50" t="s">
        <v>128</v>
      </c>
      <c r="C15" s="46"/>
      <c r="D15" s="34"/>
      <c r="E15" s="34">
        <v>4</v>
      </c>
      <c r="F15" s="34">
        <v>4</v>
      </c>
      <c r="G15" s="34">
        <v>4</v>
      </c>
      <c r="H15" s="34" cm="1">
        <f t="array" ref="H15">_xlfn.IFS(Настройки!$B$2="M",'Стандартные изд.'!E15,Настройки!$B$2="L",'Стандартные изд.'!F15,Настройки!$B$2="XL",'Стандартные изд.'!G16)</f>
        <v>4</v>
      </c>
      <c r="I15" s="34">
        <f t="shared" si="2"/>
        <v>1</v>
      </c>
      <c r="J15" s="34">
        <f t="shared" si="0"/>
        <v>5</v>
      </c>
      <c r="K15" s="47">
        <v>3.8</v>
      </c>
      <c r="L15" s="48">
        <f t="shared" si="1"/>
        <v>19</v>
      </c>
      <c r="M15" s="36" t="s">
        <v>122</v>
      </c>
    </row>
    <row r="16" spans="1:13" ht="16.5" x14ac:dyDescent="0.25">
      <c r="A16" s="20"/>
      <c r="B16" s="50" t="s">
        <v>129</v>
      </c>
      <c r="C16" s="46"/>
      <c r="D16" s="34"/>
      <c r="E16" s="34">
        <v>4</v>
      </c>
      <c r="F16" s="34">
        <v>8</v>
      </c>
      <c r="G16" s="34">
        <v>8</v>
      </c>
      <c r="H16" s="34" cm="1">
        <f t="array" ref="H16">_xlfn.IFS(Настройки!$B$2="M",'Стандартные изд.'!E16,Настройки!$B$2="L",'Стандартные изд.'!F16,Настройки!$B$2="XL",'Стандартные изд.'!G17)</f>
        <v>4</v>
      </c>
      <c r="I16" s="34">
        <f t="shared" si="2"/>
        <v>1</v>
      </c>
      <c r="J16" s="34">
        <f t="shared" si="0"/>
        <v>5</v>
      </c>
      <c r="K16" s="47">
        <v>11.4</v>
      </c>
      <c r="L16" s="48">
        <f t="shared" si="1"/>
        <v>57</v>
      </c>
      <c r="M16" s="36" t="s">
        <v>130</v>
      </c>
    </row>
    <row r="17" spans="1:13" ht="16.5" x14ac:dyDescent="0.25">
      <c r="A17" s="20"/>
      <c r="B17" s="50" t="s">
        <v>131</v>
      </c>
      <c r="C17" s="46"/>
      <c r="D17" s="34"/>
      <c r="E17" s="34">
        <v>4</v>
      </c>
      <c r="F17" s="34">
        <v>4</v>
      </c>
      <c r="G17" s="34">
        <v>4</v>
      </c>
      <c r="H17" s="34" cm="1">
        <f t="array" ref="H17">_xlfn.IFS(Настройки!$B$2="M",'Стандартные изд.'!E17,Настройки!$B$2="L",'Стандартные изд.'!F17,Настройки!$B$2="XL",'Стандартные изд.'!G18)</f>
        <v>4</v>
      </c>
      <c r="I17" s="34">
        <f t="shared" si="2"/>
        <v>1</v>
      </c>
      <c r="J17" s="34">
        <f t="shared" si="0"/>
        <v>5</v>
      </c>
      <c r="K17" s="47">
        <v>35.200000000000003</v>
      </c>
      <c r="L17" s="48">
        <f t="shared" si="1"/>
        <v>176</v>
      </c>
      <c r="M17" s="36" t="s">
        <v>41</v>
      </c>
    </row>
    <row r="18" spans="1:13" ht="12.75" customHeight="1" x14ac:dyDescent="0.25">
      <c r="A18" s="97" t="s">
        <v>132</v>
      </c>
      <c r="B18" s="98" t="s">
        <v>133</v>
      </c>
      <c r="C18" s="46" t="s">
        <v>134</v>
      </c>
      <c r="D18" s="34">
        <v>8</v>
      </c>
      <c r="E18" s="34">
        <v>4</v>
      </c>
      <c r="F18" s="34">
        <v>4</v>
      </c>
      <c r="G18" s="34">
        <v>4</v>
      </c>
      <c r="H18" s="34" cm="1">
        <f t="array" ref="H18">_xlfn.IFS(Настройки!$B$2="M",'Стандартные изд.'!E18,Настройки!$B$2="L",'Стандартные изд.'!F18,Настройки!$B$2="XL",'Стандартные изд.'!G19)</f>
        <v>4</v>
      </c>
      <c r="I18" s="34">
        <f t="shared" si="2"/>
        <v>1</v>
      </c>
      <c r="J18" s="34">
        <f t="shared" si="0"/>
        <v>5</v>
      </c>
      <c r="K18" s="47">
        <v>4.3</v>
      </c>
      <c r="L18" s="48">
        <f t="shared" si="1"/>
        <v>21.5</v>
      </c>
      <c r="M18" s="36" t="s">
        <v>122</v>
      </c>
    </row>
    <row r="19" spans="1:13" ht="16.5" x14ac:dyDescent="0.25">
      <c r="A19" s="97"/>
      <c r="B19" s="98" t="s">
        <v>133</v>
      </c>
      <c r="C19" s="46" t="s">
        <v>135</v>
      </c>
      <c r="D19" s="34">
        <v>8</v>
      </c>
      <c r="E19" s="34">
        <v>10</v>
      </c>
      <c r="F19" s="34">
        <v>10</v>
      </c>
      <c r="G19" s="34">
        <v>10</v>
      </c>
      <c r="H19" s="34" cm="1">
        <f t="array" ref="H19">_xlfn.IFS(Настройки!$B$2="M",'Стандартные изд.'!E19,Настройки!$B$2="L",'Стандартные изд.'!F19,Настройки!$B$2="XL",'Стандартные изд.'!G20)</f>
        <v>10</v>
      </c>
      <c r="I19" s="34">
        <f t="shared" si="2"/>
        <v>1</v>
      </c>
      <c r="J19" s="34">
        <f t="shared" si="0"/>
        <v>11</v>
      </c>
      <c r="K19" s="47">
        <v>3.9</v>
      </c>
      <c r="L19" s="48">
        <f t="shared" si="1"/>
        <v>42.9</v>
      </c>
      <c r="M19" s="36" t="s">
        <v>122</v>
      </c>
    </row>
    <row r="20" spans="1:13" ht="16.5" x14ac:dyDescent="0.25">
      <c r="A20" s="97"/>
      <c r="B20" s="98" t="s">
        <v>133</v>
      </c>
      <c r="C20" s="46" t="s">
        <v>118</v>
      </c>
      <c r="D20" s="34">
        <v>4</v>
      </c>
      <c r="E20" s="34">
        <v>14</v>
      </c>
      <c r="F20" s="34">
        <v>14</v>
      </c>
      <c r="G20" s="34">
        <v>14</v>
      </c>
      <c r="H20" s="34" cm="1">
        <f t="array" ref="H20">_xlfn.IFS(Настройки!$B$2="M",'Стандартные изд.'!E20,Настройки!$B$2="L",'Стандартные изд.'!F20,Настройки!$B$2="XL",'Стандартные изд.'!G21)</f>
        <v>14</v>
      </c>
      <c r="I20" s="34">
        <f t="shared" si="2"/>
        <v>2</v>
      </c>
      <c r="J20" s="34">
        <f t="shared" si="0"/>
        <v>16</v>
      </c>
      <c r="K20" s="47">
        <v>2.2000000000000002</v>
      </c>
      <c r="L20" s="48">
        <f t="shared" si="1"/>
        <v>35.200000000000003</v>
      </c>
      <c r="M20" s="36" t="s">
        <v>122</v>
      </c>
    </row>
    <row r="21" spans="1:13" ht="16.5" x14ac:dyDescent="0.25">
      <c r="A21" s="97"/>
      <c r="B21" s="98" t="s">
        <v>133</v>
      </c>
      <c r="C21" s="46" t="s">
        <v>118</v>
      </c>
      <c r="D21" s="34">
        <v>6</v>
      </c>
      <c r="E21" s="34">
        <v>57</v>
      </c>
      <c r="F21" s="34">
        <v>61</v>
      </c>
      <c r="G21" s="34">
        <v>61</v>
      </c>
      <c r="H21" s="34" cm="1">
        <f t="array" ref="H21">_xlfn.IFS(Настройки!$B$2="M",'Стандартные изд.'!E21,Настройки!$B$2="L",'Стандартные изд.'!F21,Настройки!$B$2="XL",'Стандартные изд.'!G22)</f>
        <v>57</v>
      </c>
      <c r="I21" s="34">
        <f t="shared" si="2"/>
        <v>6</v>
      </c>
      <c r="J21" s="34">
        <f t="shared" si="0"/>
        <v>63</v>
      </c>
      <c r="K21" s="47">
        <v>3</v>
      </c>
      <c r="L21" s="48">
        <f t="shared" si="1"/>
        <v>189</v>
      </c>
      <c r="M21" s="36" t="s">
        <v>122</v>
      </c>
    </row>
    <row r="22" spans="1:13" ht="16.5" x14ac:dyDescent="0.25">
      <c r="A22" s="97"/>
      <c r="B22" s="98" t="s">
        <v>133</v>
      </c>
      <c r="C22" s="46" t="s">
        <v>118</v>
      </c>
      <c r="D22" s="34">
        <v>8</v>
      </c>
      <c r="E22" s="34">
        <v>169</v>
      </c>
      <c r="F22" s="34">
        <v>205</v>
      </c>
      <c r="G22" s="34">
        <v>207</v>
      </c>
      <c r="H22" s="34" cm="1">
        <f t="array" ref="H22">_xlfn.IFS(Настройки!$B$2="M",'Стандартные изд.'!E22,Настройки!$B$2="L",'Стандартные изд.'!F22,Настройки!$B$2="XL",'Стандартные изд.'!G23)</f>
        <v>169</v>
      </c>
      <c r="I22" s="34">
        <f t="shared" si="2"/>
        <v>17</v>
      </c>
      <c r="J22" s="34">
        <f t="shared" si="0"/>
        <v>186</v>
      </c>
      <c r="K22" s="47">
        <v>2.6</v>
      </c>
      <c r="L22" s="48">
        <f t="shared" si="1"/>
        <v>483.6</v>
      </c>
      <c r="M22" s="36" t="s">
        <v>122</v>
      </c>
    </row>
    <row r="23" spans="1:13" ht="16.5" x14ac:dyDescent="0.25">
      <c r="A23" s="97"/>
      <c r="B23" s="98" t="s">
        <v>133</v>
      </c>
      <c r="C23" s="46" t="s">
        <v>118</v>
      </c>
      <c r="D23" s="34">
        <v>10</v>
      </c>
      <c r="E23" s="34">
        <v>52</v>
      </c>
      <c r="F23" s="34">
        <v>56</v>
      </c>
      <c r="G23" s="34">
        <v>60</v>
      </c>
      <c r="H23" s="34" cm="1">
        <f t="array" ref="H23">_xlfn.IFS(Настройки!$B$2="M",'Стандартные изд.'!E23,Настройки!$B$2="L",'Стандартные изд.'!F23,Настройки!$B$2="XL",'Стандартные изд.'!G24)</f>
        <v>52</v>
      </c>
      <c r="I23" s="34">
        <f t="shared" si="2"/>
        <v>6</v>
      </c>
      <c r="J23" s="34">
        <f t="shared" si="0"/>
        <v>58</v>
      </c>
      <c r="K23" s="47">
        <v>3</v>
      </c>
      <c r="L23" s="48">
        <f t="shared" si="1"/>
        <v>174</v>
      </c>
      <c r="M23" s="36" t="s">
        <v>122</v>
      </c>
    </row>
    <row r="24" spans="1:13" ht="16.5" x14ac:dyDescent="0.25">
      <c r="A24" s="97"/>
      <c r="B24" s="98" t="s">
        <v>133</v>
      </c>
      <c r="C24" s="46" t="s">
        <v>118</v>
      </c>
      <c r="D24" s="34">
        <v>12</v>
      </c>
      <c r="E24" s="34">
        <v>7</v>
      </c>
      <c r="F24" s="34">
        <v>11</v>
      </c>
      <c r="G24" s="34">
        <v>11</v>
      </c>
      <c r="H24" s="34" cm="1">
        <f t="array" ref="H24">_xlfn.IFS(Настройки!$B$2="M",'Стандартные изд.'!E24,Настройки!$B$2="L",'Стандартные изд.'!F24,Настройки!$B$2="XL",'Стандартные изд.'!G25)</f>
        <v>7</v>
      </c>
      <c r="I24" s="34">
        <f t="shared" si="2"/>
        <v>1</v>
      </c>
      <c r="J24" s="34">
        <f t="shared" si="0"/>
        <v>8</v>
      </c>
      <c r="K24" s="47">
        <v>2.8</v>
      </c>
      <c r="L24" s="48">
        <f t="shared" si="1"/>
        <v>22.4</v>
      </c>
      <c r="M24" s="36" t="s">
        <v>122</v>
      </c>
    </row>
    <row r="25" spans="1:13" ht="16.5" x14ac:dyDescent="0.25">
      <c r="A25" s="97"/>
      <c r="B25" s="98" t="s">
        <v>133</v>
      </c>
      <c r="C25" s="46" t="s">
        <v>118</v>
      </c>
      <c r="D25" s="34">
        <v>16</v>
      </c>
      <c r="E25" s="34">
        <v>18</v>
      </c>
      <c r="F25" s="34">
        <v>18</v>
      </c>
      <c r="G25" s="34">
        <v>18</v>
      </c>
      <c r="H25" s="34" cm="1">
        <f t="array" ref="H25">_xlfn.IFS(Настройки!$B$2="M",'Стандартные изд.'!E25,Настройки!$B$2="L",'Стандартные изд.'!F25,Настройки!$B$2="XL",'Стандартные изд.'!G26)</f>
        <v>18</v>
      </c>
      <c r="I25" s="34">
        <f t="shared" si="2"/>
        <v>2</v>
      </c>
      <c r="J25" s="34">
        <f t="shared" si="0"/>
        <v>20</v>
      </c>
      <c r="K25" s="47">
        <v>3.4</v>
      </c>
      <c r="L25" s="48">
        <f t="shared" si="1"/>
        <v>68</v>
      </c>
      <c r="M25" s="36" t="s">
        <v>122</v>
      </c>
    </row>
    <row r="26" spans="1:13" ht="16.5" x14ac:dyDescent="0.25">
      <c r="A26" s="97"/>
      <c r="B26" s="98" t="s">
        <v>133</v>
      </c>
      <c r="C26" s="46" t="s">
        <v>118</v>
      </c>
      <c r="D26" s="34">
        <v>25</v>
      </c>
      <c r="E26" s="34">
        <v>14</v>
      </c>
      <c r="F26" s="34">
        <v>19</v>
      </c>
      <c r="G26" s="34">
        <v>19</v>
      </c>
      <c r="H26" s="34" cm="1">
        <f t="array" ref="H26">_xlfn.IFS(Настройки!$B$2="M",'Стандартные изд.'!E26,Настройки!$B$2="L",'Стандартные изд.'!F26,Настройки!$B$2="XL",'Стандартные изд.'!G27)</f>
        <v>14</v>
      </c>
      <c r="I26" s="34">
        <f t="shared" si="2"/>
        <v>2</v>
      </c>
      <c r="J26" s="34">
        <f t="shared" si="0"/>
        <v>16</v>
      </c>
      <c r="K26" s="47">
        <v>4.7</v>
      </c>
      <c r="L26" s="48">
        <f t="shared" si="1"/>
        <v>75.2</v>
      </c>
      <c r="M26" s="36" t="s">
        <v>122</v>
      </c>
    </row>
    <row r="27" spans="1:13" ht="16.5" x14ac:dyDescent="0.25">
      <c r="A27" s="97"/>
      <c r="B27" s="98" t="s">
        <v>133</v>
      </c>
      <c r="C27" s="46" t="s">
        <v>118</v>
      </c>
      <c r="D27" s="34">
        <v>30</v>
      </c>
      <c r="E27" s="34">
        <v>6</v>
      </c>
      <c r="F27" s="34">
        <v>6</v>
      </c>
      <c r="G27" s="34">
        <v>6</v>
      </c>
      <c r="H27" s="34" cm="1">
        <f t="array" ref="H27">_xlfn.IFS(Настройки!$B$2="M",'Стандартные изд.'!E27,Настройки!$B$2="L",'Стандартные изд.'!F27,Настройки!$B$2="XL",'Стандартные изд.'!G28)</f>
        <v>6</v>
      </c>
      <c r="I27" s="34">
        <f t="shared" si="2"/>
        <v>1</v>
      </c>
      <c r="J27" s="34">
        <f t="shared" si="0"/>
        <v>7</v>
      </c>
      <c r="K27" s="47">
        <v>6</v>
      </c>
      <c r="L27" s="48">
        <f t="shared" si="1"/>
        <v>42</v>
      </c>
      <c r="M27" s="36" t="s">
        <v>122</v>
      </c>
    </row>
    <row r="28" spans="1:13" ht="16.5" x14ac:dyDescent="0.25">
      <c r="A28" s="97"/>
      <c r="B28" s="98" t="s">
        <v>133</v>
      </c>
      <c r="C28" s="46" t="s">
        <v>118</v>
      </c>
      <c r="D28" s="34">
        <v>35</v>
      </c>
      <c r="E28" s="34">
        <v>20</v>
      </c>
      <c r="F28" s="34">
        <v>30</v>
      </c>
      <c r="G28" s="34">
        <v>30</v>
      </c>
      <c r="H28" s="34" cm="1">
        <f t="array" ref="H28">_xlfn.IFS(Настройки!$B$2="M",'Стандартные изд.'!E28,Настройки!$B$2="L",'Стандартные изд.'!F28,Настройки!$B$2="XL",'Стандартные изд.'!G29)</f>
        <v>20</v>
      </c>
      <c r="I28" s="34">
        <f t="shared" si="2"/>
        <v>2</v>
      </c>
      <c r="J28" s="34">
        <f t="shared" si="0"/>
        <v>22</v>
      </c>
      <c r="K28" s="47">
        <v>6.8</v>
      </c>
      <c r="L28" s="48">
        <f t="shared" si="1"/>
        <v>149.6</v>
      </c>
      <c r="M28" s="36" t="s">
        <v>122</v>
      </c>
    </row>
    <row r="29" spans="1:13" ht="16.5" x14ac:dyDescent="0.25">
      <c r="A29" s="97"/>
      <c r="B29" s="98" t="s">
        <v>133</v>
      </c>
      <c r="C29" s="46" t="s">
        <v>118</v>
      </c>
      <c r="D29" s="34">
        <v>50</v>
      </c>
      <c r="E29" s="34">
        <v>12</v>
      </c>
      <c r="F29" s="34">
        <v>12</v>
      </c>
      <c r="G29" s="34">
        <v>12</v>
      </c>
      <c r="H29" s="34" cm="1">
        <f t="array" ref="H29">_xlfn.IFS(Настройки!$B$2="M",'Стандартные изд.'!E29,Настройки!$B$2="L",'Стандартные изд.'!F29,Настройки!$B$2="XL",'Стандартные изд.'!G30)</f>
        <v>12</v>
      </c>
      <c r="I29" s="34">
        <f t="shared" si="2"/>
        <v>2</v>
      </c>
      <c r="J29" s="34">
        <f t="shared" si="0"/>
        <v>14</v>
      </c>
      <c r="K29" s="47">
        <v>9.1999999999999993</v>
      </c>
      <c r="L29" s="48">
        <f t="shared" si="1"/>
        <v>128.79999999999998</v>
      </c>
      <c r="M29" s="36" t="s">
        <v>122</v>
      </c>
    </row>
    <row r="30" spans="1:13" ht="16.5" x14ac:dyDescent="0.25">
      <c r="A30" s="97"/>
      <c r="B30" s="98" t="s">
        <v>133</v>
      </c>
      <c r="C30" s="46" t="s">
        <v>123</v>
      </c>
      <c r="D30" s="34">
        <v>20</v>
      </c>
      <c r="E30" s="34">
        <v>4</v>
      </c>
      <c r="F30" s="34">
        <v>4</v>
      </c>
      <c r="G30" s="34">
        <v>4</v>
      </c>
      <c r="H30" s="34" cm="1">
        <f t="array" ref="H30">_xlfn.IFS(Настройки!$B$2="M",'Стандартные изд.'!E30,Настройки!$B$2="L",'Стандартные изд.'!F30,Настройки!$B$2="XL",'Стандартные изд.'!G31)</f>
        <v>4</v>
      </c>
      <c r="I30" s="34">
        <f t="shared" si="2"/>
        <v>1</v>
      </c>
      <c r="J30" s="34">
        <f t="shared" si="0"/>
        <v>5</v>
      </c>
      <c r="K30" s="47">
        <v>12.1</v>
      </c>
      <c r="L30" s="48">
        <f t="shared" si="1"/>
        <v>60.5</v>
      </c>
      <c r="M30" s="36" t="s">
        <v>122</v>
      </c>
    </row>
    <row r="31" spans="1:13" ht="16.5" x14ac:dyDescent="0.25">
      <c r="A31" s="97"/>
      <c r="B31" s="98" t="s">
        <v>133</v>
      </c>
      <c r="C31" s="46" t="s">
        <v>123</v>
      </c>
      <c r="D31" s="34">
        <v>35</v>
      </c>
      <c r="E31" s="34">
        <v>4</v>
      </c>
      <c r="F31" s="34">
        <v>4</v>
      </c>
      <c r="G31" s="34">
        <v>4</v>
      </c>
      <c r="H31" s="34" cm="1">
        <f t="array" ref="H31">_xlfn.IFS(Настройки!$B$2="M",'Стандартные изд.'!E31,Настройки!$B$2="L",'Стандартные изд.'!F31,Настройки!$B$2="XL",'Стандартные изд.'!G32)</f>
        <v>4</v>
      </c>
      <c r="I31" s="34">
        <f t="shared" si="2"/>
        <v>1</v>
      </c>
      <c r="J31" s="34">
        <f t="shared" si="0"/>
        <v>5</v>
      </c>
      <c r="K31" s="47">
        <v>10.9</v>
      </c>
      <c r="L31" s="48">
        <f t="shared" si="1"/>
        <v>54.5</v>
      </c>
      <c r="M31" s="36" t="s">
        <v>122</v>
      </c>
    </row>
    <row r="32" spans="1:13" ht="12.75" customHeight="1" x14ac:dyDescent="0.25">
      <c r="A32" s="97" t="s">
        <v>136</v>
      </c>
      <c r="B32" s="98" t="s">
        <v>137</v>
      </c>
      <c r="C32" s="46" t="s">
        <v>118</v>
      </c>
      <c r="D32" s="34">
        <v>10</v>
      </c>
      <c r="E32" s="34">
        <v>13</v>
      </c>
      <c r="F32" s="34">
        <v>13</v>
      </c>
      <c r="G32" s="34">
        <v>13</v>
      </c>
      <c r="H32" s="34" cm="1">
        <f t="array" ref="H32">_xlfn.IFS(Настройки!$B$2="M",'Стандартные изд.'!E32,Настройки!$B$2="L",'Стандартные изд.'!F32,Настройки!$B$2="XL",'Стандартные изд.'!G33)</f>
        <v>13</v>
      </c>
      <c r="I32" s="34">
        <f t="shared" si="2"/>
        <v>2</v>
      </c>
      <c r="J32" s="34">
        <f t="shared" si="0"/>
        <v>15</v>
      </c>
      <c r="K32" s="47">
        <v>2.7</v>
      </c>
      <c r="L32" s="48">
        <f t="shared" si="1"/>
        <v>40.5</v>
      </c>
      <c r="M32" s="36" t="s">
        <v>122</v>
      </c>
    </row>
    <row r="33" spans="1:13" ht="16.5" x14ac:dyDescent="0.25">
      <c r="A33" s="97"/>
      <c r="B33" s="98" t="s">
        <v>137</v>
      </c>
      <c r="C33" s="46" t="s">
        <v>123</v>
      </c>
      <c r="D33" s="34">
        <v>8</v>
      </c>
      <c r="E33" s="34">
        <v>178</v>
      </c>
      <c r="F33" s="34">
        <v>188</v>
      </c>
      <c r="G33" s="34">
        <v>188</v>
      </c>
      <c r="H33" s="34" cm="1">
        <f t="array" ref="H33">_xlfn.IFS(Настройки!$B$2="M",'Стандартные изд.'!E33,Настройки!$B$2="L",'Стандартные изд.'!F33,Настройки!$B$2="XL",'Стандартные изд.'!G34)</f>
        <v>178</v>
      </c>
      <c r="I33" s="34">
        <f t="shared" si="2"/>
        <v>18</v>
      </c>
      <c r="J33" s="34">
        <f t="shared" si="0"/>
        <v>196</v>
      </c>
      <c r="K33" s="47">
        <v>2</v>
      </c>
      <c r="L33" s="48">
        <f t="shared" si="1"/>
        <v>392</v>
      </c>
      <c r="M33" s="36" t="s">
        <v>122</v>
      </c>
    </row>
    <row r="34" spans="1:13" ht="16.5" x14ac:dyDescent="0.25">
      <c r="A34" s="97"/>
      <c r="B34" s="98" t="s">
        <v>137</v>
      </c>
      <c r="C34" s="46" t="s">
        <v>138</v>
      </c>
      <c r="D34" s="34">
        <v>10</v>
      </c>
      <c r="E34" s="34">
        <v>28</v>
      </c>
      <c r="F34" s="34">
        <v>28</v>
      </c>
      <c r="G34" s="34">
        <v>28</v>
      </c>
      <c r="H34" s="34" cm="1">
        <f t="array" ref="H34">_xlfn.IFS(Настройки!$B$2="M",'Стандартные изд.'!E34,Настройки!$B$2="L",'Стандартные изд.'!F34,Настройки!$B$2="XL",'Стандартные изд.'!G35)</f>
        <v>28</v>
      </c>
      <c r="I34" s="34">
        <f t="shared" si="2"/>
        <v>3</v>
      </c>
      <c r="J34" s="34">
        <f t="shared" si="0"/>
        <v>31</v>
      </c>
      <c r="K34" s="47">
        <v>8.5</v>
      </c>
      <c r="L34" s="48">
        <f t="shared" si="1"/>
        <v>263.5</v>
      </c>
      <c r="M34" s="36" t="s">
        <v>122</v>
      </c>
    </row>
    <row r="35" spans="1:13" ht="16.5" x14ac:dyDescent="0.25">
      <c r="A35" s="97"/>
      <c r="B35" s="98" t="s">
        <v>137</v>
      </c>
      <c r="C35" s="33" t="s">
        <v>138</v>
      </c>
      <c r="D35" s="33">
        <v>40</v>
      </c>
      <c r="E35" s="33">
        <v>18</v>
      </c>
      <c r="F35" s="33">
        <v>18</v>
      </c>
      <c r="G35" s="33">
        <v>18</v>
      </c>
      <c r="H35" s="34" cm="1">
        <f t="array" ref="H35">_xlfn.IFS(Настройки!$B$2="M",'Стандартные изд.'!E35,Настройки!$B$2="L",'Стандартные изд.'!F35,Настройки!$B$2="XL",'Стандартные изд.'!G36)</f>
        <v>18</v>
      </c>
      <c r="I35" s="34">
        <f t="shared" si="2"/>
        <v>2</v>
      </c>
      <c r="J35" s="34">
        <f t="shared" si="0"/>
        <v>20</v>
      </c>
      <c r="K35" s="47">
        <v>14.8</v>
      </c>
      <c r="L35" s="48">
        <f t="shared" si="1"/>
        <v>296</v>
      </c>
      <c r="M35" s="36" t="s">
        <v>122</v>
      </c>
    </row>
    <row r="36" spans="1:13" ht="16.5" x14ac:dyDescent="0.25">
      <c r="A36" s="20" t="s">
        <v>139</v>
      </c>
      <c r="B36" s="50" t="s">
        <v>140</v>
      </c>
      <c r="C36" s="46" t="s">
        <v>123</v>
      </c>
      <c r="D36" s="34">
        <v>8</v>
      </c>
      <c r="E36" s="34">
        <v>165</v>
      </c>
      <c r="F36" s="34">
        <v>213</v>
      </c>
      <c r="G36" s="34">
        <v>213</v>
      </c>
      <c r="H36" s="34" cm="1">
        <f t="array" ref="H36">_xlfn.IFS(Настройки!$B$2="M",'Стандартные изд.'!E36,Настройки!$B$2="L",'Стандартные изд.'!F36,Настройки!$B$2="XL",'Стандартные изд.'!G37)</f>
        <v>165</v>
      </c>
      <c r="I36" s="34">
        <f t="shared" si="2"/>
        <v>17</v>
      </c>
      <c r="J36" s="34">
        <f t="shared" si="0"/>
        <v>182</v>
      </c>
      <c r="K36" s="47">
        <f>138/30</f>
        <v>4.5999999999999996</v>
      </c>
      <c r="L36" s="48">
        <f t="shared" si="1"/>
        <v>837.19999999999993</v>
      </c>
      <c r="M36" s="36" t="s">
        <v>41</v>
      </c>
    </row>
    <row r="37" spans="1:13" ht="12.75" customHeight="1" x14ac:dyDescent="0.25">
      <c r="A37" s="97" t="s">
        <v>141</v>
      </c>
      <c r="B37" s="98" t="s">
        <v>142</v>
      </c>
      <c r="C37" s="46" t="s">
        <v>118</v>
      </c>
      <c r="D37" s="34">
        <v>6</v>
      </c>
      <c r="E37" s="34">
        <v>24</v>
      </c>
      <c r="F37" s="34">
        <v>24</v>
      </c>
      <c r="G37" s="34">
        <v>24</v>
      </c>
      <c r="H37" s="34" cm="1">
        <f t="array" ref="H37">_xlfn.IFS(Настройки!$B$2="M",'Стандартные изд.'!E37,Настройки!$B$2="L",'Стандартные изд.'!F37,Настройки!$B$2="XL",'Стандартные изд.'!G38)</f>
        <v>24</v>
      </c>
      <c r="I37" s="34">
        <f t="shared" si="2"/>
        <v>3</v>
      </c>
      <c r="J37" s="34">
        <f t="shared" si="0"/>
        <v>27</v>
      </c>
      <c r="K37" s="47">
        <v>2</v>
      </c>
      <c r="L37" s="48">
        <f t="shared" si="1"/>
        <v>54</v>
      </c>
      <c r="M37" s="49" t="s">
        <v>122</v>
      </c>
    </row>
    <row r="38" spans="1:13" ht="16.5" x14ac:dyDescent="0.25">
      <c r="A38" s="97"/>
      <c r="B38" s="98" t="s">
        <v>142</v>
      </c>
      <c r="C38" s="33" t="s">
        <v>118</v>
      </c>
      <c r="D38" s="33">
        <v>20</v>
      </c>
      <c r="E38" s="33">
        <v>6</v>
      </c>
      <c r="F38" s="33">
        <v>6</v>
      </c>
      <c r="G38" s="33">
        <v>6</v>
      </c>
      <c r="H38" s="34" cm="1">
        <f t="array" ref="H38">_xlfn.IFS(Настройки!$B$2="M",'Стандартные изд.'!E38,Настройки!$B$2="L",'Стандартные изд.'!F38,Настройки!$B$2="XL",'Стандартные изд.'!G39)</f>
        <v>6</v>
      </c>
      <c r="I38" s="34">
        <f t="shared" si="2"/>
        <v>1</v>
      </c>
      <c r="J38" s="34">
        <f t="shared" si="0"/>
        <v>7</v>
      </c>
      <c r="K38" s="47">
        <v>3</v>
      </c>
      <c r="L38" s="48">
        <f t="shared" si="1"/>
        <v>21</v>
      </c>
      <c r="M38" s="49" t="s">
        <v>122</v>
      </c>
    </row>
    <row r="39" spans="1:13" ht="16.5" x14ac:dyDescent="0.25">
      <c r="A39" s="97"/>
      <c r="B39" s="98" t="s">
        <v>142</v>
      </c>
      <c r="C39" s="33" t="s">
        <v>118</v>
      </c>
      <c r="D39" s="33">
        <v>50</v>
      </c>
      <c r="E39" s="33">
        <v>17</v>
      </c>
      <c r="F39" s="33">
        <v>17</v>
      </c>
      <c r="G39" s="33">
        <v>17</v>
      </c>
      <c r="H39" s="34" cm="1">
        <f t="array" ref="H39">_xlfn.IFS(Настройки!$B$2="M",'Стандартные изд.'!E39,Настройки!$B$2="L",'Стандартные изд.'!F39,Настройки!$B$2="XL",'Стандартные изд.'!G40)</f>
        <v>17</v>
      </c>
      <c r="I39" s="34">
        <f t="shared" si="2"/>
        <v>2</v>
      </c>
      <c r="J39" s="34">
        <f t="shared" si="0"/>
        <v>19</v>
      </c>
      <c r="K39" s="47">
        <v>9</v>
      </c>
      <c r="L39" s="48">
        <f t="shared" si="1"/>
        <v>171</v>
      </c>
      <c r="M39" s="49" t="s">
        <v>122</v>
      </c>
    </row>
    <row r="40" spans="1:13" ht="16.5" x14ac:dyDescent="0.25">
      <c r="A40" s="97"/>
      <c r="B40" s="98" t="s">
        <v>142</v>
      </c>
      <c r="C40" s="33" t="s">
        <v>123</v>
      </c>
      <c r="D40" s="33">
        <v>8</v>
      </c>
      <c r="E40" s="33">
        <v>10</v>
      </c>
      <c r="F40" s="33">
        <v>10</v>
      </c>
      <c r="G40" s="33">
        <v>12</v>
      </c>
      <c r="H40" s="34" cm="1">
        <f t="array" ref="H40">_xlfn.IFS(Настройки!$B$2="M",'Стандартные изд.'!E40,Настройки!$B$2="L",'Стандартные изд.'!F40,Настройки!$B$2="XL",'Стандартные изд.'!G41)</f>
        <v>10</v>
      </c>
      <c r="I40" s="34">
        <f t="shared" si="2"/>
        <v>1</v>
      </c>
      <c r="J40" s="34">
        <f t="shared" si="0"/>
        <v>11</v>
      </c>
      <c r="K40" s="47">
        <v>1.9</v>
      </c>
      <c r="L40" s="48">
        <f t="shared" si="1"/>
        <v>20.9</v>
      </c>
      <c r="M40" s="49" t="s">
        <v>122</v>
      </c>
    </row>
  </sheetData>
  <mergeCells count="12">
    <mergeCell ref="A6:A7"/>
    <mergeCell ref="B6:B7"/>
    <mergeCell ref="A9:A10"/>
    <mergeCell ref="B9:B10"/>
    <mergeCell ref="A11:A12"/>
    <mergeCell ref="B11:B12"/>
    <mergeCell ref="A18:A31"/>
    <mergeCell ref="B18:B31"/>
    <mergeCell ref="A32:A35"/>
    <mergeCell ref="B32:B35"/>
    <mergeCell ref="A37:A40"/>
    <mergeCell ref="B37:B40"/>
  </mergeCells>
  <dataValidations count="1">
    <dataValidation operator="equal" allowBlank="1" showErrorMessage="1" sqref="C60:M1040 A41:B1040 D41:M59 A1:M40" xr:uid="{00000000-0002-0000-0200-000000000000}">
      <formula1>0</formula1>
      <formula2>0</formula2>
    </dataValidation>
  </dataValidations>
  <hyperlinks>
    <hyperlink ref="M2" r:id="rId1" xr:uid="{00000000-0004-0000-0200-000000000000}"/>
    <hyperlink ref="M3" r:id="rId2" xr:uid="{00000000-0004-0000-0200-000001000000}"/>
    <hyperlink ref="M4" r:id="rId3" xr:uid="{00000000-0004-0000-0200-000002000000}"/>
    <hyperlink ref="M5" r:id="rId4" xr:uid="{00000000-0004-0000-0200-000003000000}"/>
    <hyperlink ref="M6" r:id="rId5" xr:uid="{00000000-0004-0000-0200-000004000000}"/>
    <hyperlink ref="M7" r:id="rId6" xr:uid="{00000000-0004-0000-0200-000005000000}"/>
    <hyperlink ref="M8" r:id="rId7" xr:uid="{00000000-0004-0000-0200-000006000000}"/>
    <hyperlink ref="M9" r:id="rId8" xr:uid="{00000000-0004-0000-0200-000007000000}"/>
    <hyperlink ref="M10" r:id="rId9" xr:uid="{00000000-0004-0000-0200-000008000000}"/>
    <hyperlink ref="M11" r:id="rId10" xr:uid="{00000000-0004-0000-0200-000009000000}"/>
    <hyperlink ref="M12" r:id="rId11" xr:uid="{00000000-0004-0000-0200-00000A000000}"/>
    <hyperlink ref="M13" r:id="rId12" xr:uid="{00000000-0004-0000-0200-00000B000000}"/>
    <hyperlink ref="M14" r:id="rId13" xr:uid="{00000000-0004-0000-0200-00000C000000}"/>
    <hyperlink ref="M15" r:id="rId14" xr:uid="{00000000-0004-0000-0200-00000D000000}"/>
    <hyperlink ref="M16" r:id="rId15" xr:uid="{00000000-0004-0000-0200-00000E000000}"/>
    <hyperlink ref="M17" r:id="rId16" xr:uid="{00000000-0004-0000-0200-00000F000000}"/>
    <hyperlink ref="M18" r:id="rId17" xr:uid="{00000000-0004-0000-0200-000010000000}"/>
    <hyperlink ref="M19" r:id="rId18" xr:uid="{00000000-0004-0000-0200-000011000000}"/>
    <hyperlink ref="M20" r:id="rId19" xr:uid="{00000000-0004-0000-0200-000012000000}"/>
    <hyperlink ref="M21" r:id="rId20" xr:uid="{00000000-0004-0000-0200-000013000000}"/>
    <hyperlink ref="M22" r:id="rId21" xr:uid="{00000000-0004-0000-0200-000014000000}"/>
    <hyperlink ref="M23" r:id="rId22" xr:uid="{00000000-0004-0000-0200-000015000000}"/>
    <hyperlink ref="M24" r:id="rId23" xr:uid="{00000000-0004-0000-0200-000016000000}"/>
    <hyperlink ref="M25" r:id="rId24" xr:uid="{00000000-0004-0000-0200-000017000000}"/>
    <hyperlink ref="M26" r:id="rId25" xr:uid="{00000000-0004-0000-0200-000018000000}"/>
    <hyperlink ref="M27" r:id="rId26" xr:uid="{00000000-0004-0000-0200-000019000000}"/>
    <hyperlink ref="M28" r:id="rId27" xr:uid="{00000000-0004-0000-0200-00001A000000}"/>
    <hyperlink ref="M29" r:id="rId28" xr:uid="{00000000-0004-0000-0200-00001B000000}"/>
    <hyperlink ref="M30" r:id="rId29" xr:uid="{00000000-0004-0000-0200-00001C000000}"/>
    <hyperlink ref="M31" r:id="rId30" xr:uid="{00000000-0004-0000-0200-00001D000000}"/>
    <hyperlink ref="M32" r:id="rId31" xr:uid="{00000000-0004-0000-0200-00001E000000}"/>
    <hyperlink ref="M33" r:id="rId32" xr:uid="{00000000-0004-0000-0200-00001F000000}"/>
    <hyperlink ref="M34" r:id="rId33" xr:uid="{00000000-0004-0000-0200-000020000000}"/>
    <hyperlink ref="M35" r:id="rId34" xr:uid="{00000000-0004-0000-0200-000021000000}"/>
    <hyperlink ref="M36" r:id="rId35" xr:uid="{00000000-0004-0000-0200-000022000000}"/>
    <hyperlink ref="M37" r:id="rId36" xr:uid="{00000000-0004-0000-0200-000023000000}"/>
    <hyperlink ref="M38" r:id="rId37" xr:uid="{00000000-0004-0000-0200-000024000000}"/>
    <hyperlink ref="M39" r:id="rId38" xr:uid="{00000000-0004-0000-0200-000025000000}"/>
    <hyperlink ref="M40" r:id="rId39" xr:uid="{00000000-0004-0000-0200-000026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4"/>
  <dimension ref="A1:XFD125"/>
  <sheetViews>
    <sheetView zoomScaleNormal="100" workbookViewId="0">
      <selection activeCell="B13" sqref="B13"/>
    </sheetView>
  </sheetViews>
  <sheetFormatPr defaultColWidth="10.625" defaultRowHeight="15.95" customHeight="1" x14ac:dyDescent="0.25"/>
  <cols>
    <col min="1" max="1" width="17" style="1" customWidth="1"/>
    <col min="2" max="2" width="46.5" style="1" customWidth="1"/>
    <col min="3" max="5" width="5.625" style="9" hidden="1" customWidth="1"/>
    <col min="6" max="6" width="12.625" style="9" hidden="1" customWidth="1"/>
    <col min="7" max="7" width="5.625" style="9" hidden="1" customWidth="1"/>
    <col min="8" max="8" width="5.625" style="9" customWidth="1"/>
    <col min="9" max="9" width="12.625" style="1" hidden="1" customWidth="1"/>
    <col min="10" max="10" width="24.375" style="9" customWidth="1"/>
    <col min="11" max="11" width="12.625" style="1" hidden="1" customWidth="1"/>
    <col min="12" max="12" width="5.625" style="1" hidden="1" customWidth="1"/>
    <col min="13" max="16" width="12.625" style="9" hidden="1" customWidth="1"/>
    <col min="17" max="17" width="12.625" style="9" customWidth="1"/>
    <col min="18" max="18" width="81.75" style="6" customWidth="1"/>
    <col min="19" max="16357" width="10.625" style="2"/>
  </cols>
  <sheetData>
    <row r="1" spans="1:16384" customFormat="1" ht="15.95" customHeight="1" x14ac:dyDescent="0.25">
      <c r="A1" s="99" t="s">
        <v>143</v>
      </c>
      <c r="B1" s="99" t="s">
        <v>32</v>
      </c>
      <c r="C1" s="101" t="s">
        <v>496</v>
      </c>
      <c r="D1" s="102"/>
      <c r="E1" s="103"/>
      <c r="F1" s="99" t="s">
        <v>144</v>
      </c>
      <c r="G1" s="99" t="s">
        <v>145</v>
      </c>
      <c r="H1" s="99" t="s">
        <v>111</v>
      </c>
      <c r="I1" s="99" t="s">
        <v>146</v>
      </c>
      <c r="J1" s="99" t="s">
        <v>508</v>
      </c>
      <c r="K1" s="99" t="s">
        <v>6</v>
      </c>
      <c r="L1" s="99" t="s">
        <v>510</v>
      </c>
      <c r="M1" s="101" t="s">
        <v>497</v>
      </c>
      <c r="N1" s="102"/>
      <c r="O1" s="102"/>
      <c r="P1" s="103"/>
      <c r="Q1" s="99" t="s">
        <v>148</v>
      </c>
      <c r="R1" s="106" t="s">
        <v>1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  <c r="CEP1" s="2"/>
      <c r="CEQ1" s="2"/>
      <c r="CER1" s="2"/>
      <c r="CES1" s="2"/>
      <c r="CET1" s="2"/>
      <c r="CEU1" s="2"/>
      <c r="CEV1" s="2"/>
      <c r="CEW1" s="2"/>
      <c r="CEX1" s="2"/>
      <c r="CEY1" s="2"/>
      <c r="CEZ1" s="2"/>
      <c r="CFA1" s="2"/>
      <c r="CFB1" s="2"/>
      <c r="CFC1" s="2"/>
      <c r="CFD1" s="2"/>
      <c r="CFE1" s="2"/>
      <c r="CFF1" s="2"/>
      <c r="CFG1" s="2"/>
      <c r="CFH1" s="2"/>
      <c r="CFI1" s="2"/>
      <c r="CFJ1" s="2"/>
      <c r="CFK1" s="2"/>
      <c r="CFL1" s="2"/>
      <c r="CFM1" s="2"/>
      <c r="CFN1" s="2"/>
      <c r="CFO1" s="2"/>
      <c r="CFP1" s="2"/>
      <c r="CFQ1" s="2"/>
      <c r="CFR1" s="2"/>
      <c r="CFS1" s="2"/>
      <c r="CFT1" s="2"/>
      <c r="CFU1" s="2"/>
      <c r="CFV1" s="2"/>
      <c r="CFW1" s="2"/>
      <c r="CFX1" s="2"/>
      <c r="CFY1" s="2"/>
      <c r="CFZ1" s="2"/>
      <c r="CGA1" s="2"/>
      <c r="CGB1" s="2"/>
      <c r="CGC1" s="2"/>
      <c r="CGD1" s="2"/>
      <c r="CGE1" s="2"/>
      <c r="CGF1" s="2"/>
      <c r="CGG1" s="2"/>
      <c r="CGH1" s="2"/>
      <c r="CGI1" s="2"/>
      <c r="CGJ1" s="2"/>
      <c r="CGK1" s="2"/>
      <c r="CGL1" s="2"/>
      <c r="CGM1" s="2"/>
      <c r="CGN1" s="2"/>
      <c r="CGO1" s="2"/>
      <c r="CGP1" s="2"/>
      <c r="CGQ1" s="2"/>
      <c r="CGR1" s="2"/>
      <c r="CGS1" s="2"/>
      <c r="CGT1" s="2"/>
      <c r="CGU1" s="2"/>
      <c r="CGV1" s="2"/>
      <c r="CGW1" s="2"/>
      <c r="CGX1" s="2"/>
      <c r="CGY1" s="2"/>
      <c r="CGZ1" s="2"/>
      <c r="CHA1" s="2"/>
      <c r="CHB1" s="2"/>
      <c r="CHC1" s="2"/>
      <c r="CHD1" s="2"/>
      <c r="CHE1" s="2"/>
      <c r="CHF1" s="2"/>
      <c r="CHG1" s="2"/>
      <c r="CHH1" s="2"/>
      <c r="CHI1" s="2"/>
      <c r="CHJ1" s="2"/>
      <c r="CHK1" s="2"/>
      <c r="CHL1" s="2"/>
      <c r="CHM1" s="2"/>
      <c r="CHN1" s="2"/>
      <c r="CHO1" s="2"/>
      <c r="CHP1" s="2"/>
      <c r="CHQ1" s="2"/>
      <c r="CHR1" s="2"/>
      <c r="CHS1" s="2"/>
      <c r="CHT1" s="2"/>
      <c r="CHU1" s="2"/>
      <c r="CHV1" s="2"/>
      <c r="CHW1" s="2"/>
      <c r="CHX1" s="2"/>
      <c r="CHY1" s="2"/>
      <c r="CHZ1" s="2"/>
      <c r="CIA1" s="2"/>
      <c r="CIB1" s="2"/>
      <c r="CIC1" s="2"/>
      <c r="CID1" s="2"/>
      <c r="CIE1" s="2"/>
      <c r="CIF1" s="2"/>
      <c r="CIG1" s="2"/>
      <c r="CIH1" s="2"/>
      <c r="CII1" s="2"/>
      <c r="CIJ1" s="2"/>
      <c r="CIK1" s="2"/>
      <c r="CIL1" s="2"/>
      <c r="CIM1" s="2"/>
      <c r="CIN1" s="2"/>
      <c r="CIO1" s="2"/>
      <c r="CIP1" s="2"/>
      <c r="CIQ1" s="2"/>
      <c r="CIR1" s="2"/>
      <c r="CIS1" s="2"/>
      <c r="CIT1" s="2"/>
      <c r="CIU1" s="2"/>
      <c r="CIV1" s="2"/>
      <c r="CIW1" s="2"/>
      <c r="CIX1" s="2"/>
      <c r="CIY1" s="2"/>
      <c r="CIZ1" s="2"/>
      <c r="CJA1" s="2"/>
      <c r="CJB1" s="2"/>
      <c r="CJC1" s="2"/>
      <c r="CJD1" s="2"/>
      <c r="CJE1" s="2"/>
      <c r="CJF1" s="2"/>
      <c r="CJG1" s="2"/>
      <c r="CJH1" s="2"/>
      <c r="CJI1" s="2"/>
      <c r="CJJ1" s="2"/>
      <c r="CJK1" s="2"/>
      <c r="CJL1" s="2"/>
      <c r="CJM1" s="2"/>
      <c r="CJN1" s="2"/>
      <c r="CJO1" s="2"/>
      <c r="CJP1" s="2"/>
      <c r="CJQ1" s="2"/>
      <c r="CJR1" s="2"/>
      <c r="CJS1" s="2"/>
      <c r="CJT1" s="2"/>
      <c r="CJU1" s="2"/>
      <c r="CJV1" s="2"/>
      <c r="CJW1" s="2"/>
      <c r="CJX1" s="2"/>
      <c r="CJY1" s="2"/>
      <c r="CJZ1" s="2"/>
      <c r="CKA1" s="2"/>
      <c r="CKB1" s="2"/>
      <c r="CKC1" s="2"/>
      <c r="CKD1" s="2"/>
      <c r="CKE1" s="2"/>
      <c r="CKF1" s="2"/>
      <c r="CKG1" s="2"/>
      <c r="CKH1" s="2"/>
      <c r="CKI1" s="2"/>
      <c r="CKJ1" s="2"/>
      <c r="CKK1" s="2"/>
      <c r="CKL1" s="2"/>
      <c r="CKM1" s="2"/>
      <c r="CKN1" s="2"/>
      <c r="CKO1" s="2"/>
      <c r="CKP1" s="2"/>
      <c r="CKQ1" s="2"/>
      <c r="CKR1" s="2"/>
      <c r="CKS1" s="2"/>
      <c r="CKT1" s="2"/>
      <c r="CKU1" s="2"/>
      <c r="CKV1" s="2"/>
      <c r="CKW1" s="2"/>
      <c r="CKX1" s="2"/>
      <c r="CKY1" s="2"/>
      <c r="CKZ1" s="2"/>
      <c r="CLA1" s="2"/>
      <c r="CLB1" s="2"/>
      <c r="CLC1" s="2"/>
      <c r="CLD1" s="2"/>
      <c r="CLE1" s="2"/>
      <c r="CLF1" s="2"/>
      <c r="CLG1" s="2"/>
      <c r="CLH1" s="2"/>
      <c r="CLI1" s="2"/>
      <c r="CLJ1" s="2"/>
      <c r="CLK1" s="2"/>
      <c r="CLL1" s="2"/>
      <c r="CLM1" s="2"/>
      <c r="CLN1" s="2"/>
      <c r="CLO1" s="2"/>
      <c r="CLP1" s="2"/>
      <c r="CLQ1" s="2"/>
      <c r="CLR1" s="2"/>
      <c r="CLS1" s="2"/>
      <c r="CLT1" s="2"/>
      <c r="CLU1" s="2"/>
      <c r="CLV1" s="2"/>
      <c r="CLW1" s="2"/>
      <c r="CLX1" s="2"/>
      <c r="CLY1" s="2"/>
      <c r="CLZ1" s="2"/>
      <c r="CMA1" s="2"/>
      <c r="CMB1" s="2"/>
      <c r="CMC1" s="2"/>
      <c r="CMD1" s="2"/>
      <c r="CME1" s="2"/>
      <c r="CMF1" s="2"/>
      <c r="CMG1" s="2"/>
      <c r="CMH1" s="2"/>
      <c r="CMI1" s="2"/>
      <c r="CMJ1" s="2"/>
      <c r="CMK1" s="2"/>
      <c r="CML1" s="2"/>
      <c r="CMM1" s="2"/>
      <c r="CMN1" s="2"/>
      <c r="CMO1" s="2"/>
      <c r="CMP1" s="2"/>
      <c r="CMQ1" s="2"/>
      <c r="CMR1" s="2"/>
      <c r="CMS1" s="2"/>
      <c r="CMT1" s="2"/>
      <c r="CMU1" s="2"/>
      <c r="CMV1" s="2"/>
      <c r="CMW1" s="2"/>
      <c r="CMX1" s="2"/>
      <c r="CMY1" s="2"/>
      <c r="CMZ1" s="2"/>
      <c r="CNA1" s="2"/>
      <c r="CNB1" s="2"/>
      <c r="CNC1" s="2"/>
      <c r="CND1" s="2"/>
      <c r="CNE1" s="2"/>
      <c r="CNF1" s="2"/>
      <c r="CNG1" s="2"/>
      <c r="CNH1" s="2"/>
      <c r="CNI1" s="2"/>
      <c r="CNJ1" s="2"/>
      <c r="CNK1" s="2"/>
      <c r="CNL1" s="2"/>
      <c r="CNM1" s="2"/>
      <c r="CNN1" s="2"/>
      <c r="CNO1" s="2"/>
      <c r="CNP1" s="2"/>
      <c r="CNQ1" s="2"/>
      <c r="CNR1" s="2"/>
      <c r="CNS1" s="2"/>
      <c r="CNT1" s="2"/>
      <c r="CNU1" s="2"/>
      <c r="CNV1" s="2"/>
      <c r="CNW1" s="2"/>
      <c r="CNX1" s="2"/>
      <c r="CNY1" s="2"/>
      <c r="CNZ1" s="2"/>
      <c r="COA1" s="2"/>
      <c r="COB1" s="2"/>
      <c r="COC1" s="2"/>
      <c r="COD1" s="2"/>
      <c r="COE1" s="2"/>
      <c r="COF1" s="2"/>
      <c r="COG1" s="2"/>
      <c r="COH1" s="2"/>
      <c r="COI1" s="2"/>
      <c r="COJ1" s="2"/>
      <c r="COK1" s="2"/>
      <c r="COL1" s="2"/>
      <c r="COM1" s="2"/>
      <c r="CON1" s="2"/>
      <c r="COO1" s="2"/>
      <c r="COP1" s="2"/>
      <c r="COQ1" s="2"/>
      <c r="COR1" s="2"/>
      <c r="COS1" s="2"/>
      <c r="COT1" s="2"/>
      <c r="COU1" s="2"/>
      <c r="COV1" s="2"/>
      <c r="COW1" s="2"/>
      <c r="COX1" s="2"/>
      <c r="COY1" s="2"/>
      <c r="COZ1" s="2"/>
      <c r="CPA1" s="2"/>
      <c r="CPB1" s="2"/>
      <c r="CPC1" s="2"/>
      <c r="CPD1" s="2"/>
      <c r="CPE1" s="2"/>
      <c r="CPF1" s="2"/>
      <c r="CPG1" s="2"/>
      <c r="CPH1" s="2"/>
      <c r="CPI1" s="2"/>
      <c r="CPJ1" s="2"/>
      <c r="CPK1" s="2"/>
      <c r="CPL1" s="2"/>
      <c r="CPM1" s="2"/>
      <c r="CPN1" s="2"/>
      <c r="CPO1" s="2"/>
      <c r="CPP1" s="2"/>
      <c r="CPQ1" s="2"/>
      <c r="CPR1" s="2"/>
      <c r="CPS1" s="2"/>
      <c r="CPT1" s="2"/>
      <c r="CPU1" s="2"/>
      <c r="CPV1" s="2"/>
      <c r="CPW1" s="2"/>
      <c r="CPX1" s="2"/>
      <c r="CPY1" s="2"/>
      <c r="CPZ1" s="2"/>
      <c r="CQA1" s="2"/>
      <c r="CQB1" s="2"/>
      <c r="CQC1" s="2"/>
      <c r="CQD1" s="2"/>
      <c r="CQE1" s="2"/>
      <c r="CQF1" s="2"/>
      <c r="CQG1" s="2"/>
      <c r="CQH1" s="2"/>
      <c r="CQI1" s="2"/>
      <c r="CQJ1" s="2"/>
      <c r="CQK1" s="2"/>
      <c r="CQL1" s="2"/>
      <c r="CQM1" s="2"/>
      <c r="CQN1" s="2"/>
      <c r="CQO1" s="2"/>
      <c r="CQP1" s="2"/>
      <c r="CQQ1" s="2"/>
      <c r="CQR1" s="2"/>
      <c r="CQS1" s="2"/>
      <c r="CQT1" s="2"/>
      <c r="CQU1" s="2"/>
      <c r="CQV1" s="2"/>
      <c r="CQW1" s="2"/>
      <c r="CQX1" s="2"/>
      <c r="CQY1" s="2"/>
      <c r="CQZ1" s="2"/>
      <c r="CRA1" s="2"/>
      <c r="CRB1" s="2"/>
      <c r="CRC1" s="2"/>
      <c r="CRD1" s="2"/>
      <c r="CRE1" s="2"/>
      <c r="CRF1" s="2"/>
      <c r="CRG1" s="2"/>
      <c r="CRH1" s="2"/>
      <c r="CRI1" s="2"/>
      <c r="CRJ1" s="2"/>
      <c r="CRK1" s="2"/>
      <c r="CRL1" s="2"/>
      <c r="CRM1" s="2"/>
      <c r="CRN1" s="2"/>
      <c r="CRO1" s="2"/>
      <c r="CRP1" s="2"/>
      <c r="CRQ1" s="2"/>
      <c r="CRR1" s="2"/>
      <c r="CRS1" s="2"/>
      <c r="CRT1" s="2"/>
      <c r="CRU1" s="2"/>
      <c r="CRV1" s="2"/>
      <c r="CRW1" s="2"/>
      <c r="CRX1" s="2"/>
      <c r="CRY1" s="2"/>
      <c r="CRZ1" s="2"/>
      <c r="CSA1" s="2"/>
      <c r="CSB1" s="2"/>
      <c r="CSC1" s="2"/>
      <c r="CSD1" s="2"/>
      <c r="CSE1" s="2"/>
      <c r="CSF1" s="2"/>
      <c r="CSG1" s="2"/>
      <c r="CSH1" s="2"/>
      <c r="CSI1" s="2"/>
      <c r="CSJ1" s="2"/>
      <c r="CSK1" s="2"/>
      <c r="CSL1" s="2"/>
      <c r="CSM1" s="2"/>
      <c r="CSN1" s="2"/>
      <c r="CSO1" s="2"/>
      <c r="CSP1" s="2"/>
      <c r="CSQ1" s="2"/>
      <c r="CSR1" s="2"/>
      <c r="CSS1" s="2"/>
      <c r="CST1" s="2"/>
      <c r="CSU1" s="2"/>
      <c r="CSV1" s="2"/>
      <c r="CSW1" s="2"/>
      <c r="CSX1" s="2"/>
      <c r="CSY1" s="2"/>
      <c r="CSZ1" s="2"/>
      <c r="CTA1" s="2"/>
      <c r="CTB1" s="2"/>
      <c r="CTC1" s="2"/>
      <c r="CTD1" s="2"/>
      <c r="CTE1" s="2"/>
      <c r="CTF1" s="2"/>
      <c r="CTG1" s="2"/>
      <c r="CTH1" s="2"/>
      <c r="CTI1" s="2"/>
      <c r="CTJ1" s="2"/>
      <c r="CTK1" s="2"/>
      <c r="CTL1" s="2"/>
      <c r="CTM1" s="2"/>
      <c r="CTN1" s="2"/>
      <c r="CTO1" s="2"/>
      <c r="CTP1" s="2"/>
      <c r="CTQ1" s="2"/>
      <c r="CTR1" s="2"/>
      <c r="CTS1" s="2"/>
      <c r="CTT1" s="2"/>
      <c r="CTU1" s="2"/>
      <c r="CTV1" s="2"/>
      <c r="CTW1" s="2"/>
      <c r="CTX1" s="2"/>
      <c r="CTY1" s="2"/>
      <c r="CTZ1" s="2"/>
      <c r="CUA1" s="2"/>
      <c r="CUB1" s="2"/>
      <c r="CUC1" s="2"/>
      <c r="CUD1" s="2"/>
      <c r="CUE1" s="2"/>
      <c r="CUF1" s="2"/>
      <c r="CUG1" s="2"/>
      <c r="CUH1" s="2"/>
      <c r="CUI1" s="2"/>
      <c r="CUJ1" s="2"/>
      <c r="CUK1" s="2"/>
      <c r="CUL1" s="2"/>
      <c r="CUM1" s="2"/>
      <c r="CUN1" s="2"/>
      <c r="CUO1" s="2"/>
      <c r="CUP1" s="2"/>
      <c r="CUQ1" s="2"/>
      <c r="CUR1" s="2"/>
      <c r="CUS1" s="2"/>
      <c r="CUT1" s="2"/>
      <c r="CUU1" s="2"/>
      <c r="CUV1" s="2"/>
      <c r="CUW1" s="2"/>
      <c r="CUX1" s="2"/>
      <c r="CUY1" s="2"/>
      <c r="CUZ1" s="2"/>
      <c r="CVA1" s="2"/>
      <c r="CVB1" s="2"/>
      <c r="CVC1" s="2"/>
      <c r="CVD1" s="2"/>
      <c r="CVE1" s="2"/>
      <c r="CVF1" s="2"/>
      <c r="CVG1" s="2"/>
      <c r="CVH1" s="2"/>
      <c r="CVI1" s="2"/>
      <c r="CVJ1" s="2"/>
      <c r="CVK1" s="2"/>
      <c r="CVL1" s="2"/>
      <c r="CVM1" s="2"/>
      <c r="CVN1" s="2"/>
      <c r="CVO1" s="2"/>
      <c r="CVP1" s="2"/>
      <c r="CVQ1" s="2"/>
      <c r="CVR1" s="2"/>
      <c r="CVS1" s="2"/>
      <c r="CVT1" s="2"/>
      <c r="CVU1" s="2"/>
      <c r="CVV1" s="2"/>
      <c r="CVW1" s="2"/>
      <c r="CVX1" s="2"/>
      <c r="CVY1" s="2"/>
      <c r="CVZ1" s="2"/>
      <c r="CWA1" s="2"/>
      <c r="CWB1" s="2"/>
      <c r="CWC1" s="2"/>
      <c r="CWD1" s="2"/>
      <c r="CWE1" s="2"/>
      <c r="CWF1" s="2"/>
      <c r="CWG1" s="2"/>
      <c r="CWH1" s="2"/>
      <c r="CWI1" s="2"/>
      <c r="CWJ1" s="2"/>
      <c r="CWK1" s="2"/>
      <c r="CWL1" s="2"/>
      <c r="CWM1" s="2"/>
      <c r="CWN1" s="2"/>
      <c r="CWO1" s="2"/>
      <c r="CWP1" s="2"/>
      <c r="CWQ1" s="2"/>
      <c r="CWR1" s="2"/>
      <c r="CWS1" s="2"/>
      <c r="CWT1" s="2"/>
      <c r="CWU1" s="2"/>
      <c r="CWV1" s="2"/>
      <c r="CWW1" s="2"/>
      <c r="CWX1" s="2"/>
      <c r="CWY1" s="2"/>
      <c r="CWZ1" s="2"/>
      <c r="CXA1" s="2"/>
      <c r="CXB1" s="2"/>
      <c r="CXC1" s="2"/>
      <c r="CXD1" s="2"/>
      <c r="CXE1" s="2"/>
      <c r="CXF1" s="2"/>
      <c r="CXG1" s="2"/>
      <c r="CXH1" s="2"/>
      <c r="CXI1" s="2"/>
      <c r="CXJ1" s="2"/>
      <c r="CXK1" s="2"/>
      <c r="CXL1" s="2"/>
      <c r="CXM1" s="2"/>
      <c r="CXN1" s="2"/>
      <c r="CXO1" s="2"/>
      <c r="CXP1" s="2"/>
      <c r="CXQ1" s="2"/>
      <c r="CXR1" s="2"/>
      <c r="CXS1" s="2"/>
      <c r="CXT1" s="2"/>
      <c r="CXU1" s="2"/>
      <c r="CXV1" s="2"/>
      <c r="CXW1" s="2"/>
      <c r="CXX1" s="2"/>
      <c r="CXY1" s="2"/>
      <c r="CXZ1" s="2"/>
      <c r="CYA1" s="2"/>
      <c r="CYB1" s="2"/>
      <c r="CYC1" s="2"/>
      <c r="CYD1" s="2"/>
      <c r="CYE1" s="2"/>
      <c r="CYF1" s="2"/>
      <c r="CYG1" s="2"/>
      <c r="CYH1" s="2"/>
      <c r="CYI1" s="2"/>
      <c r="CYJ1" s="2"/>
      <c r="CYK1" s="2"/>
      <c r="CYL1" s="2"/>
      <c r="CYM1" s="2"/>
      <c r="CYN1" s="2"/>
      <c r="CYO1" s="2"/>
      <c r="CYP1" s="2"/>
      <c r="CYQ1" s="2"/>
      <c r="CYR1" s="2"/>
      <c r="CYS1" s="2"/>
      <c r="CYT1" s="2"/>
      <c r="CYU1" s="2"/>
      <c r="CYV1" s="2"/>
      <c r="CYW1" s="2"/>
      <c r="CYX1" s="2"/>
      <c r="CYY1" s="2"/>
      <c r="CYZ1" s="2"/>
      <c r="CZA1" s="2"/>
      <c r="CZB1" s="2"/>
      <c r="CZC1" s="2"/>
      <c r="CZD1" s="2"/>
      <c r="CZE1" s="2"/>
      <c r="CZF1" s="2"/>
      <c r="CZG1" s="2"/>
      <c r="CZH1" s="2"/>
      <c r="CZI1" s="2"/>
      <c r="CZJ1" s="2"/>
      <c r="CZK1" s="2"/>
      <c r="CZL1" s="2"/>
      <c r="CZM1" s="2"/>
      <c r="CZN1" s="2"/>
      <c r="CZO1" s="2"/>
      <c r="CZP1" s="2"/>
      <c r="CZQ1" s="2"/>
      <c r="CZR1" s="2"/>
      <c r="CZS1" s="2"/>
      <c r="CZT1" s="2"/>
      <c r="CZU1" s="2"/>
      <c r="CZV1" s="2"/>
      <c r="CZW1" s="2"/>
      <c r="CZX1" s="2"/>
      <c r="CZY1" s="2"/>
      <c r="CZZ1" s="2"/>
      <c r="DAA1" s="2"/>
      <c r="DAB1" s="2"/>
      <c r="DAC1" s="2"/>
      <c r="DAD1" s="2"/>
      <c r="DAE1" s="2"/>
      <c r="DAF1" s="2"/>
      <c r="DAG1" s="2"/>
      <c r="DAH1" s="2"/>
      <c r="DAI1" s="2"/>
      <c r="DAJ1" s="2"/>
      <c r="DAK1" s="2"/>
      <c r="DAL1" s="2"/>
      <c r="DAM1" s="2"/>
      <c r="DAN1" s="2"/>
      <c r="DAO1" s="2"/>
      <c r="DAP1" s="2"/>
      <c r="DAQ1" s="2"/>
      <c r="DAR1" s="2"/>
      <c r="DAS1" s="2"/>
      <c r="DAT1" s="2"/>
      <c r="DAU1" s="2"/>
      <c r="DAV1" s="2"/>
      <c r="DAW1" s="2"/>
      <c r="DAX1" s="2"/>
      <c r="DAY1" s="2"/>
      <c r="DAZ1" s="2"/>
      <c r="DBA1" s="2"/>
      <c r="DBB1" s="2"/>
      <c r="DBC1" s="2"/>
      <c r="DBD1" s="2"/>
      <c r="DBE1" s="2"/>
      <c r="DBF1" s="2"/>
      <c r="DBG1" s="2"/>
      <c r="DBH1" s="2"/>
      <c r="DBI1" s="2"/>
      <c r="DBJ1" s="2"/>
      <c r="DBK1" s="2"/>
      <c r="DBL1" s="2"/>
      <c r="DBM1" s="2"/>
      <c r="DBN1" s="2"/>
      <c r="DBO1" s="2"/>
      <c r="DBP1" s="2"/>
      <c r="DBQ1" s="2"/>
      <c r="DBR1" s="2"/>
      <c r="DBS1" s="2"/>
      <c r="DBT1" s="2"/>
      <c r="DBU1" s="2"/>
      <c r="DBV1" s="2"/>
      <c r="DBW1" s="2"/>
      <c r="DBX1" s="2"/>
      <c r="DBY1" s="2"/>
      <c r="DBZ1" s="2"/>
      <c r="DCA1" s="2"/>
      <c r="DCB1" s="2"/>
      <c r="DCC1" s="2"/>
      <c r="DCD1" s="2"/>
      <c r="DCE1" s="2"/>
      <c r="DCF1" s="2"/>
      <c r="DCG1" s="2"/>
      <c r="DCH1" s="2"/>
      <c r="DCI1" s="2"/>
      <c r="DCJ1" s="2"/>
      <c r="DCK1" s="2"/>
      <c r="DCL1" s="2"/>
      <c r="DCM1" s="2"/>
      <c r="DCN1" s="2"/>
      <c r="DCO1" s="2"/>
      <c r="DCP1" s="2"/>
      <c r="DCQ1" s="2"/>
      <c r="DCR1" s="2"/>
      <c r="DCS1" s="2"/>
      <c r="DCT1" s="2"/>
      <c r="DCU1" s="2"/>
      <c r="DCV1" s="2"/>
      <c r="DCW1" s="2"/>
      <c r="DCX1" s="2"/>
      <c r="DCY1" s="2"/>
      <c r="DCZ1" s="2"/>
      <c r="DDA1" s="2"/>
      <c r="DDB1" s="2"/>
      <c r="DDC1" s="2"/>
      <c r="DDD1" s="2"/>
      <c r="DDE1" s="2"/>
      <c r="DDF1" s="2"/>
      <c r="DDG1" s="2"/>
      <c r="DDH1" s="2"/>
      <c r="DDI1" s="2"/>
      <c r="DDJ1" s="2"/>
      <c r="DDK1" s="2"/>
      <c r="DDL1" s="2"/>
      <c r="DDM1" s="2"/>
      <c r="DDN1" s="2"/>
      <c r="DDO1" s="2"/>
      <c r="DDP1" s="2"/>
      <c r="DDQ1" s="2"/>
      <c r="DDR1" s="2"/>
      <c r="DDS1" s="2"/>
      <c r="DDT1" s="2"/>
      <c r="DDU1" s="2"/>
      <c r="DDV1" s="2"/>
      <c r="DDW1" s="2"/>
      <c r="DDX1" s="2"/>
      <c r="DDY1" s="2"/>
      <c r="DDZ1" s="2"/>
      <c r="DEA1" s="2"/>
      <c r="DEB1" s="2"/>
      <c r="DEC1" s="2"/>
      <c r="DED1" s="2"/>
      <c r="DEE1" s="2"/>
      <c r="DEF1" s="2"/>
      <c r="DEG1" s="2"/>
      <c r="DEH1" s="2"/>
      <c r="DEI1" s="2"/>
      <c r="DEJ1" s="2"/>
      <c r="DEK1" s="2"/>
      <c r="DEL1" s="2"/>
      <c r="DEM1" s="2"/>
      <c r="DEN1" s="2"/>
      <c r="DEO1" s="2"/>
      <c r="DEP1" s="2"/>
      <c r="DEQ1" s="2"/>
      <c r="DER1" s="2"/>
      <c r="DES1" s="2"/>
      <c r="DET1" s="2"/>
      <c r="DEU1" s="2"/>
      <c r="DEV1" s="2"/>
      <c r="DEW1" s="2"/>
      <c r="DEX1" s="2"/>
      <c r="DEY1" s="2"/>
      <c r="DEZ1" s="2"/>
      <c r="DFA1" s="2"/>
      <c r="DFB1" s="2"/>
      <c r="DFC1" s="2"/>
      <c r="DFD1" s="2"/>
      <c r="DFE1" s="2"/>
      <c r="DFF1" s="2"/>
      <c r="DFG1" s="2"/>
      <c r="DFH1" s="2"/>
      <c r="DFI1" s="2"/>
      <c r="DFJ1" s="2"/>
      <c r="DFK1" s="2"/>
      <c r="DFL1" s="2"/>
      <c r="DFM1" s="2"/>
      <c r="DFN1" s="2"/>
      <c r="DFO1" s="2"/>
      <c r="DFP1" s="2"/>
      <c r="DFQ1" s="2"/>
      <c r="DFR1" s="2"/>
      <c r="DFS1" s="2"/>
      <c r="DFT1" s="2"/>
      <c r="DFU1" s="2"/>
      <c r="DFV1" s="2"/>
      <c r="DFW1" s="2"/>
      <c r="DFX1" s="2"/>
      <c r="DFY1" s="2"/>
      <c r="DFZ1" s="2"/>
      <c r="DGA1" s="2"/>
      <c r="DGB1" s="2"/>
      <c r="DGC1" s="2"/>
      <c r="DGD1" s="2"/>
      <c r="DGE1" s="2"/>
      <c r="DGF1" s="2"/>
      <c r="DGG1" s="2"/>
      <c r="DGH1" s="2"/>
      <c r="DGI1" s="2"/>
      <c r="DGJ1" s="2"/>
      <c r="DGK1" s="2"/>
      <c r="DGL1" s="2"/>
      <c r="DGM1" s="2"/>
      <c r="DGN1" s="2"/>
      <c r="DGO1" s="2"/>
      <c r="DGP1" s="2"/>
      <c r="DGQ1" s="2"/>
      <c r="DGR1" s="2"/>
      <c r="DGS1" s="2"/>
      <c r="DGT1" s="2"/>
      <c r="DGU1" s="2"/>
      <c r="DGV1" s="2"/>
      <c r="DGW1" s="2"/>
      <c r="DGX1" s="2"/>
      <c r="DGY1" s="2"/>
      <c r="DGZ1" s="2"/>
      <c r="DHA1" s="2"/>
      <c r="DHB1" s="2"/>
      <c r="DHC1" s="2"/>
      <c r="DHD1" s="2"/>
      <c r="DHE1" s="2"/>
      <c r="DHF1" s="2"/>
      <c r="DHG1" s="2"/>
      <c r="DHH1" s="2"/>
      <c r="DHI1" s="2"/>
      <c r="DHJ1" s="2"/>
      <c r="DHK1" s="2"/>
      <c r="DHL1" s="2"/>
      <c r="DHM1" s="2"/>
      <c r="DHN1" s="2"/>
      <c r="DHO1" s="2"/>
      <c r="DHP1" s="2"/>
      <c r="DHQ1" s="2"/>
      <c r="DHR1" s="2"/>
      <c r="DHS1" s="2"/>
      <c r="DHT1" s="2"/>
      <c r="DHU1" s="2"/>
      <c r="DHV1" s="2"/>
      <c r="DHW1" s="2"/>
      <c r="DHX1" s="2"/>
      <c r="DHY1" s="2"/>
      <c r="DHZ1" s="2"/>
      <c r="DIA1" s="2"/>
      <c r="DIB1" s="2"/>
      <c r="DIC1" s="2"/>
      <c r="DID1" s="2"/>
      <c r="DIE1" s="2"/>
      <c r="DIF1" s="2"/>
      <c r="DIG1" s="2"/>
      <c r="DIH1" s="2"/>
      <c r="DII1" s="2"/>
      <c r="DIJ1" s="2"/>
      <c r="DIK1" s="2"/>
      <c r="DIL1" s="2"/>
      <c r="DIM1" s="2"/>
      <c r="DIN1" s="2"/>
      <c r="DIO1" s="2"/>
      <c r="DIP1" s="2"/>
      <c r="DIQ1" s="2"/>
      <c r="DIR1" s="2"/>
      <c r="DIS1" s="2"/>
      <c r="DIT1" s="2"/>
      <c r="DIU1" s="2"/>
      <c r="DIV1" s="2"/>
      <c r="DIW1" s="2"/>
      <c r="DIX1" s="2"/>
      <c r="DIY1" s="2"/>
      <c r="DIZ1" s="2"/>
      <c r="DJA1" s="2"/>
      <c r="DJB1" s="2"/>
      <c r="DJC1" s="2"/>
      <c r="DJD1" s="2"/>
      <c r="DJE1" s="2"/>
      <c r="DJF1" s="2"/>
      <c r="DJG1" s="2"/>
      <c r="DJH1" s="2"/>
      <c r="DJI1" s="2"/>
      <c r="DJJ1" s="2"/>
      <c r="DJK1" s="2"/>
      <c r="DJL1" s="2"/>
      <c r="DJM1" s="2"/>
      <c r="DJN1" s="2"/>
      <c r="DJO1" s="2"/>
      <c r="DJP1" s="2"/>
      <c r="DJQ1" s="2"/>
      <c r="DJR1" s="2"/>
      <c r="DJS1" s="2"/>
      <c r="DJT1" s="2"/>
      <c r="DJU1" s="2"/>
      <c r="DJV1" s="2"/>
      <c r="DJW1" s="2"/>
      <c r="DJX1" s="2"/>
      <c r="DJY1" s="2"/>
      <c r="DJZ1" s="2"/>
      <c r="DKA1" s="2"/>
      <c r="DKB1" s="2"/>
      <c r="DKC1" s="2"/>
      <c r="DKD1" s="2"/>
      <c r="DKE1" s="2"/>
      <c r="DKF1" s="2"/>
      <c r="DKG1" s="2"/>
      <c r="DKH1" s="2"/>
      <c r="DKI1" s="2"/>
      <c r="DKJ1" s="2"/>
      <c r="DKK1" s="2"/>
      <c r="DKL1" s="2"/>
      <c r="DKM1" s="2"/>
      <c r="DKN1" s="2"/>
      <c r="DKO1" s="2"/>
      <c r="DKP1" s="2"/>
      <c r="DKQ1" s="2"/>
      <c r="DKR1" s="2"/>
      <c r="DKS1" s="2"/>
      <c r="DKT1" s="2"/>
      <c r="DKU1" s="2"/>
      <c r="DKV1" s="2"/>
      <c r="DKW1" s="2"/>
      <c r="DKX1" s="2"/>
      <c r="DKY1" s="2"/>
      <c r="DKZ1" s="2"/>
      <c r="DLA1" s="2"/>
      <c r="DLB1" s="2"/>
      <c r="DLC1" s="2"/>
      <c r="DLD1" s="2"/>
      <c r="DLE1" s="2"/>
      <c r="DLF1" s="2"/>
      <c r="DLG1" s="2"/>
      <c r="DLH1" s="2"/>
      <c r="DLI1" s="2"/>
      <c r="DLJ1" s="2"/>
      <c r="DLK1" s="2"/>
      <c r="DLL1" s="2"/>
      <c r="DLM1" s="2"/>
      <c r="DLN1" s="2"/>
      <c r="DLO1" s="2"/>
      <c r="DLP1" s="2"/>
      <c r="DLQ1" s="2"/>
      <c r="DLR1" s="2"/>
      <c r="DLS1" s="2"/>
      <c r="DLT1" s="2"/>
      <c r="DLU1" s="2"/>
      <c r="DLV1" s="2"/>
      <c r="DLW1" s="2"/>
      <c r="DLX1" s="2"/>
      <c r="DLY1" s="2"/>
      <c r="DLZ1" s="2"/>
      <c r="DMA1" s="2"/>
      <c r="DMB1" s="2"/>
      <c r="DMC1" s="2"/>
      <c r="DMD1" s="2"/>
      <c r="DME1" s="2"/>
      <c r="DMF1" s="2"/>
      <c r="DMG1" s="2"/>
      <c r="DMH1" s="2"/>
      <c r="DMI1" s="2"/>
      <c r="DMJ1" s="2"/>
      <c r="DMK1" s="2"/>
      <c r="DML1" s="2"/>
      <c r="DMM1" s="2"/>
      <c r="DMN1" s="2"/>
      <c r="DMO1" s="2"/>
      <c r="DMP1" s="2"/>
      <c r="DMQ1" s="2"/>
      <c r="DMR1" s="2"/>
      <c r="DMS1" s="2"/>
      <c r="DMT1" s="2"/>
      <c r="DMU1" s="2"/>
      <c r="DMV1" s="2"/>
      <c r="DMW1" s="2"/>
      <c r="DMX1" s="2"/>
      <c r="DMY1" s="2"/>
      <c r="DMZ1" s="2"/>
      <c r="DNA1" s="2"/>
      <c r="DNB1" s="2"/>
      <c r="DNC1" s="2"/>
      <c r="DND1" s="2"/>
      <c r="DNE1" s="2"/>
      <c r="DNF1" s="2"/>
      <c r="DNG1" s="2"/>
      <c r="DNH1" s="2"/>
      <c r="DNI1" s="2"/>
      <c r="DNJ1" s="2"/>
      <c r="DNK1" s="2"/>
      <c r="DNL1" s="2"/>
      <c r="DNM1" s="2"/>
      <c r="DNN1" s="2"/>
      <c r="DNO1" s="2"/>
      <c r="DNP1" s="2"/>
      <c r="DNQ1" s="2"/>
      <c r="DNR1" s="2"/>
      <c r="DNS1" s="2"/>
      <c r="DNT1" s="2"/>
      <c r="DNU1" s="2"/>
      <c r="DNV1" s="2"/>
      <c r="DNW1" s="2"/>
      <c r="DNX1" s="2"/>
      <c r="DNY1" s="2"/>
      <c r="DNZ1" s="2"/>
      <c r="DOA1" s="2"/>
      <c r="DOB1" s="2"/>
      <c r="DOC1" s="2"/>
      <c r="DOD1" s="2"/>
      <c r="DOE1" s="2"/>
      <c r="DOF1" s="2"/>
      <c r="DOG1" s="2"/>
      <c r="DOH1" s="2"/>
      <c r="DOI1" s="2"/>
      <c r="DOJ1" s="2"/>
      <c r="DOK1" s="2"/>
      <c r="DOL1" s="2"/>
      <c r="DOM1" s="2"/>
      <c r="DON1" s="2"/>
      <c r="DOO1" s="2"/>
      <c r="DOP1" s="2"/>
      <c r="DOQ1" s="2"/>
      <c r="DOR1" s="2"/>
      <c r="DOS1" s="2"/>
      <c r="DOT1" s="2"/>
      <c r="DOU1" s="2"/>
      <c r="DOV1" s="2"/>
      <c r="DOW1" s="2"/>
      <c r="DOX1" s="2"/>
      <c r="DOY1" s="2"/>
      <c r="DOZ1" s="2"/>
      <c r="DPA1" s="2"/>
      <c r="DPB1" s="2"/>
      <c r="DPC1" s="2"/>
      <c r="DPD1" s="2"/>
      <c r="DPE1" s="2"/>
      <c r="DPF1" s="2"/>
      <c r="DPG1" s="2"/>
      <c r="DPH1" s="2"/>
      <c r="DPI1" s="2"/>
      <c r="DPJ1" s="2"/>
      <c r="DPK1" s="2"/>
      <c r="DPL1" s="2"/>
      <c r="DPM1" s="2"/>
      <c r="DPN1" s="2"/>
      <c r="DPO1" s="2"/>
      <c r="DPP1" s="2"/>
      <c r="DPQ1" s="2"/>
      <c r="DPR1" s="2"/>
      <c r="DPS1" s="2"/>
      <c r="DPT1" s="2"/>
      <c r="DPU1" s="2"/>
      <c r="DPV1" s="2"/>
      <c r="DPW1" s="2"/>
      <c r="DPX1" s="2"/>
      <c r="DPY1" s="2"/>
      <c r="DPZ1" s="2"/>
      <c r="DQA1" s="2"/>
      <c r="DQB1" s="2"/>
      <c r="DQC1" s="2"/>
      <c r="DQD1" s="2"/>
      <c r="DQE1" s="2"/>
      <c r="DQF1" s="2"/>
      <c r="DQG1" s="2"/>
      <c r="DQH1" s="2"/>
      <c r="DQI1" s="2"/>
      <c r="DQJ1" s="2"/>
      <c r="DQK1" s="2"/>
      <c r="DQL1" s="2"/>
      <c r="DQM1" s="2"/>
      <c r="DQN1" s="2"/>
      <c r="DQO1" s="2"/>
      <c r="DQP1" s="2"/>
      <c r="DQQ1" s="2"/>
      <c r="DQR1" s="2"/>
      <c r="DQS1" s="2"/>
      <c r="DQT1" s="2"/>
      <c r="DQU1" s="2"/>
      <c r="DQV1" s="2"/>
      <c r="DQW1" s="2"/>
      <c r="DQX1" s="2"/>
      <c r="DQY1" s="2"/>
      <c r="DQZ1" s="2"/>
      <c r="DRA1" s="2"/>
      <c r="DRB1" s="2"/>
      <c r="DRC1" s="2"/>
      <c r="DRD1" s="2"/>
      <c r="DRE1" s="2"/>
      <c r="DRF1" s="2"/>
      <c r="DRG1" s="2"/>
      <c r="DRH1" s="2"/>
      <c r="DRI1" s="2"/>
      <c r="DRJ1" s="2"/>
      <c r="DRK1" s="2"/>
      <c r="DRL1" s="2"/>
      <c r="DRM1" s="2"/>
      <c r="DRN1" s="2"/>
      <c r="DRO1" s="2"/>
      <c r="DRP1" s="2"/>
      <c r="DRQ1" s="2"/>
      <c r="DRR1" s="2"/>
      <c r="DRS1" s="2"/>
      <c r="DRT1" s="2"/>
      <c r="DRU1" s="2"/>
      <c r="DRV1" s="2"/>
      <c r="DRW1" s="2"/>
      <c r="DRX1" s="2"/>
      <c r="DRY1" s="2"/>
      <c r="DRZ1" s="2"/>
      <c r="DSA1" s="2"/>
      <c r="DSB1" s="2"/>
      <c r="DSC1" s="2"/>
      <c r="DSD1" s="2"/>
      <c r="DSE1" s="2"/>
      <c r="DSF1" s="2"/>
      <c r="DSG1" s="2"/>
      <c r="DSH1" s="2"/>
      <c r="DSI1" s="2"/>
      <c r="DSJ1" s="2"/>
      <c r="DSK1" s="2"/>
      <c r="DSL1" s="2"/>
      <c r="DSM1" s="2"/>
      <c r="DSN1" s="2"/>
      <c r="DSO1" s="2"/>
      <c r="DSP1" s="2"/>
      <c r="DSQ1" s="2"/>
      <c r="DSR1" s="2"/>
      <c r="DSS1" s="2"/>
      <c r="DST1" s="2"/>
      <c r="DSU1" s="2"/>
      <c r="DSV1" s="2"/>
      <c r="DSW1" s="2"/>
      <c r="DSX1" s="2"/>
      <c r="DSY1" s="2"/>
      <c r="DSZ1" s="2"/>
      <c r="DTA1" s="2"/>
      <c r="DTB1" s="2"/>
      <c r="DTC1" s="2"/>
      <c r="DTD1" s="2"/>
      <c r="DTE1" s="2"/>
      <c r="DTF1" s="2"/>
      <c r="DTG1" s="2"/>
      <c r="DTH1" s="2"/>
      <c r="DTI1" s="2"/>
      <c r="DTJ1" s="2"/>
      <c r="DTK1" s="2"/>
      <c r="DTL1" s="2"/>
      <c r="DTM1" s="2"/>
      <c r="DTN1" s="2"/>
      <c r="DTO1" s="2"/>
      <c r="DTP1" s="2"/>
      <c r="DTQ1" s="2"/>
      <c r="DTR1" s="2"/>
      <c r="DTS1" s="2"/>
      <c r="DTT1" s="2"/>
      <c r="DTU1" s="2"/>
      <c r="DTV1" s="2"/>
      <c r="DTW1" s="2"/>
      <c r="DTX1" s="2"/>
      <c r="DTY1" s="2"/>
      <c r="DTZ1" s="2"/>
      <c r="DUA1" s="2"/>
      <c r="DUB1" s="2"/>
      <c r="DUC1" s="2"/>
      <c r="DUD1" s="2"/>
      <c r="DUE1" s="2"/>
      <c r="DUF1" s="2"/>
      <c r="DUG1" s="2"/>
      <c r="DUH1" s="2"/>
      <c r="DUI1" s="2"/>
      <c r="DUJ1" s="2"/>
      <c r="DUK1" s="2"/>
      <c r="DUL1" s="2"/>
      <c r="DUM1" s="2"/>
      <c r="DUN1" s="2"/>
      <c r="DUO1" s="2"/>
      <c r="DUP1" s="2"/>
      <c r="DUQ1" s="2"/>
      <c r="DUR1" s="2"/>
      <c r="DUS1" s="2"/>
      <c r="DUT1" s="2"/>
      <c r="DUU1" s="2"/>
      <c r="DUV1" s="2"/>
      <c r="DUW1" s="2"/>
      <c r="DUX1" s="2"/>
      <c r="DUY1" s="2"/>
      <c r="DUZ1" s="2"/>
      <c r="DVA1" s="2"/>
      <c r="DVB1" s="2"/>
      <c r="DVC1" s="2"/>
      <c r="DVD1" s="2"/>
      <c r="DVE1" s="2"/>
      <c r="DVF1" s="2"/>
      <c r="DVG1" s="2"/>
      <c r="DVH1" s="2"/>
      <c r="DVI1" s="2"/>
      <c r="DVJ1" s="2"/>
      <c r="DVK1" s="2"/>
      <c r="DVL1" s="2"/>
      <c r="DVM1" s="2"/>
      <c r="DVN1" s="2"/>
      <c r="DVO1" s="2"/>
      <c r="DVP1" s="2"/>
      <c r="DVQ1" s="2"/>
      <c r="DVR1" s="2"/>
      <c r="DVS1" s="2"/>
      <c r="DVT1" s="2"/>
      <c r="DVU1" s="2"/>
      <c r="DVV1" s="2"/>
      <c r="DVW1" s="2"/>
      <c r="DVX1" s="2"/>
      <c r="DVY1" s="2"/>
      <c r="DVZ1" s="2"/>
      <c r="DWA1" s="2"/>
      <c r="DWB1" s="2"/>
      <c r="DWC1" s="2"/>
      <c r="DWD1" s="2"/>
      <c r="DWE1" s="2"/>
      <c r="DWF1" s="2"/>
      <c r="DWG1" s="2"/>
      <c r="DWH1" s="2"/>
      <c r="DWI1" s="2"/>
      <c r="DWJ1" s="2"/>
      <c r="DWK1" s="2"/>
      <c r="DWL1" s="2"/>
      <c r="DWM1" s="2"/>
      <c r="DWN1" s="2"/>
      <c r="DWO1" s="2"/>
      <c r="DWP1" s="2"/>
      <c r="DWQ1" s="2"/>
      <c r="DWR1" s="2"/>
      <c r="DWS1" s="2"/>
      <c r="DWT1" s="2"/>
      <c r="DWU1" s="2"/>
      <c r="DWV1" s="2"/>
      <c r="DWW1" s="2"/>
      <c r="DWX1" s="2"/>
      <c r="DWY1" s="2"/>
      <c r="DWZ1" s="2"/>
      <c r="DXA1" s="2"/>
      <c r="DXB1" s="2"/>
      <c r="DXC1" s="2"/>
      <c r="DXD1" s="2"/>
      <c r="DXE1" s="2"/>
      <c r="DXF1" s="2"/>
      <c r="DXG1" s="2"/>
      <c r="DXH1" s="2"/>
      <c r="DXI1" s="2"/>
      <c r="DXJ1" s="2"/>
      <c r="DXK1" s="2"/>
      <c r="DXL1" s="2"/>
      <c r="DXM1" s="2"/>
      <c r="DXN1" s="2"/>
      <c r="DXO1" s="2"/>
      <c r="DXP1" s="2"/>
      <c r="DXQ1" s="2"/>
      <c r="DXR1" s="2"/>
      <c r="DXS1" s="2"/>
      <c r="DXT1" s="2"/>
      <c r="DXU1" s="2"/>
      <c r="DXV1" s="2"/>
      <c r="DXW1" s="2"/>
      <c r="DXX1" s="2"/>
      <c r="DXY1" s="2"/>
      <c r="DXZ1" s="2"/>
      <c r="DYA1" s="2"/>
      <c r="DYB1" s="2"/>
      <c r="DYC1" s="2"/>
      <c r="DYD1" s="2"/>
      <c r="DYE1" s="2"/>
      <c r="DYF1" s="2"/>
      <c r="DYG1" s="2"/>
      <c r="DYH1" s="2"/>
      <c r="DYI1" s="2"/>
      <c r="DYJ1" s="2"/>
      <c r="DYK1" s="2"/>
      <c r="DYL1" s="2"/>
      <c r="DYM1" s="2"/>
      <c r="DYN1" s="2"/>
      <c r="DYO1" s="2"/>
      <c r="DYP1" s="2"/>
      <c r="DYQ1" s="2"/>
      <c r="DYR1" s="2"/>
      <c r="DYS1" s="2"/>
      <c r="DYT1" s="2"/>
      <c r="DYU1" s="2"/>
      <c r="DYV1" s="2"/>
      <c r="DYW1" s="2"/>
      <c r="DYX1" s="2"/>
      <c r="DYY1" s="2"/>
      <c r="DYZ1" s="2"/>
      <c r="DZA1" s="2"/>
      <c r="DZB1" s="2"/>
      <c r="DZC1" s="2"/>
      <c r="DZD1" s="2"/>
      <c r="DZE1" s="2"/>
      <c r="DZF1" s="2"/>
      <c r="DZG1" s="2"/>
      <c r="DZH1" s="2"/>
      <c r="DZI1" s="2"/>
      <c r="DZJ1" s="2"/>
      <c r="DZK1" s="2"/>
      <c r="DZL1" s="2"/>
      <c r="DZM1" s="2"/>
      <c r="DZN1" s="2"/>
      <c r="DZO1" s="2"/>
      <c r="DZP1" s="2"/>
      <c r="DZQ1" s="2"/>
      <c r="DZR1" s="2"/>
      <c r="DZS1" s="2"/>
      <c r="DZT1" s="2"/>
      <c r="DZU1" s="2"/>
      <c r="DZV1" s="2"/>
      <c r="DZW1" s="2"/>
      <c r="DZX1" s="2"/>
      <c r="DZY1" s="2"/>
      <c r="DZZ1" s="2"/>
      <c r="EAA1" s="2"/>
      <c r="EAB1" s="2"/>
      <c r="EAC1" s="2"/>
      <c r="EAD1" s="2"/>
      <c r="EAE1" s="2"/>
      <c r="EAF1" s="2"/>
      <c r="EAG1" s="2"/>
      <c r="EAH1" s="2"/>
      <c r="EAI1" s="2"/>
      <c r="EAJ1" s="2"/>
      <c r="EAK1" s="2"/>
      <c r="EAL1" s="2"/>
      <c r="EAM1" s="2"/>
      <c r="EAN1" s="2"/>
      <c r="EAO1" s="2"/>
      <c r="EAP1" s="2"/>
      <c r="EAQ1" s="2"/>
      <c r="EAR1" s="2"/>
      <c r="EAS1" s="2"/>
      <c r="EAT1" s="2"/>
      <c r="EAU1" s="2"/>
      <c r="EAV1" s="2"/>
      <c r="EAW1" s="2"/>
      <c r="EAX1" s="2"/>
      <c r="EAY1" s="2"/>
      <c r="EAZ1" s="2"/>
      <c r="EBA1" s="2"/>
      <c r="EBB1" s="2"/>
      <c r="EBC1" s="2"/>
      <c r="EBD1" s="2"/>
      <c r="EBE1" s="2"/>
      <c r="EBF1" s="2"/>
      <c r="EBG1" s="2"/>
      <c r="EBH1" s="2"/>
      <c r="EBI1" s="2"/>
      <c r="EBJ1" s="2"/>
      <c r="EBK1" s="2"/>
      <c r="EBL1" s="2"/>
      <c r="EBM1" s="2"/>
      <c r="EBN1" s="2"/>
      <c r="EBO1" s="2"/>
      <c r="EBP1" s="2"/>
      <c r="EBQ1" s="2"/>
      <c r="EBR1" s="2"/>
      <c r="EBS1" s="2"/>
      <c r="EBT1" s="2"/>
      <c r="EBU1" s="2"/>
      <c r="EBV1" s="2"/>
      <c r="EBW1" s="2"/>
      <c r="EBX1" s="2"/>
      <c r="EBY1" s="2"/>
      <c r="EBZ1" s="2"/>
      <c r="ECA1" s="2"/>
      <c r="ECB1" s="2"/>
      <c r="ECC1" s="2"/>
      <c r="ECD1" s="2"/>
      <c r="ECE1" s="2"/>
      <c r="ECF1" s="2"/>
      <c r="ECG1" s="2"/>
      <c r="ECH1" s="2"/>
      <c r="ECI1" s="2"/>
      <c r="ECJ1" s="2"/>
      <c r="ECK1" s="2"/>
      <c r="ECL1" s="2"/>
      <c r="ECM1" s="2"/>
      <c r="ECN1" s="2"/>
      <c r="ECO1" s="2"/>
      <c r="ECP1" s="2"/>
      <c r="ECQ1" s="2"/>
      <c r="ECR1" s="2"/>
      <c r="ECS1" s="2"/>
      <c r="ECT1" s="2"/>
      <c r="ECU1" s="2"/>
      <c r="ECV1" s="2"/>
      <c r="ECW1" s="2"/>
      <c r="ECX1" s="2"/>
      <c r="ECY1" s="2"/>
      <c r="ECZ1" s="2"/>
      <c r="EDA1" s="2"/>
      <c r="EDB1" s="2"/>
      <c r="EDC1" s="2"/>
      <c r="EDD1" s="2"/>
      <c r="EDE1" s="2"/>
      <c r="EDF1" s="2"/>
      <c r="EDG1" s="2"/>
      <c r="EDH1" s="2"/>
      <c r="EDI1" s="2"/>
      <c r="EDJ1" s="2"/>
      <c r="EDK1" s="2"/>
      <c r="EDL1" s="2"/>
      <c r="EDM1" s="2"/>
      <c r="EDN1" s="2"/>
      <c r="EDO1" s="2"/>
      <c r="EDP1" s="2"/>
      <c r="EDQ1" s="2"/>
      <c r="EDR1" s="2"/>
      <c r="EDS1" s="2"/>
      <c r="EDT1" s="2"/>
      <c r="EDU1" s="2"/>
      <c r="EDV1" s="2"/>
      <c r="EDW1" s="2"/>
      <c r="EDX1" s="2"/>
      <c r="EDY1" s="2"/>
      <c r="EDZ1" s="2"/>
      <c r="EEA1" s="2"/>
      <c r="EEB1" s="2"/>
      <c r="EEC1" s="2"/>
      <c r="EED1" s="2"/>
      <c r="EEE1" s="2"/>
      <c r="EEF1" s="2"/>
      <c r="EEG1" s="2"/>
      <c r="EEH1" s="2"/>
      <c r="EEI1" s="2"/>
      <c r="EEJ1" s="2"/>
      <c r="EEK1" s="2"/>
      <c r="EEL1" s="2"/>
      <c r="EEM1" s="2"/>
      <c r="EEN1" s="2"/>
      <c r="EEO1" s="2"/>
      <c r="EEP1" s="2"/>
      <c r="EEQ1" s="2"/>
      <c r="EER1" s="2"/>
      <c r="EES1" s="2"/>
      <c r="EET1" s="2"/>
      <c r="EEU1" s="2"/>
      <c r="EEV1" s="2"/>
      <c r="EEW1" s="2"/>
      <c r="EEX1" s="2"/>
      <c r="EEY1" s="2"/>
      <c r="EEZ1" s="2"/>
      <c r="EFA1" s="2"/>
      <c r="EFB1" s="2"/>
      <c r="EFC1" s="2"/>
      <c r="EFD1" s="2"/>
      <c r="EFE1" s="2"/>
      <c r="EFF1" s="2"/>
      <c r="EFG1" s="2"/>
      <c r="EFH1" s="2"/>
      <c r="EFI1" s="2"/>
      <c r="EFJ1" s="2"/>
      <c r="EFK1" s="2"/>
      <c r="EFL1" s="2"/>
      <c r="EFM1" s="2"/>
      <c r="EFN1" s="2"/>
      <c r="EFO1" s="2"/>
      <c r="EFP1" s="2"/>
      <c r="EFQ1" s="2"/>
      <c r="EFR1" s="2"/>
      <c r="EFS1" s="2"/>
      <c r="EFT1" s="2"/>
      <c r="EFU1" s="2"/>
      <c r="EFV1" s="2"/>
      <c r="EFW1" s="2"/>
      <c r="EFX1" s="2"/>
      <c r="EFY1" s="2"/>
      <c r="EFZ1" s="2"/>
      <c r="EGA1" s="2"/>
      <c r="EGB1" s="2"/>
      <c r="EGC1" s="2"/>
      <c r="EGD1" s="2"/>
      <c r="EGE1" s="2"/>
      <c r="EGF1" s="2"/>
      <c r="EGG1" s="2"/>
      <c r="EGH1" s="2"/>
      <c r="EGI1" s="2"/>
      <c r="EGJ1" s="2"/>
      <c r="EGK1" s="2"/>
      <c r="EGL1" s="2"/>
      <c r="EGM1" s="2"/>
      <c r="EGN1" s="2"/>
      <c r="EGO1" s="2"/>
      <c r="EGP1" s="2"/>
      <c r="EGQ1" s="2"/>
      <c r="EGR1" s="2"/>
      <c r="EGS1" s="2"/>
      <c r="EGT1" s="2"/>
      <c r="EGU1" s="2"/>
      <c r="EGV1" s="2"/>
      <c r="EGW1" s="2"/>
      <c r="EGX1" s="2"/>
      <c r="EGY1" s="2"/>
      <c r="EGZ1" s="2"/>
      <c r="EHA1" s="2"/>
      <c r="EHB1" s="2"/>
      <c r="EHC1" s="2"/>
      <c r="EHD1" s="2"/>
      <c r="EHE1" s="2"/>
      <c r="EHF1" s="2"/>
      <c r="EHG1" s="2"/>
      <c r="EHH1" s="2"/>
      <c r="EHI1" s="2"/>
      <c r="EHJ1" s="2"/>
      <c r="EHK1" s="2"/>
      <c r="EHL1" s="2"/>
      <c r="EHM1" s="2"/>
      <c r="EHN1" s="2"/>
      <c r="EHO1" s="2"/>
      <c r="EHP1" s="2"/>
      <c r="EHQ1" s="2"/>
      <c r="EHR1" s="2"/>
      <c r="EHS1" s="2"/>
      <c r="EHT1" s="2"/>
      <c r="EHU1" s="2"/>
      <c r="EHV1" s="2"/>
      <c r="EHW1" s="2"/>
      <c r="EHX1" s="2"/>
      <c r="EHY1" s="2"/>
      <c r="EHZ1" s="2"/>
      <c r="EIA1" s="2"/>
      <c r="EIB1" s="2"/>
      <c r="EIC1" s="2"/>
      <c r="EID1" s="2"/>
      <c r="EIE1" s="2"/>
      <c r="EIF1" s="2"/>
      <c r="EIG1" s="2"/>
      <c r="EIH1" s="2"/>
      <c r="EII1" s="2"/>
      <c r="EIJ1" s="2"/>
      <c r="EIK1" s="2"/>
      <c r="EIL1" s="2"/>
      <c r="EIM1" s="2"/>
      <c r="EIN1" s="2"/>
      <c r="EIO1" s="2"/>
      <c r="EIP1" s="2"/>
      <c r="EIQ1" s="2"/>
      <c r="EIR1" s="2"/>
      <c r="EIS1" s="2"/>
      <c r="EIT1" s="2"/>
      <c r="EIU1" s="2"/>
      <c r="EIV1" s="2"/>
      <c r="EIW1" s="2"/>
      <c r="EIX1" s="2"/>
      <c r="EIY1" s="2"/>
      <c r="EIZ1" s="2"/>
      <c r="EJA1" s="2"/>
      <c r="EJB1" s="2"/>
      <c r="EJC1" s="2"/>
      <c r="EJD1" s="2"/>
      <c r="EJE1" s="2"/>
      <c r="EJF1" s="2"/>
      <c r="EJG1" s="2"/>
      <c r="EJH1" s="2"/>
      <c r="EJI1" s="2"/>
      <c r="EJJ1" s="2"/>
      <c r="EJK1" s="2"/>
      <c r="EJL1" s="2"/>
      <c r="EJM1" s="2"/>
      <c r="EJN1" s="2"/>
      <c r="EJO1" s="2"/>
      <c r="EJP1" s="2"/>
      <c r="EJQ1" s="2"/>
      <c r="EJR1" s="2"/>
      <c r="EJS1" s="2"/>
      <c r="EJT1" s="2"/>
      <c r="EJU1" s="2"/>
      <c r="EJV1" s="2"/>
      <c r="EJW1" s="2"/>
      <c r="EJX1" s="2"/>
      <c r="EJY1" s="2"/>
      <c r="EJZ1" s="2"/>
      <c r="EKA1" s="2"/>
      <c r="EKB1" s="2"/>
      <c r="EKC1" s="2"/>
      <c r="EKD1" s="2"/>
      <c r="EKE1" s="2"/>
      <c r="EKF1" s="2"/>
      <c r="EKG1" s="2"/>
      <c r="EKH1" s="2"/>
      <c r="EKI1" s="2"/>
      <c r="EKJ1" s="2"/>
      <c r="EKK1" s="2"/>
      <c r="EKL1" s="2"/>
      <c r="EKM1" s="2"/>
      <c r="EKN1" s="2"/>
      <c r="EKO1" s="2"/>
      <c r="EKP1" s="2"/>
      <c r="EKQ1" s="2"/>
      <c r="EKR1" s="2"/>
      <c r="EKS1" s="2"/>
      <c r="EKT1" s="2"/>
      <c r="EKU1" s="2"/>
      <c r="EKV1" s="2"/>
      <c r="EKW1" s="2"/>
      <c r="EKX1" s="2"/>
      <c r="EKY1" s="2"/>
      <c r="EKZ1" s="2"/>
      <c r="ELA1" s="2"/>
      <c r="ELB1" s="2"/>
      <c r="ELC1" s="2"/>
      <c r="ELD1" s="2"/>
      <c r="ELE1" s="2"/>
      <c r="ELF1" s="2"/>
      <c r="ELG1" s="2"/>
      <c r="ELH1" s="2"/>
      <c r="ELI1" s="2"/>
      <c r="ELJ1" s="2"/>
      <c r="ELK1" s="2"/>
      <c r="ELL1" s="2"/>
      <c r="ELM1" s="2"/>
      <c r="ELN1" s="2"/>
      <c r="ELO1" s="2"/>
      <c r="ELP1" s="2"/>
      <c r="ELQ1" s="2"/>
      <c r="ELR1" s="2"/>
      <c r="ELS1" s="2"/>
      <c r="ELT1" s="2"/>
      <c r="ELU1" s="2"/>
      <c r="ELV1" s="2"/>
      <c r="ELW1" s="2"/>
      <c r="ELX1" s="2"/>
      <c r="ELY1" s="2"/>
      <c r="ELZ1" s="2"/>
      <c r="EMA1" s="2"/>
      <c r="EMB1" s="2"/>
      <c r="EMC1" s="2"/>
      <c r="EMD1" s="2"/>
      <c r="EME1" s="2"/>
      <c r="EMF1" s="2"/>
      <c r="EMG1" s="2"/>
      <c r="EMH1" s="2"/>
      <c r="EMI1" s="2"/>
      <c r="EMJ1" s="2"/>
      <c r="EMK1" s="2"/>
      <c r="EML1" s="2"/>
      <c r="EMM1" s="2"/>
      <c r="EMN1" s="2"/>
      <c r="EMO1" s="2"/>
      <c r="EMP1" s="2"/>
      <c r="EMQ1" s="2"/>
      <c r="EMR1" s="2"/>
      <c r="EMS1" s="2"/>
      <c r="EMT1" s="2"/>
      <c r="EMU1" s="2"/>
      <c r="EMV1" s="2"/>
      <c r="EMW1" s="2"/>
      <c r="EMX1" s="2"/>
      <c r="EMY1" s="2"/>
      <c r="EMZ1" s="2"/>
      <c r="ENA1" s="2"/>
      <c r="ENB1" s="2"/>
      <c r="ENC1" s="2"/>
      <c r="END1" s="2"/>
      <c r="ENE1" s="2"/>
      <c r="ENF1" s="2"/>
      <c r="ENG1" s="2"/>
      <c r="ENH1" s="2"/>
      <c r="ENI1" s="2"/>
      <c r="ENJ1" s="2"/>
      <c r="ENK1" s="2"/>
      <c r="ENL1" s="2"/>
      <c r="ENM1" s="2"/>
      <c r="ENN1" s="2"/>
      <c r="ENO1" s="2"/>
      <c r="ENP1" s="2"/>
      <c r="ENQ1" s="2"/>
      <c r="ENR1" s="2"/>
      <c r="ENS1" s="2"/>
      <c r="ENT1" s="2"/>
      <c r="ENU1" s="2"/>
      <c r="ENV1" s="2"/>
      <c r="ENW1" s="2"/>
      <c r="ENX1" s="2"/>
      <c r="ENY1" s="2"/>
      <c r="ENZ1" s="2"/>
      <c r="EOA1" s="2"/>
      <c r="EOB1" s="2"/>
      <c r="EOC1" s="2"/>
      <c r="EOD1" s="2"/>
      <c r="EOE1" s="2"/>
      <c r="EOF1" s="2"/>
      <c r="EOG1" s="2"/>
      <c r="EOH1" s="2"/>
      <c r="EOI1" s="2"/>
      <c r="EOJ1" s="2"/>
      <c r="EOK1" s="2"/>
      <c r="EOL1" s="2"/>
      <c r="EOM1" s="2"/>
      <c r="EON1" s="2"/>
      <c r="EOO1" s="2"/>
      <c r="EOP1" s="2"/>
      <c r="EOQ1" s="2"/>
      <c r="EOR1" s="2"/>
      <c r="EOS1" s="2"/>
      <c r="EOT1" s="2"/>
      <c r="EOU1" s="2"/>
      <c r="EOV1" s="2"/>
      <c r="EOW1" s="2"/>
      <c r="EOX1" s="2"/>
      <c r="EOY1" s="2"/>
      <c r="EOZ1" s="2"/>
      <c r="EPA1" s="2"/>
      <c r="EPB1" s="2"/>
      <c r="EPC1" s="2"/>
      <c r="EPD1" s="2"/>
      <c r="EPE1" s="2"/>
      <c r="EPF1" s="2"/>
      <c r="EPG1" s="2"/>
      <c r="EPH1" s="2"/>
      <c r="EPI1" s="2"/>
      <c r="EPJ1" s="2"/>
      <c r="EPK1" s="2"/>
      <c r="EPL1" s="2"/>
      <c r="EPM1" s="2"/>
      <c r="EPN1" s="2"/>
      <c r="EPO1" s="2"/>
      <c r="EPP1" s="2"/>
      <c r="EPQ1" s="2"/>
      <c r="EPR1" s="2"/>
      <c r="EPS1" s="2"/>
      <c r="EPT1" s="2"/>
      <c r="EPU1" s="2"/>
      <c r="EPV1" s="2"/>
      <c r="EPW1" s="2"/>
      <c r="EPX1" s="2"/>
      <c r="EPY1" s="2"/>
      <c r="EPZ1" s="2"/>
      <c r="EQA1" s="2"/>
      <c r="EQB1" s="2"/>
      <c r="EQC1" s="2"/>
      <c r="EQD1" s="2"/>
      <c r="EQE1" s="2"/>
      <c r="EQF1" s="2"/>
      <c r="EQG1" s="2"/>
      <c r="EQH1" s="2"/>
      <c r="EQI1" s="2"/>
      <c r="EQJ1" s="2"/>
      <c r="EQK1" s="2"/>
      <c r="EQL1" s="2"/>
      <c r="EQM1" s="2"/>
      <c r="EQN1" s="2"/>
      <c r="EQO1" s="2"/>
      <c r="EQP1" s="2"/>
      <c r="EQQ1" s="2"/>
      <c r="EQR1" s="2"/>
      <c r="EQS1" s="2"/>
      <c r="EQT1" s="2"/>
      <c r="EQU1" s="2"/>
      <c r="EQV1" s="2"/>
      <c r="EQW1" s="2"/>
      <c r="EQX1" s="2"/>
      <c r="EQY1" s="2"/>
      <c r="EQZ1" s="2"/>
      <c r="ERA1" s="2"/>
      <c r="ERB1" s="2"/>
      <c r="ERC1" s="2"/>
      <c r="ERD1" s="2"/>
      <c r="ERE1" s="2"/>
      <c r="ERF1" s="2"/>
      <c r="ERG1" s="2"/>
      <c r="ERH1" s="2"/>
      <c r="ERI1" s="2"/>
      <c r="ERJ1" s="2"/>
      <c r="ERK1" s="2"/>
      <c r="ERL1" s="2"/>
      <c r="ERM1" s="2"/>
      <c r="ERN1" s="2"/>
      <c r="ERO1" s="2"/>
      <c r="ERP1" s="2"/>
      <c r="ERQ1" s="2"/>
      <c r="ERR1" s="2"/>
      <c r="ERS1" s="2"/>
      <c r="ERT1" s="2"/>
      <c r="ERU1" s="2"/>
      <c r="ERV1" s="2"/>
      <c r="ERW1" s="2"/>
      <c r="ERX1" s="2"/>
      <c r="ERY1" s="2"/>
      <c r="ERZ1" s="2"/>
      <c r="ESA1" s="2"/>
      <c r="ESB1" s="2"/>
      <c r="ESC1" s="2"/>
      <c r="ESD1" s="2"/>
      <c r="ESE1" s="2"/>
      <c r="ESF1" s="2"/>
      <c r="ESG1" s="2"/>
      <c r="ESH1" s="2"/>
      <c r="ESI1" s="2"/>
      <c r="ESJ1" s="2"/>
      <c r="ESK1" s="2"/>
      <c r="ESL1" s="2"/>
      <c r="ESM1" s="2"/>
      <c r="ESN1" s="2"/>
      <c r="ESO1" s="2"/>
      <c r="ESP1" s="2"/>
      <c r="ESQ1" s="2"/>
      <c r="ESR1" s="2"/>
      <c r="ESS1" s="2"/>
      <c r="EST1" s="2"/>
      <c r="ESU1" s="2"/>
      <c r="ESV1" s="2"/>
      <c r="ESW1" s="2"/>
      <c r="ESX1" s="2"/>
      <c r="ESY1" s="2"/>
      <c r="ESZ1" s="2"/>
      <c r="ETA1" s="2"/>
      <c r="ETB1" s="2"/>
      <c r="ETC1" s="2"/>
      <c r="ETD1" s="2"/>
      <c r="ETE1" s="2"/>
      <c r="ETF1" s="2"/>
      <c r="ETG1" s="2"/>
      <c r="ETH1" s="2"/>
      <c r="ETI1" s="2"/>
      <c r="ETJ1" s="2"/>
      <c r="ETK1" s="2"/>
      <c r="ETL1" s="2"/>
      <c r="ETM1" s="2"/>
      <c r="ETN1" s="2"/>
      <c r="ETO1" s="2"/>
      <c r="ETP1" s="2"/>
      <c r="ETQ1" s="2"/>
      <c r="ETR1" s="2"/>
      <c r="ETS1" s="2"/>
      <c r="ETT1" s="2"/>
      <c r="ETU1" s="2"/>
      <c r="ETV1" s="2"/>
      <c r="ETW1" s="2"/>
      <c r="ETX1" s="2"/>
      <c r="ETY1" s="2"/>
      <c r="ETZ1" s="2"/>
      <c r="EUA1" s="2"/>
      <c r="EUB1" s="2"/>
      <c r="EUC1" s="2"/>
      <c r="EUD1" s="2"/>
      <c r="EUE1" s="2"/>
      <c r="EUF1" s="2"/>
      <c r="EUG1" s="2"/>
      <c r="EUH1" s="2"/>
      <c r="EUI1" s="2"/>
      <c r="EUJ1" s="2"/>
      <c r="EUK1" s="2"/>
      <c r="EUL1" s="2"/>
      <c r="EUM1" s="2"/>
      <c r="EUN1" s="2"/>
      <c r="EUO1" s="2"/>
      <c r="EUP1" s="2"/>
      <c r="EUQ1" s="2"/>
      <c r="EUR1" s="2"/>
      <c r="EUS1" s="2"/>
      <c r="EUT1" s="2"/>
      <c r="EUU1" s="2"/>
      <c r="EUV1" s="2"/>
      <c r="EUW1" s="2"/>
      <c r="EUX1" s="2"/>
      <c r="EUY1" s="2"/>
      <c r="EUZ1" s="2"/>
      <c r="EVA1" s="2"/>
      <c r="EVB1" s="2"/>
      <c r="EVC1" s="2"/>
      <c r="EVD1" s="2"/>
      <c r="EVE1" s="2"/>
      <c r="EVF1" s="2"/>
      <c r="EVG1" s="2"/>
      <c r="EVH1" s="2"/>
      <c r="EVI1" s="2"/>
      <c r="EVJ1" s="2"/>
      <c r="EVK1" s="2"/>
      <c r="EVL1" s="2"/>
      <c r="EVM1" s="2"/>
      <c r="EVN1" s="2"/>
      <c r="EVO1" s="2"/>
      <c r="EVP1" s="2"/>
      <c r="EVQ1" s="2"/>
      <c r="EVR1" s="2"/>
      <c r="EVS1" s="2"/>
      <c r="EVT1" s="2"/>
      <c r="EVU1" s="2"/>
      <c r="EVV1" s="2"/>
      <c r="EVW1" s="2"/>
      <c r="EVX1" s="2"/>
      <c r="EVY1" s="2"/>
      <c r="EVZ1" s="2"/>
      <c r="EWA1" s="2"/>
      <c r="EWB1" s="2"/>
      <c r="EWC1" s="2"/>
      <c r="EWD1" s="2"/>
      <c r="EWE1" s="2"/>
      <c r="EWF1" s="2"/>
      <c r="EWG1" s="2"/>
      <c r="EWH1" s="2"/>
      <c r="EWI1" s="2"/>
      <c r="EWJ1" s="2"/>
      <c r="EWK1" s="2"/>
      <c r="EWL1" s="2"/>
      <c r="EWM1" s="2"/>
      <c r="EWN1" s="2"/>
      <c r="EWO1" s="2"/>
      <c r="EWP1" s="2"/>
      <c r="EWQ1" s="2"/>
      <c r="EWR1" s="2"/>
      <c r="EWS1" s="2"/>
      <c r="EWT1" s="2"/>
      <c r="EWU1" s="2"/>
      <c r="EWV1" s="2"/>
      <c r="EWW1" s="2"/>
      <c r="EWX1" s="2"/>
      <c r="EWY1" s="2"/>
      <c r="EWZ1" s="2"/>
      <c r="EXA1" s="2"/>
      <c r="EXB1" s="2"/>
      <c r="EXC1" s="2"/>
      <c r="EXD1" s="2"/>
      <c r="EXE1" s="2"/>
      <c r="EXF1" s="2"/>
      <c r="EXG1" s="2"/>
      <c r="EXH1" s="2"/>
      <c r="EXI1" s="2"/>
      <c r="EXJ1" s="2"/>
      <c r="EXK1" s="2"/>
      <c r="EXL1" s="2"/>
      <c r="EXM1" s="2"/>
      <c r="EXN1" s="2"/>
      <c r="EXO1" s="2"/>
      <c r="EXP1" s="2"/>
      <c r="EXQ1" s="2"/>
      <c r="EXR1" s="2"/>
      <c r="EXS1" s="2"/>
      <c r="EXT1" s="2"/>
      <c r="EXU1" s="2"/>
      <c r="EXV1" s="2"/>
      <c r="EXW1" s="2"/>
      <c r="EXX1" s="2"/>
      <c r="EXY1" s="2"/>
      <c r="EXZ1" s="2"/>
      <c r="EYA1" s="2"/>
      <c r="EYB1" s="2"/>
      <c r="EYC1" s="2"/>
      <c r="EYD1" s="2"/>
      <c r="EYE1" s="2"/>
      <c r="EYF1" s="2"/>
      <c r="EYG1" s="2"/>
      <c r="EYH1" s="2"/>
      <c r="EYI1" s="2"/>
      <c r="EYJ1" s="2"/>
      <c r="EYK1" s="2"/>
      <c r="EYL1" s="2"/>
      <c r="EYM1" s="2"/>
      <c r="EYN1" s="2"/>
      <c r="EYO1" s="2"/>
      <c r="EYP1" s="2"/>
      <c r="EYQ1" s="2"/>
      <c r="EYR1" s="2"/>
      <c r="EYS1" s="2"/>
      <c r="EYT1" s="2"/>
      <c r="EYU1" s="2"/>
      <c r="EYV1" s="2"/>
      <c r="EYW1" s="2"/>
      <c r="EYX1" s="2"/>
      <c r="EYY1" s="2"/>
      <c r="EYZ1" s="2"/>
      <c r="EZA1" s="2"/>
      <c r="EZB1" s="2"/>
      <c r="EZC1" s="2"/>
      <c r="EZD1" s="2"/>
      <c r="EZE1" s="2"/>
      <c r="EZF1" s="2"/>
      <c r="EZG1" s="2"/>
      <c r="EZH1" s="2"/>
      <c r="EZI1" s="2"/>
      <c r="EZJ1" s="2"/>
      <c r="EZK1" s="2"/>
      <c r="EZL1" s="2"/>
      <c r="EZM1" s="2"/>
      <c r="EZN1" s="2"/>
      <c r="EZO1" s="2"/>
      <c r="EZP1" s="2"/>
      <c r="EZQ1" s="2"/>
      <c r="EZR1" s="2"/>
      <c r="EZS1" s="2"/>
      <c r="EZT1" s="2"/>
      <c r="EZU1" s="2"/>
      <c r="EZV1" s="2"/>
      <c r="EZW1" s="2"/>
      <c r="EZX1" s="2"/>
      <c r="EZY1" s="2"/>
      <c r="EZZ1" s="2"/>
      <c r="FAA1" s="2"/>
      <c r="FAB1" s="2"/>
      <c r="FAC1" s="2"/>
      <c r="FAD1" s="2"/>
      <c r="FAE1" s="2"/>
      <c r="FAF1" s="2"/>
      <c r="FAG1" s="2"/>
      <c r="FAH1" s="2"/>
      <c r="FAI1" s="2"/>
      <c r="FAJ1" s="2"/>
      <c r="FAK1" s="2"/>
      <c r="FAL1" s="2"/>
      <c r="FAM1" s="2"/>
      <c r="FAN1" s="2"/>
      <c r="FAO1" s="2"/>
      <c r="FAP1" s="2"/>
      <c r="FAQ1" s="2"/>
      <c r="FAR1" s="2"/>
      <c r="FAS1" s="2"/>
      <c r="FAT1" s="2"/>
      <c r="FAU1" s="2"/>
      <c r="FAV1" s="2"/>
      <c r="FAW1" s="2"/>
      <c r="FAX1" s="2"/>
      <c r="FAY1" s="2"/>
      <c r="FAZ1" s="2"/>
      <c r="FBA1" s="2"/>
      <c r="FBB1" s="2"/>
      <c r="FBC1" s="2"/>
      <c r="FBD1" s="2"/>
      <c r="FBE1" s="2"/>
      <c r="FBF1" s="2"/>
      <c r="FBG1" s="2"/>
      <c r="FBH1" s="2"/>
      <c r="FBI1" s="2"/>
      <c r="FBJ1" s="2"/>
      <c r="FBK1" s="2"/>
      <c r="FBL1" s="2"/>
      <c r="FBM1" s="2"/>
      <c r="FBN1" s="2"/>
      <c r="FBO1" s="2"/>
      <c r="FBP1" s="2"/>
      <c r="FBQ1" s="2"/>
      <c r="FBR1" s="2"/>
      <c r="FBS1" s="2"/>
      <c r="FBT1" s="2"/>
      <c r="FBU1" s="2"/>
      <c r="FBV1" s="2"/>
      <c r="FBW1" s="2"/>
      <c r="FBX1" s="2"/>
      <c r="FBY1" s="2"/>
      <c r="FBZ1" s="2"/>
      <c r="FCA1" s="2"/>
      <c r="FCB1" s="2"/>
      <c r="FCC1" s="2"/>
      <c r="FCD1" s="2"/>
      <c r="FCE1" s="2"/>
      <c r="FCF1" s="2"/>
      <c r="FCG1" s="2"/>
      <c r="FCH1" s="2"/>
      <c r="FCI1" s="2"/>
      <c r="FCJ1" s="2"/>
      <c r="FCK1" s="2"/>
      <c r="FCL1" s="2"/>
      <c r="FCM1" s="2"/>
      <c r="FCN1" s="2"/>
      <c r="FCO1" s="2"/>
      <c r="FCP1" s="2"/>
      <c r="FCQ1" s="2"/>
      <c r="FCR1" s="2"/>
      <c r="FCS1" s="2"/>
      <c r="FCT1" s="2"/>
      <c r="FCU1" s="2"/>
      <c r="FCV1" s="2"/>
      <c r="FCW1" s="2"/>
      <c r="FCX1" s="2"/>
      <c r="FCY1" s="2"/>
      <c r="FCZ1" s="2"/>
      <c r="FDA1" s="2"/>
      <c r="FDB1" s="2"/>
      <c r="FDC1" s="2"/>
      <c r="FDD1" s="2"/>
      <c r="FDE1" s="2"/>
      <c r="FDF1" s="2"/>
      <c r="FDG1" s="2"/>
      <c r="FDH1" s="2"/>
      <c r="FDI1" s="2"/>
      <c r="FDJ1" s="2"/>
      <c r="FDK1" s="2"/>
      <c r="FDL1" s="2"/>
      <c r="FDM1" s="2"/>
      <c r="FDN1" s="2"/>
      <c r="FDO1" s="2"/>
      <c r="FDP1" s="2"/>
      <c r="FDQ1" s="2"/>
      <c r="FDR1" s="2"/>
      <c r="FDS1" s="2"/>
      <c r="FDT1" s="2"/>
      <c r="FDU1" s="2"/>
      <c r="FDV1" s="2"/>
      <c r="FDW1" s="2"/>
      <c r="FDX1" s="2"/>
      <c r="FDY1" s="2"/>
      <c r="FDZ1" s="2"/>
      <c r="FEA1" s="2"/>
      <c r="FEB1" s="2"/>
      <c r="FEC1" s="2"/>
      <c r="FED1" s="2"/>
      <c r="FEE1" s="2"/>
      <c r="FEF1" s="2"/>
      <c r="FEG1" s="2"/>
      <c r="FEH1" s="2"/>
      <c r="FEI1" s="2"/>
      <c r="FEJ1" s="2"/>
      <c r="FEK1" s="2"/>
      <c r="FEL1" s="2"/>
      <c r="FEM1" s="2"/>
      <c r="FEN1" s="2"/>
      <c r="FEO1" s="2"/>
      <c r="FEP1" s="2"/>
      <c r="FEQ1" s="2"/>
      <c r="FER1" s="2"/>
      <c r="FES1" s="2"/>
      <c r="FET1" s="2"/>
      <c r="FEU1" s="2"/>
      <c r="FEV1" s="2"/>
      <c r="FEW1" s="2"/>
      <c r="FEX1" s="2"/>
      <c r="FEY1" s="2"/>
      <c r="FEZ1" s="2"/>
      <c r="FFA1" s="2"/>
      <c r="FFB1" s="2"/>
      <c r="FFC1" s="2"/>
      <c r="FFD1" s="2"/>
      <c r="FFE1" s="2"/>
      <c r="FFF1" s="2"/>
      <c r="FFG1" s="2"/>
      <c r="FFH1" s="2"/>
      <c r="FFI1" s="2"/>
      <c r="FFJ1" s="2"/>
      <c r="FFK1" s="2"/>
      <c r="FFL1" s="2"/>
      <c r="FFM1" s="2"/>
      <c r="FFN1" s="2"/>
      <c r="FFO1" s="2"/>
      <c r="FFP1" s="2"/>
      <c r="FFQ1" s="2"/>
      <c r="FFR1" s="2"/>
      <c r="FFS1" s="2"/>
      <c r="FFT1" s="2"/>
      <c r="FFU1" s="2"/>
      <c r="FFV1" s="2"/>
      <c r="FFW1" s="2"/>
      <c r="FFX1" s="2"/>
      <c r="FFY1" s="2"/>
      <c r="FFZ1" s="2"/>
      <c r="FGA1" s="2"/>
      <c r="FGB1" s="2"/>
      <c r="FGC1" s="2"/>
      <c r="FGD1" s="2"/>
      <c r="FGE1" s="2"/>
      <c r="FGF1" s="2"/>
      <c r="FGG1" s="2"/>
      <c r="FGH1" s="2"/>
      <c r="FGI1" s="2"/>
      <c r="FGJ1" s="2"/>
      <c r="FGK1" s="2"/>
      <c r="FGL1" s="2"/>
      <c r="FGM1" s="2"/>
      <c r="FGN1" s="2"/>
      <c r="FGO1" s="2"/>
      <c r="FGP1" s="2"/>
      <c r="FGQ1" s="2"/>
      <c r="FGR1" s="2"/>
      <c r="FGS1" s="2"/>
      <c r="FGT1" s="2"/>
      <c r="FGU1" s="2"/>
      <c r="FGV1" s="2"/>
      <c r="FGW1" s="2"/>
      <c r="FGX1" s="2"/>
      <c r="FGY1" s="2"/>
      <c r="FGZ1" s="2"/>
      <c r="FHA1" s="2"/>
      <c r="FHB1" s="2"/>
      <c r="FHC1" s="2"/>
      <c r="FHD1" s="2"/>
      <c r="FHE1" s="2"/>
      <c r="FHF1" s="2"/>
      <c r="FHG1" s="2"/>
      <c r="FHH1" s="2"/>
      <c r="FHI1" s="2"/>
      <c r="FHJ1" s="2"/>
      <c r="FHK1" s="2"/>
      <c r="FHL1" s="2"/>
      <c r="FHM1" s="2"/>
      <c r="FHN1" s="2"/>
      <c r="FHO1" s="2"/>
      <c r="FHP1" s="2"/>
      <c r="FHQ1" s="2"/>
      <c r="FHR1" s="2"/>
      <c r="FHS1" s="2"/>
      <c r="FHT1" s="2"/>
      <c r="FHU1" s="2"/>
      <c r="FHV1" s="2"/>
      <c r="FHW1" s="2"/>
      <c r="FHX1" s="2"/>
      <c r="FHY1" s="2"/>
      <c r="FHZ1" s="2"/>
      <c r="FIA1" s="2"/>
      <c r="FIB1" s="2"/>
      <c r="FIC1" s="2"/>
      <c r="FID1" s="2"/>
      <c r="FIE1" s="2"/>
      <c r="FIF1" s="2"/>
      <c r="FIG1" s="2"/>
      <c r="FIH1" s="2"/>
      <c r="FII1" s="2"/>
      <c r="FIJ1" s="2"/>
      <c r="FIK1" s="2"/>
      <c r="FIL1" s="2"/>
      <c r="FIM1" s="2"/>
      <c r="FIN1" s="2"/>
      <c r="FIO1" s="2"/>
      <c r="FIP1" s="2"/>
      <c r="FIQ1" s="2"/>
      <c r="FIR1" s="2"/>
      <c r="FIS1" s="2"/>
      <c r="FIT1" s="2"/>
      <c r="FIU1" s="2"/>
      <c r="FIV1" s="2"/>
      <c r="FIW1" s="2"/>
      <c r="FIX1" s="2"/>
      <c r="FIY1" s="2"/>
      <c r="FIZ1" s="2"/>
      <c r="FJA1" s="2"/>
      <c r="FJB1" s="2"/>
      <c r="FJC1" s="2"/>
      <c r="FJD1" s="2"/>
      <c r="FJE1" s="2"/>
      <c r="FJF1" s="2"/>
      <c r="FJG1" s="2"/>
      <c r="FJH1" s="2"/>
      <c r="FJI1" s="2"/>
      <c r="FJJ1" s="2"/>
      <c r="FJK1" s="2"/>
      <c r="FJL1" s="2"/>
      <c r="FJM1" s="2"/>
      <c r="FJN1" s="2"/>
      <c r="FJO1" s="2"/>
      <c r="FJP1" s="2"/>
      <c r="FJQ1" s="2"/>
      <c r="FJR1" s="2"/>
      <c r="FJS1" s="2"/>
      <c r="FJT1" s="2"/>
      <c r="FJU1" s="2"/>
      <c r="FJV1" s="2"/>
      <c r="FJW1" s="2"/>
      <c r="FJX1" s="2"/>
      <c r="FJY1" s="2"/>
      <c r="FJZ1" s="2"/>
      <c r="FKA1" s="2"/>
      <c r="FKB1" s="2"/>
      <c r="FKC1" s="2"/>
      <c r="FKD1" s="2"/>
      <c r="FKE1" s="2"/>
      <c r="FKF1" s="2"/>
      <c r="FKG1" s="2"/>
      <c r="FKH1" s="2"/>
      <c r="FKI1" s="2"/>
      <c r="FKJ1" s="2"/>
      <c r="FKK1" s="2"/>
      <c r="FKL1" s="2"/>
      <c r="FKM1" s="2"/>
      <c r="FKN1" s="2"/>
      <c r="FKO1" s="2"/>
      <c r="FKP1" s="2"/>
      <c r="FKQ1" s="2"/>
      <c r="FKR1" s="2"/>
      <c r="FKS1" s="2"/>
      <c r="FKT1" s="2"/>
      <c r="FKU1" s="2"/>
      <c r="FKV1" s="2"/>
      <c r="FKW1" s="2"/>
      <c r="FKX1" s="2"/>
      <c r="FKY1" s="2"/>
      <c r="FKZ1" s="2"/>
      <c r="FLA1" s="2"/>
      <c r="FLB1" s="2"/>
      <c r="FLC1" s="2"/>
      <c r="FLD1" s="2"/>
      <c r="FLE1" s="2"/>
      <c r="FLF1" s="2"/>
      <c r="FLG1" s="2"/>
      <c r="FLH1" s="2"/>
      <c r="FLI1" s="2"/>
      <c r="FLJ1" s="2"/>
      <c r="FLK1" s="2"/>
      <c r="FLL1" s="2"/>
      <c r="FLM1" s="2"/>
      <c r="FLN1" s="2"/>
      <c r="FLO1" s="2"/>
      <c r="FLP1" s="2"/>
      <c r="FLQ1" s="2"/>
      <c r="FLR1" s="2"/>
      <c r="FLS1" s="2"/>
      <c r="FLT1" s="2"/>
      <c r="FLU1" s="2"/>
      <c r="FLV1" s="2"/>
      <c r="FLW1" s="2"/>
      <c r="FLX1" s="2"/>
      <c r="FLY1" s="2"/>
      <c r="FLZ1" s="2"/>
      <c r="FMA1" s="2"/>
      <c r="FMB1" s="2"/>
      <c r="FMC1" s="2"/>
      <c r="FMD1" s="2"/>
      <c r="FME1" s="2"/>
      <c r="FMF1" s="2"/>
      <c r="FMG1" s="2"/>
      <c r="FMH1" s="2"/>
      <c r="FMI1" s="2"/>
      <c r="FMJ1" s="2"/>
      <c r="FMK1" s="2"/>
      <c r="FML1" s="2"/>
      <c r="FMM1" s="2"/>
      <c r="FMN1" s="2"/>
      <c r="FMO1" s="2"/>
      <c r="FMP1" s="2"/>
      <c r="FMQ1" s="2"/>
      <c r="FMR1" s="2"/>
      <c r="FMS1" s="2"/>
      <c r="FMT1" s="2"/>
      <c r="FMU1" s="2"/>
      <c r="FMV1" s="2"/>
      <c r="FMW1" s="2"/>
      <c r="FMX1" s="2"/>
      <c r="FMY1" s="2"/>
      <c r="FMZ1" s="2"/>
      <c r="FNA1" s="2"/>
      <c r="FNB1" s="2"/>
      <c r="FNC1" s="2"/>
      <c r="FND1" s="2"/>
      <c r="FNE1" s="2"/>
      <c r="FNF1" s="2"/>
      <c r="FNG1" s="2"/>
      <c r="FNH1" s="2"/>
      <c r="FNI1" s="2"/>
      <c r="FNJ1" s="2"/>
      <c r="FNK1" s="2"/>
      <c r="FNL1" s="2"/>
      <c r="FNM1" s="2"/>
      <c r="FNN1" s="2"/>
      <c r="FNO1" s="2"/>
      <c r="FNP1" s="2"/>
      <c r="FNQ1" s="2"/>
      <c r="FNR1" s="2"/>
      <c r="FNS1" s="2"/>
      <c r="FNT1" s="2"/>
      <c r="FNU1" s="2"/>
      <c r="FNV1" s="2"/>
      <c r="FNW1" s="2"/>
      <c r="FNX1" s="2"/>
      <c r="FNY1" s="2"/>
      <c r="FNZ1" s="2"/>
      <c r="FOA1" s="2"/>
      <c r="FOB1" s="2"/>
      <c r="FOC1" s="2"/>
      <c r="FOD1" s="2"/>
      <c r="FOE1" s="2"/>
      <c r="FOF1" s="2"/>
      <c r="FOG1" s="2"/>
      <c r="FOH1" s="2"/>
      <c r="FOI1" s="2"/>
      <c r="FOJ1" s="2"/>
      <c r="FOK1" s="2"/>
      <c r="FOL1" s="2"/>
      <c r="FOM1" s="2"/>
      <c r="FON1" s="2"/>
      <c r="FOO1" s="2"/>
      <c r="FOP1" s="2"/>
      <c r="FOQ1" s="2"/>
      <c r="FOR1" s="2"/>
      <c r="FOS1" s="2"/>
      <c r="FOT1" s="2"/>
      <c r="FOU1" s="2"/>
      <c r="FOV1" s="2"/>
      <c r="FOW1" s="2"/>
      <c r="FOX1" s="2"/>
      <c r="FOY1" s="2"/>
      <c r="FOZ1" s="2"/>
      <c r="FPA1" s="2"/>
      <c r="FPB1" s="2"/>
      <c r="FPC1" s="2"/>
      <c r="FPD1" s="2"/>
      <c r="FPE1" s="2"/>
      <c r="FPF1" s="2"/>
      <c r="FPG1" s="2"/>
      <c r="FPH1" s="2"/>
      <c r="FPI1" s="2"/>
      <c r="FPJ1" s="2"/>
      <c r="FPK1" s="2"/>
      <c r="FPL1" s="2"/>
      <c r="FPM1" s="2"/>
      <c r="FPN1" s="2"/>
      <c r="FPO1" s="2"/>
      <c r="FPP1" s="2"/>
      <c r="FPQ1" s="2"/>
      <c r="FPR1" s="2"/>
      <c r="FPS1" s="2"/>
      <c r="FPT1" s="2"/>
      <c r="FPU1" s="2"/>
      <c r="FPV1" s="2"/>
      <c r="FPW1" s="2"/>
      <c r="FPX1" s="2"/>
      <c r="FPY1" s="2"/>
      <c r="FPZ1" s="2"/>
      <c r="FQA1" s="2"/>
      <c r="FQB1" s="2"/>
      <c r="FQC1" s="2"/>
      <c r="FQD1" s="2"/>
      <c r="FQE1" s="2"/>
      <c r="FQF1" s="2"/>
      <c r="FQG1" s="2"/>
      <c r="FQH1" s="2"/>
      <c r="FQI1" s="2"/>
      <c r="FQJ1" s="2"/>
      <c r="FQK1" s="2"/>
      <c r="FQL1" s="2"/>
      <c r="FQM1" s="2"/>
      <c r="FQN1" s="2"/>
      <c r="FQO1" s="2"/>
      <c r="FQP1" s="2"/>
      <c r="FQQ1" s="2"/>
      <c r="FQR1" s="2"/>
      <c r="FQS1" s="2"/>
      <c r="FQT1" s="2"/>
      <c r="FQU1" s="2"/>
      <c r="FQV1" s="2"/>
      <c r="FQW1" s="2"/>
      <c r="FQX1" s="2"/>
      <c r="FQY1" s="2"/>
      <c r="FQZ1" s="2"/>
      <c r="FRA1" s="2"/>
      <c r="FRB1" s="2"/>
      <c r="FRC1" s="2"/>
      <c r="FRD1" s="2"/>
      <c r="FRE1" s="2"/>
      <c r="FRF1" s="2"/>
      <c r="FRG1" s="2"/>
      <c r="FRH1" s="2"/>
      <c r="FRI1" s="2"/>
      <c r="FRJ1" s="2"/>
      <c r="FRK1" s="2"/>
      <c r="FRL1" s="2"/>
      <c r="FRM1" s="2"/>
      <c r="FRN1" s="2"/>
      <c r="FRO1" s="2"/>
      <c r="FRP1" s="2"/>
      <c r="FRQ1" s="2"/>
      <c r="FRR1" s="2"/>
      <c r="FRS1" s="2"/>
      <c r="FRT1" s="2"/>
      <c r="FRU1" s="2"/>
      <c r="FRV1" s="2"/>
      <c r="FRW1" s="2"/>
      <c r="FRX1" s="2"/>
      <c r="FRY1" s="2"/>
      <c r="FRZ1" s="2"/>
      <c r="FSA1" s="2"/>
      <c r="FSB1" s="2"/>
      <c r="FSC1" s="2"/>
      <c r="FSD1" s="2"/>
      <c r="FSE1" s="2"/>
      <c r="FSF1" s="2"/>
      <c r="FSG1" s="2"/>
      <c r="FSH1" s="2"/>
      <c r="FSI1" s="2"/>
      <c r="FSJ1" s="2"/>
      <c r="FSK1" s="2"/>
      <c r="FSL1" s="2"/>
      <c r="FSM1" s="2"/>
      <c r="FSN1" s="2"/>
      <c r="FSO1" s="2"/>
      <c r="FSP1" s="2"/>
      <c r="FSQ1" s="2"/>
      <c r="FSR1" s="2"/>
      <c r="FSS1" s="2"/>
      <c r="FST1" s="2"/>
      <c r="FSU1" s="2"/>
      <c r="FSV1" s="2"/>
      <c r="FSW1" s="2"/>
      <c r="FSX1" s="2"/>
      <c r="FSY1" s="2"/>
      <c r="FSZ1" s="2"/>
      <c r="FTA1" s="2"/>
      <c r="FTB1" s="2"/>
      <c r="FTC1" s="2"/>
      <c r="FTD1" s="2"/>
      <c r="FTE1" s="2"/>
      <c r="FTF1" s="2"/>
      <c r="FTG1" s="2"/>
      <c r="FTH1" s="2"/>
      <c r="FTI1" s="2"/>
      <c r="FTJ1" s="2"/>
      <c r="FTK1" s="2"/>
      <c r="FTL1" s="2"/>
      <c r="FTM1" s="2"/>
      <c r="FTN1" s="2"/>
      <c r="FTO1" s="2"/>
      <c r="FTP1" s="2"/>
      <c r="FTQ1" s="2"/>
      <c r="FTR1" s="2"/>
      <c r="FTS1" s="2"/>
      <c r="FTT1" s="2"/>
      <c r="FTU1" s="2"/>
      <c r="FTV1" s="2"/>
      <c r="FTW1" s="2"/>
      <c r="FTX1" s="2"/>
      <c r="FTY1" s="2"/>
      <c r="FTZ1" s="2"/>
      <c r="FUA1" s="2"/>
      <c r="FUB1" s="2"/>
      <c r="FUC1" s="2"/>
      <c r="FUD1" s="2"/>
      <c r="FUE1" s="2"/>
      <c r="FUF1" s="2"/>
      <c r="FUG1" s="2"/>
      <c r="FUH1" s="2"/>
      <c r="FUI1" s="2"/>
      <c r="FUJ1" s="2"/>
      <c r="FUK1" s="2"/>
      <c r="FUL1" s="2"/>
      <c r="FUM1" s="2"/>
      <c r="FUN1" s="2"/>
      <c r="FUO1" s="2"/>
      <c r="FUP1" s="2"/>
      <c r="FUQ1" s="2"/>
      <c r="FUR1" s="2"/>
      <c r="FUS1" s="2"/>
      <c r="FUT1" s="2"/>
      <c r="FUU1" s="2"/>
      <c r="FUV1" s="2"/>
      <c r="FUW1" s="2"/>
      <c r="FUX1" s="2"/>
      <c r="FUY1" s="2"/>
      <c r="FUZ1" s="2"/>
      <c r="FVA1" s="2"/>
      <c r="FVB1" s="2"/>
      <c r="FVC1" s="2"/>
      <c r="FVD1" s="2"/>
      <c r="FVE1" s="2"/>
      <c r="FVF1" s="2"/>
      <c r="FVG1" s="2"/>
      <c r="FVH1" s="2"/>
      <c r="FVI1" s="2"/>
      <c r="FVJ1" s="2"/>
      <c r="FVK1" s="2"/>
      <c r="FVL1" s="2"/>
      <c r="FVM1" s="2"/>
      <c r="FVN1" s="2"/>
      <c r="FVO1" s="2"/>
      <c r="FVP1" s="2"/>
      <c r="FVQ1" s="2"/>
      <c r="FVR1" s="2"/>
      <c r="FVS1" s="2"/>
      <c r="FVT1" s="2"/>
      <c r="FVU1" s="2"/>
      <c r="FVV1" s="2"/>
      <c r="FVW1" s="2"/>
      <c r="FVX1" s="2"/>
      <c r="FVY1" s="2"/>
      <c r="FVZ1" s="2"/>
      <c r="FWA1" s="2"/>
      <c r="FWB1" s="2"/>
      <c r="FWC1" s="2"/>
      <c r="FWD1" s="2"/>
      <c r="FWE1" s="2"/>
      <c r="FWF1" s="2"/>
      <c r="FWG1" s="2"/>
      <c r="FWH1" s="2"/>
      <c r="FWI1" s="2"/>
      <c r="FWJ1" s="2"/>
      <c r="FWK1" s="2"/>
      <c r="FWL1" s="2"/>
      <c r="FWM1" s="2"/>
      <c r="FWN1" s="2"/>
      <c r="FWO1" s="2"/>
      <c r="FWP1" s="2"/>
      <c r="FWQ1" s="2"/>
      <c r="FWR1" s="2"/>
      <c r="FWS1" s="2"/>
      <c r="FWT1" s="2"/>
      <c r="FWU1" s="2"/>
      <c r="FWV1" s="2"/>
      <c r="FWW1" s="2"/>
      <c r="FWX1" s="2"/>
      <c r="FWY1" s="2"/>
      <c r="FWZ1" s="2"/>
      <c r="FXA1" s="2"/>
      <c r="FXB1" s="2"/>
      <c r="FXC1" s="2"/>
      <c r="FXD1" s="2"/>
      <c r="FXE1" s="2"/>
      <c r="FXF1" s="2"/>
      <c r="FXG1" s="2"/>
      <c r="FXH1" s="2"/>
      <c r="FXI1" s="2"/>
      <c r="FXJ1" s="2"/>
      <c r="FXK1" s="2"/>
      <c r="FXL1" s="2"/>
      <c r="FXM1" s="2"/>
      <c r="FXN1" s="2"/>
      <c r="FXO1" s="2"/>
      <c r="FXP1" s="2"/>
      <c r="FXQ1" s="2"/>
      <c r="FXR1" s="2"/>
      <c r="FXS1" s="2"/>
      <c r="FXT1" s="2"/>
      <c r="FXU1" s="2"/>
      <c r="FXV1" s="2"/>
      <c r="FXW1" s="2"/>
      <c r="FXX1" s="2"/>
      <c r="FXY1" s="2"/>
      <c r="FXZ1" s="2"/>
      <c r="FYA1" s="2"/>
      <c r="FYB1" s="2"/>
      <c r="FYC1" s="2"/>
      <c r="FYD1" s="2"/>
      <c r="FYE1" s="2"/>
      <c r="FYF1" s="2"/>
      <c r="FYG1" s="2"/>
      <c r="FYH1" s="2"/>
      <c r="FYI1" s="2"/>
      <c r="FYJ1" s="2"/>
      <c r="FYK1" s="2"/>
      <c r="FYL1" s="2"/>
      <c r="FYM1" s="2"/>
      <c r="FYN1" s="2"/>
      <c r="FYO1" s="2"/>
      <c r="FYP1" s="2"/>
      <c r="FYQ1" s="2"/>
      <c r="FYR1" s="2"/>
      <c r="FYS1" s="2"/>
      <c r="FYT1" s="2"/>
      <c r="FYU1" s="2"/>
      <c r="FYV1" s="2"/>
      <c r="FYW1" s="2"/>
      <c r="FYX1" s="2"/>
      <c r="FYY1" s="2"/>
      <c r="FYZ1" s="2"/>
      <c r="FZA1" s="2"/>
      <c r="FZB1" s="2"/>
      <c r="FZC1" s="2"/>
      <c r="FZD1" s="2"/>
      <c r="FZE1" s="2"/>
      <c r="FZF1" s="2"/>
      <c r="FZG1" s="2"/>
      <c r="FZH1" s="2"/>
      <c r="FZI1" s="2"/>
      <c r="FZJ1" s="2"/>
      <c r="FZK1" s="2"/>
      <c r="FZL1" s="2"/>
      <c r="FZM1" s="2"/>
      <c r="FZN1" s="2"/>
      <c r="FZO1" s="2"/>
      <c r="FZP1" s="2"/>
      <c r="FZQ1" s="2"/>
      <c r="FZR1" s="2"/>
      <c r="FZS1" s="2"/>
      <c r="FZT1" s="2"/>
      <c r="FZU1" s="2"/>
      <c r="FZV1" s="2"/>
      <c r="FZW1" s="2"/>
      <c r="FZX1" s="2"/>
      <c r="FZY1" s="2"/>
      <c r="FZZ1" s="2"/>
      <c r="GAA1" s="2"/>
      <c r="GAB1" s="2"/>
      <c r="GAC1" s="2"/>
      <c r="GAD1" s="2"/>
      <c r="GAE1" s="2"/>
      <c r="GAF1" s="2"/>
      <c r="GAG1" s="2"/>
      <c r="GAH1" s="2"/>
      <c r="GAI1" s="2"/>
      <c r="GAJ1" s="2"/>
      <c r="GAK1" s="2"/>
      <c r="GAL1" s="2"/>
      <c r="GAM1" s="2"/>
      <c r="GAN1" s="2"/>
      <c r="GAO1" s="2"/>
      <c r="GAP1" s="2"/>
      <c r="GAQ1" s="2"/>
      <c r="GAR1" s="2"/>
      <c r="GAS1" s="2"/>
      <c r="GAT1" s="2"/>
      <c r="GAU1" s="2"/>
      <c r="GAV1" s="2"/>
      <c r="GAW1" s="2"/>
      <c r="GAX1" s="2"/>
      <c r="GAY1" s="2"/>
      <c r="GAZ1" s="2"/>
      <c r="GBA1" s="2"/>
      <c r="GBB1" s="2"/>
      <c r="GBC1" s="2"/>
      <c r="GBD1" s="2"/>
      <c r="GBE1" s="2"/>
      <c r="GBF1" s="2"/>
      <c r="GBG1" s="2"/>
      <c r="GBH1" s="2"/>
      <c r="GBI1" s="2"/>
      <c r="GBJ1" s="2"/>
      <c r="GBK1" s="2"/>
      <c r="GBL1" s="2"/>
      <c r="GBM1" s="2"/>
      <c r="GBN1" s="2"/>
      <c r="GBO1" s="2"/>
      <c r="GBP1" s="2"/>
      <c r="GBQ1" s="2"/>
      <c r="GBR1" s="2"/>
      <c r="GBS1" s="2"/>
      <c r="GBT1" s="2"/>
      <c r="GBU1" s="2"/>
      <c r="GBV1" s="2"/>
      <c r="GBW1" s="2"/>
      <c r="GBX1" s="2"/>
      <c r="GBY1" s="2"/>
      <c r="GBZ1" s="2"/>
      <c r="GCA1" s="2"/>
      <c r="GCB1" s="2"/>
      <c r="GCC1" s="2"/>
      <c r="GCD1" s="2"/>
      <c r="GCE1" s="2"/>
      <c r="GCF1" s="2"/>
      <c r="GCG1" s="2"/>
      <c r="GCH1" s="2"/>
      <c r="GCI1" s="2"/>
      <c r="GCJ1" s="2"/>
      <c r="GCK1" s="2"/>
      <c r="GCL1" s="2"/>
      <c r="GCM1" s="2"/>
      <c r="GCN1" s="2"/>
      <c r="GCO1" s="2"/>
      <c r="GCP1" s="2"/>
      <c r="GCQ1" s="2"/>
      <c r="GCR1" s="2"/>
      <c r="GCS1" s="2"/>
      <c r="GCT1" s="2"/>
      <c r="GCU1" s="2"/>
      <c r="GCV1" s="2"/>
      <c r="GCW1" s="2"/>
      <c r="GCX1" s="2"/>
      <c r="GCY1" s="2"/>
      <c r="GCZ1" s="2"/>
      <c r="GDA1" s="2"/>
      <c r="GDB1" s="2"/>
      <c r="GDC1" s="2"/>
      <c r="GDD1" s="2"/>
      <c r="GDE1" s="2"/>
      <c r="GDF1" s="2"/>
      <c r="GDG1" s="2"/>
      <c r="GDH1" s="2"/>
      <c r="GDI1" s="2"/>
      <c r="GDJ1" s="2"/>
      <c r="GDK1" s="2"/>
      <c r="GDL1" s="2"/>
      <c r="GDM1" s="2"/>
      <c r="GDN1" s="2"/>
      <c r="GDO1" s="2"/>
      <c r="GDP1" s="2"/>
      <c r="GDQ1" s="2"/>
      <c r="GDR1" s="2"/>
      <c r="GDS1" s="2"/>
      <c r="GDT1" s="2"/>
      <c r="GDU1" s="2"/>
      <c r="GDV1" s="2"/>
      <c r="GDW1" s="2"/>
      <c r="GDX1" s="2"/>
      <c r="GDY1" s="2"/>
      <c r="GDZ1" s="2"/>
      <c r="GEA1" s="2"/>
      <c r="GEB1" s="2"/>
      <c r="GEC1" s="2"/>
      <c r="GED1" s="2"/>
      <c r="GEE1" s="2"/>
      <c r="GEF1" s="2"/>
      <c r="GEG1" s="2"/>
      <c r="GEH1" s="2"/>
      <c r="GEI1" s="2"/>
      <c r="GEJ1" s="2"/>
      <c r="GEK1" s="2"/>
      <c r="GEL1" s="2"/>
      <c r="GEM1" s="2"/>
      <c r="GEN1" s="2"/>
      <c r="GEO1" s="2"/>
      <c r="GEP1" s="2"/>
      <c r="GEQ1" s="2"/>
      <c r="GER1" s="2"/>
      <c r="GES1" s="2"/>
      <c r="GET1" s="2"/>
      <c r="GEU1" s="2"/>
      <c r="GEV1" s="2"/>
      <c r="GEW1" s="2"/>
      <c r="GEX1" s="2"/>
      <c r="GEY1" s="2"/>
      <c r="GEZ1" s="2"/>
      <c r="GFA1" s="2"/>
      <c r="GFB1" s="2"/>
      <c r="GFC1" s="2"/>
      <c r="GFD1" s="2"/>
      <c r="GFE1" s="2"/>
      <c r="GFF1" s="2"/>
      <c r="GFG1" s="2"/>
      <c r="GFH1" s="2"/>
      <c r="GFI1" s="2"/>
      <c r="GFJ1" s="2"/>
      <c r="GFK1" s="2"/>
      <c r="GFL1" s="2"/>
      <c r="GFM1" s="2"/>
      <c r="GFN1" s="2"/>
      <c r="GFO1" s="2"/>
      <c r="GFP1" s="2"/>
      <c r="GFQ1" s="2"/>
      <c r="GFR1" s="2"/>
      <c r="GFS1" s="2"/>
      <c r="GFT1" s="2"/>
      <c r="GFU1" s="2"/>
      <c r="GFV1" s="2"/>
      <c r="GFW1" s="2"/>
      <c r="GFX1" s="2"/>
      <c r="GFY1" s="2"/>
      <c r="GFZ1" s="2"/>
      <c r="GGA1" s="2"/>
      <c r="GGB1" s="2"/>
      <c r="GGC1" s="2"/>
      <c r="GGD1" s="2"/>
      <c r="GGE1" s="2"/>
      <c r="GGF1" s="2"/>
      <c r="GGG1" s="2"/>
      <c r="GGH1" s="2"/>
      <c r="GGI1" s="2"/>
      <c r="GGJ1" s="2"/>
      <c r="GGK1" s="2"/>
      <c r="GGL1" s="2"/>
      <c r="GGM1" s="2"/>
      <c r="GGN1" s="2"/>
      <c r="GGO1" s="2"/>
      <c r="GGP1" s="2"/>
      <c r="GGQ1" s="2"/>
      <c r="GGR1" s="2"/>
      <c r="GGS1" s="2"/>
      <c r="GGT1" s="2"/>
      <c r="GGU1" s="2"/>
      <c r="GGV1" s="2"/>
      <c r="GGW1" s="2"/>
      <c r="GGX1" s="2"/>
      <c r="GGY1" s="2"/>
      <c r="GGZ1" s="2"/>
      <c r="GHA1" s="2"/>
      <c r="GHB1" s="2"/>
      <c r="GHC1" s="2"/>
      <c r="GHD1" s="2"/>
      <c r="GHE1" s="2"/>
      <c r="GHF1" s="2"/>
      <c r="GHG1" s="2"/>
      <c r="GHH1" s="2"/>
      <c r="GHI1" s="2"/>
      <c r="GHJ1" s="2"/>
      <c r="GHK1" s="2"/>
      <c r="GHL1" s="2"/>
      <c r="GHM1" s="2"/>
      <c r="GHN1" s="2"/>
      <c r="GHO1" s="2"/>
      <c r="GHP1" s="2"/>
      <c r="GHQ1" s="2"/>
      <c r="GHR1" s="2"/>
      <c r="GHS1" s="2"/>
      <c r="GHT1" s="2"/>
      <c r="GHU1" s="2"/>
      <c r="GHV1" s="2"/>
      <c r="GHW1" s="2"/>
      <c r="GHX1" s="2"/>
      <c r="GHY1" s="2"/>
      <c r="GHZ1" s="2"/>
      <c r="GIA1" s="2"/>
      <c r="GIB1" s="2"/>
      <c r="GIC1" s="2"/>
      <c r="GID1" s="2"/>
      <c r="GIE1" s="2"/>
      <c r="GIF1" s="2"/>
      <c r="GIG1" s="2"/>
      <c r="GIH1" s="2"/>
      <c r="GII1" s="2"/>
      <c r="GIJ1" s="2"/>
      <c r="GIK1" s="2"/>
      <c r="GIL1" s="2"/>
      <c r="GIM1" s="2"/>
      <c r="GIN1" s="2"/>
      <c r="GIO1" s="2"/>
      <c r="GIP1" s="2"/>
      <c r="GIQ1" s="2"/>
      <c r="GIR1" s="2"/>
      <c r="GIS1" s="2"/>
      <c r="GIT1" s="2"/>
      <c r="GIU1" s="2"/>
      <c r="GIV1" s="2"/>
      <c r="GIW1" s="2"/>
      <c r="GIX1" s="2"/>
      <c r="GIY1" s="2"/>
      <c r="GIZ1" s="2"/>
      <c r="GJA1" s="2"/>
      <c r="GJB1" s="2"/>
      <c r="GJC1" s="2"/>
      <c r="GJD1" s="2"/>
      <c r="GJE1" s="2"/>
      <c r="GJF1" s="2"/>
      <c r="GJG1" s="2"/>
      <c r="GJH1" s="2"/>
      <c r="GJI1" s="2"/>
      <c r="GJJ1" s="2"/>
      <c r="GJK1" s="2"/>
      <c r="GJL1" s="2"/>
      <c r="GJM1" s="2"/>
      <c r="GJN1" s="2"/>
      <c r="GJO1" s="2"/>
      <c r="GJP1" s="2"/>
      <c r="GJQ1" s="2"/>
      <c r="GJR1" s="2"/>
      <c r="GJS1" s="2"/>
      <c r="GJT1" s="2"/>
      <c r="GJU1" s="2"/>
      <c r="GJV1" s="2"/>
      <c r="GJW1" s="2"/>
      <c r="GJX1" s="2"/>
      <c r="GJY1" s="2"/>
      <c r="GJZ1" s="2"/>
      <c r="GKA1" s="2"/>
      <c r="GKB1" s="2"/>
      <c r="GKC1" s="2"/>
      <c r="GKD1" s="2"/>
      <c r="GKE1" s="2"/>
      <c r="GKF1" s="2"/>
      <c r="GKG1" s="2"/>
      <c r="GKH1" s="2"/>
      <c r="GKI1" s="2"/>
      <c r="GKJ1" s="2"/>
      <c r="GKK1" s="2"/>
      <c r="GKL1" s="2"/>
      <c r="GKM1" s="2"/>
      <c r="GKN1" s="2"/>
      <c r="GKO1" s="2"/>
      <c r="GKP1" s="2"/>
      <c r="GKQ1" s="2"/>
      <c r="GKR1" s="2"/>
      <c r="GKS1" s="2"/>
      <c r="GKT1" s="2"/>
      <c r="GKU1" s="2"/>
      <c r="GKV1" s="2"/>
      <c r="GKW1" s="2"/>
      <c r="GKX1" s="2"/>
      <c r="GKY1" s="2"/>
      <c r="GKZ1" s="2"/>
      <c r="GLA1" s="2"/>
      <c r="GLB1" s="2"/>
      <c r="GLC1" s="2"/>
      <c r="GLD1" s="2"/>
      <c r="GLE1" s="2"/>
      <c r="GLF1" s="2"/>
      <c r="GLG1" s="2"/>
      <c r="GLH1" s="2"/>
      <c r="GLI1" s="2"/>
      <c r="GLJ1" s="2"/>
      <c r="GLK1" s="2"/>
      <c r="GLL1" s="2"/>
      <c r="GLM1" s="2"/>
      <c r="GLN1" s="2"/>
      <c r="GLO1" s="2"/>
      <c r="GLP1" s="2"/>
      <c r="GLQ1" s="2"/>
      <c r="GLR1" s="2"/>
      <c r="GLS1" s="2"/>
      <c r="GLT1" s="2"/>
      <c r="GLU1" s="2"/>
      <c r="GLV1" s="2"/>
      <c r="GLW1" s="2"/>
      <c r="GLX1" s="2"/>
      <c r="GLY1" s="2"/>
      <c r="GLZ1" s="2"/>
      <c r="GMA1" s="2"/>
      <c r="GMB1" s="2"/>
      <c r="GMC1" s="2"/>
      <c r="GMD1" s="2"/>
      <c r="GME1" s="2"/>
      <c r="GMF1" s="2"/>
      <c r="GMG1" s="2"/>
      <c r="GMH1" s="2"/>
      <c r="GMI1" s="2"/>
      <c r="GMJ1" s="2"/>
      <c r="GMK1" s="2"/>
      <c r="GML1" s="2"/>
      <c r="GMM1" s="2"/>
      <c r="GMN1" s="2"/>
      <c r="GMO1" s="2"/>
      <c r="GMP1" s="2"/>
      <c r="GMQ1" s="2"/>
      <c r="GMR1" s="2"/>
      <c r="GMS1" s="2"/>
      <c r="GMT1" s="2"/>
      <c r="GMU1" s="2"/>
      <c r="GMV1" s="2"/>
      <c r="GMW1" s="2"/>
      <c r="GMX1" s="2"/>
      <c r="GMY1" s="2"/>
      <c r="GMZ1" s="2"/>
      <c r="GNA1" s="2"/>
      <c r="GNB1" s="2"/>
      <c r="GNC1" s="2"/>
      <c r="GND1" s="2"/>
      <c r="GNE1" s="2"/>
      <c r="GNF1" s="2"/>
      <c r="GNG1" s="2"/>
      <c r="GNH1" s="2"/>
      <c r="GNI1" s="2"/>
      <c r="GNJ1" s="2"/>
      <c r="GNK1" s="2"/>
      <c r="GNL1" s="2"/>
      <c r="GNM1" s="2"/>
      <c r="GNN1" s="2"/>
      <c r="GNO1" s="2"/>
      <c r="GNP1" s="2"/>
      <c r="GNQ1" s="2"/>
      <c r="GNR1" s="2"/>
      <c r="GNS1" s="2"/>
      <c r="GNT1" s="2"/>
      <c r="GNU1" s="2"/>
      <c r="GNV1" s="2"/>
      <c r="GNW1" s="2"/>
      <c r="GNX1" s="2"/>
      <c r="GNY1" s="2"/>
      <c r="GNZ1" s="2"/>
      <c r="GOA1" s="2"/>
      <c r="GOB1" s="2"/>
      <c r="GOC1" s="2"/>
      <c r="GOD1" s="2"/>
      <c r="GOE1" s="2"/>
      <c r="GOF1" s="2"/>
      <c r="GOG1" s="2"/>
      <c r="GOH1" s="2"/>
      <c r="GOI1" s="2"/>
      <c r="GOJ1" s="2"/>
      <c r="GOK1" s="2"/>
      <c r="GOL1" s="2"/>
      <c r="GOM1" s="2"/>
      <c r="GON1" s="2"/>
      <c r="GOO1" s="2"/>
      <c r="GOP1" s="2"/>
      <c r="GOQ1" s="2"/>
      <c r="GOR1" s="2"/>
      <c r="GOS1" s="2"/>
      <c r="GOT1" s="2"/>
      <c r="GOU1" s="2"/>
      <c r="GOV1" s="2"/>
      <c r="GOW1" s="2"/>
      <c r="GOX1" s="2"/>
      <c r="GOY1" s="2"/>
      <c r="GOZ1" s="2"/>
      <c r="GPA1" s="2"/>
      <c r="GPB1" s="2"/>
      <c r="GPC1" s="2"/>
      <c r="GPD1" s="2"/>
      <c r="GPE1" s="2"/>
      <c r="GPF1" s="2"/>
      <c r="GPG1" s="2"/>
      <c r="GPH1" s="2"/>
      <c r="GPI1" s="2"/>
      <c r="GPJ1" s="2"/>
      <c r="GPK1" s="2"/>
      <c r="GPL1" s="2"/>
      <c r="GPM1" s="2"/>
      <c r="GPN1" s="2"/>
      <c r="GPO1" s="2"/>
      <c r="GPP1" s="2"/>
      <c r="GPQ1" s="2"/>
      <c r="GPR1" s="2"/>
      <c r="GPS1" s="2"/>
      <c r="GPT1" s="2"/>
      <c r="GPU1" s="2"/>
      <c r="GPV1" s="2"/>
      <c r="GPW1" s="2"/>
      <c r="GPX1" s="2"/>
      <c r="GPY1" s="2"/>
      <c r="GPZ1" s="2"/>
      <c r="GQA1" s="2"/>
      <c r="GQB1" s="2"/>
      <c r="GQC1" s="2"/>
      <c r="GQD1" s="2"/>
      <c r="GQE1" s="2"/>
      <c r="GQF1" s="2"/>
      <c r="GQG1" s="2"/>
      <c r="GQH1" s="2"/>
      <c r="GQI1" s="2"/>
      <c r="GQJ1" s="2"/>
      <c r="GQK1" s="2"/>
      <c r="GQL1" s="2"/>
      <c r="GQM1" s="2"/>
      <c r="GQN1" s="2"/>
      <c r="GQO1" s="2"/>
      <c r="GQP1" s="2"/>
      <c r="GQQ1" s="2"/>
      <c r="GQR1" s="2"/>
      <c r="GQS1" s="2"/>
      <c r="GQT1" s="2"/>
      <c r="GQU1" s="2"/>
      <c r="GQV1" s="2"/>
      <c r="GQW1" s="2"/>
      <c r="GQX1" s="2"/>
      <c r="GQY1" s="2"/>
      <c r="GQZ1" s="2"/>
      <c r="GRA1" s="2"/>
      <c r="GRB1" s="2"/>
      <c r="GRC1" s="2"/>
      <c r="GRD1" s="2"/>
      <c r="GRE1" s="2"/>
      <c r="GRF1" s="2"/>
      <c r="GRG1" s="2"/>
      <c r="GRH1" s="2"/>
      <c r="GRI1" s="2"/>
      <c r="GRJ1" s="2"/>
      <c r="GRK1" s="2"/>
      <c r="GRL1" s="2"/>
      <c r="GRM1" s="2"/>
      <c r="GRN1" s="2"/>
      <c r="GRO1" s="2"/>
      <c r="GRP1" s="2"/>
      <c r="GRQ1" s="2"/>
      <c r="GRR1" s="2"/>
      <c r="GRS1" s="2"/>
      <c r="GRT1" s="2"/>
      <c r="GRU1" s="2"/>
      <c r="GRV1" s="2"/>
      <c r="GRW1" s="2"/>
      <c r="GRX1" s="2"/>
      <c r="GRY1" s="2"/>
      <c r="GRZ1" s="2"/>
      <c r="GSA1" s="2"/>
      <c r="GSB1" s="2"/>
      <c r="GSC1" s="2"/>
      <c r="GSD1" s="2"/>
      <c r="GSE1" s="2"/>
      <c r="GSF1" s="2"/>
      <c r="GSG1" s="2"/>
      <c r="GSH1" s="2"/>
      <c r="GSI1" s="2"/>
      <c r="GSJ1" s="2"/>
      <c r="GSK1" s="2"/>
      <c r="GSL1" s="2"/>
      <c r="GSM1" s="2"/>
      <c r="GSN1" s="2"/>
      <c r="GSO1" s="2"/>
      <c r="GSP1" s="2"/>
      <c r="GSQ1" s="2"/>
      <c r="GSR1" s="2"/>
      <c r="GSS1" s="2"/>
      <c r="GST1" s="2"/>
      <c r="GSU1" s="2"/>
      <c r="GSV1" s="2"/>
      <c r="GSW1" s="2"/>
      <c r="GSX1" s="2"/>
      <c r="GSY1" s="2"/>
      <c r="GSZ1" s="2"/>
      <c r="GTA1" s="2"/>
      <c r="GTB1" s="2"/>
      <c r="GTC1" s="2"/>
      <c r="GTD1" s="2"/>
      <c r="GTE1" s="2"/>
      <c r="GTF1" s="2"/>
      <c r="GTG1" s="2"/>
      <c r="GTH1" s="2"/>
      <c r="GTI1" s="2"/>
      <c r="GTJ1" s="2"/>
      <c r="GTK1" s="2"/>
      <c r="GTL1" s="2"/>
      <c r="GTM1" s="2"/>
      <c r="GTN1" s="2"/>
      <c r="GTO1" s="2"/>
      <c r="GTP1" s="2"/>
      <c r="GTQ1" s="2"/>
      <c r="GTR1" s="2"/>
      <c r="GTS1" s="2"/>
      <c r="GTT1" s="2"/>
      <c r="GTU1" s="2"/>
      <c r="GTV1" s="2"/>
      <c r="GTW1" s="2"/>
      <c r="GTX1" s="2"/>
      <c r="GTY1" s="2"/>
      <c r="GTZ1" s="2"/>
      <c r="GUA1" s="2"/>
      <c r="GUB1" s="2"/>
      <c r="GUC1" s="2"/>
      <c r="GUD1" s="2"/>
      <c r="GUE1" s="2"/>
      <c r="GUF1" s="2"/>
      <c r="GUG1" s="2"/>
      <c r="GUH1" s="2"/>
      <c r="GUI1" s="2"/>
      <c r="GUJ1" s="2"/>
      <c r="GUK1" s="2"/>
      <c r="GUL1" s="2"/>
      <c r="GUM1" s="2"/>
      <c r="GUN1" s="2"/>
      <c r="GUO1" s="2"/>
      <c r="GUP1" s="2"/>
      <c r="GUQ1" s="2"/>
      <c r="GUR1" s="2"/>
      <c r="GUS1" s="2"/>
      <c r="GUT1" s="2"/>
      <c r="GUU1" s="2"/>
      <c r="GUV1" s="2"/>
      <c r="GUW1" s="2"/>
      <c r="GUX1" s="2"/>
      <c r="GUY1" s="2"/>
      <c r="GUZ1" s="2"/>
      <c r="GVA1" s="2"/>
      <c r="GVB1" s="2"/>
      <c r="GVC1" s="2"/>
      <c r="GVD1" s="2"/>
      <c r="GVE1" s="2"/>
      <c r="GVF1" s="2"/>
      <c r="GVG1" s="2"/>
      <c r="GVH1" s="2"/>
      <c r="GVI1" s="2"/>
      <c r="GVJ1" s="2"/>
      <c r="GVK1" s="2"/>
      <c r="GVL1" s="2"/>
      <c r="GVM1" s="2"/>
      <c r="GVN1" s="2"/>
      <c r="GVO1" s="2"/>
      <c r="GVP1" s="2"/>
      <c r="GVQ1" s="2"/>
      <c r="GVR1" s="2"/>
      <c r="GVS1" s="2"/>
      <c r="GVT1" s="2"/>
      <c r="GVU1" s="2"/>
      <c r="GVV1" s="2"/>
      <c r="GVW1" s="2"/>
      <c r="GVX1" s="2"/>
      <c r="GVY1" s="2"/>
      <c r="GVZ1" s="2"/>
      <c r="GWA1" s="2"/>
      <c r="GWB1" s="2"/>
      <c r="GWC1" s="2"/>
      <c r="GWD1" s="2"/>
      <c r="GWE1" s="2"/>
      <c r="GWF1" s="2"/>
      <c r="GWG1" s="2"/>
      <c r="GWH1" s="2"/>
      <c r="GWI1" s="2"/>
      <c r="GWJ1" s="2"/>
      <c r="GWK1" s="2"/>
      <c r="GWL1" s="2"/>
      <c r="GWM1" s="2"/>
      <c r="GWN1" s="2"/>
      <c r="GWO1" s="2"/>
      <c r="GWP1" s="2"/>
      <c r="GWQ1" s="2"/>
      <c r="GWR1" s="2"/>
      <c r="GWS1" s="2"/>
      <c r="GWT1" s="2"/>
      <c r="GWU1" s="2"/>
      <c r="GWV1" s="2"/>
      <c r="GWW1" s="2"/>
      <c r="GWX1" s="2"/>
      <c r="GWY1" s="2"/>
      <c r="GWZ1" s="2"/>
      <c r="GXA1" s="2"/>
      <c r="GXB1" s="2"/>
      <c r="GXC1" s="2"/>
      <c r="GXD1" s="2"/>
      <c r="GXE1" s="2"/>
      <c r="GXF1" s="2"/>
      <c r="GXG1" s="2"/>
      <c r="GXH1" s="2"/>
      <c r="GXI1" s="2"/>
      <c r="GXJ1" s="2"/>
      <c r="GXK1" s="2"/>
      <c r="GXL1" s="2"/>
      <c r="GXM1" s="2"/>
      <c r="GXN1" s="2"/>
      <c r="GXO1" s="2"/>
      <c r="GXP1" s="2"/>
      <c r="GXQ1" s="2"/>
      <c r="GXR1" s="2"/>
      <c r="GXS1" s="2"/>
      <c r="GXT1" s="2"/>
      <c r="GXU1" s="2"/>
      <c r="GXV1" s="2"/>
      <c r="GXW1" s="2"/>
      <c r="GXX1" s="2"/>
      <c r="GXY1" s="2"/>
      <c r="GXZ1" s="2"/>
      <c r="GYA1" s="2"/>
      <c r="GYB1" s="2"/>
      <c r="GYC1" s="2"/>
      <c r="GYD1" s="2"/>
      <c r="GYE1" s="2"/>
      <c r="GYF1" s="2"/>
      <c r="GYG1" s="2"/>
      <c r="GYH1" s="2"/>
      <c r="GYI1" s="2"/>
      <c r="GYJ1" s="2"/>
      <c r="GYK1" s="2"/>
      <c r="GYL1" s="2"/>
      <c r="GYM1" s="2"/>
      <c r="GYN1" s="2"/>
      <c r="GYO1" s="2"/>
      <c r="GYP1" s="2"/>
      <c r="GYQ1" s="2"/>
      <c r="GYR1" s="2"/>
      <c r="GYS1" s="2"/>
      <c r="GYT1" s="2"/>
      <c r="GYU1" s="2"/>
      <c r="GYV1" s="2"/>
      <c r="GYW1" s="2"/>
      <c r="GYX1" s="2"/>
      <c r="GYY1" s="2"/>
      <c r="GYZ1" s="2"/>
      <c r="GZA1" s="2"/>
      <c r="GZB1" s="2"/>
      <c r="GZC1" s="2"/>
      <c r="GZD1" s="2"/>
      <c r="GZE1" s="2"/>
      <c r="GZF1" s="2"/>
      <c r="GZG1" s="2"/>
      <c r="GZH1" s="2"/>
      <c r="GZI1" s="2"/>
      <c r="GZJ1" s="2"/>
      <c r="GZK1" s="2"/>
      <c r="GZL1" s="2"/>
      <c r="GZM1" s="2"/>
      <c r="GZN1" s="2"/>
      <c r="GZO1" s="2"/>
      <c r="GZP1" s="2"/>
      <c r="GZQ1" s="2"/>
      <c r="GZR1" s="2"/>
      <c r="GZS1" s="2"/>
      <c r="GZT1" s="2"/>
      <c r="GZU1" s="2"/>
      <c r="GZV1" s="2"/>
      <c r="GZW1" s="2"/>
      <c r="GZX1" s="2"/>
      <c r="GZY1" s="2"/>
      <c r="GZZ1" s="2"/>
      <c r="HAA1" s="2"/>
      <c r="HAB1" s="2"/>
      <c r="HAC1" s="2"/>
      <c r="HAD1" s="2"/>
      <c r="HAE1" s="2"/>
      <c r="HAF1" s="2"/>
      <c r="HAG1" s="2"/>
      <c r="HAH1" s="2"/>
      <c r="HAI1" s="2"/>
      <c r="HAJ1" s="2"/>
      <c r="HAK1" s="2"/>
      <c r="HAL1" s="2"/>
      <c r="HAM1" s="2"/>
      <c r="HAN1" s="2"/>
      <c r="HAO1" s="2"/>
      <c r="HAP1" s="2"/>
      <c r="HAQ1" s="2"/>
      <c r="HAR1" s="2"/>
      <c r="HAS1" s="2"/>
      <c r="HAT1" s="2"/>
      <c r="HAU1" s="2"/>
      <c r="HAV1" s="2"/>
      <c r="HAW1" s="2"/>
      <c r="HAX1" s="2"/>
      <c r="HAY1" s="2"/>
      <c r="HAZ1" s="2"/>
      <c r="HBA1" s="2"/>
      <c r="HBB1" s="2"/>
      <c r="HBC1" s="2"/>
      <c r="HBD1" s="2"/>
      <c r="HBE1" s="2"/>
      <c r="HBF1" s="2"/>
      <c r="HBG1" s="2"/>
      <c r="HBH1" s="2"/>
      <c r="HBI1" s="2"/>
      <c r="HBJ1" s="2"/>
      <c r="HBK1" s="2"/>
      <c r="HBL1" s="2"/>
      <c r="HBM1" s="2"/>
      <c r="HBN1" s="2"/>
      <c r="HBO1" s="2"/>
      <c r="HBP1" s="2"/>
      <c r="HBQ1" s="2"/>
      <c r="HBR1" s="2"/>
      <c r="HBS1" s="2"/>
      <c r="HBT1" s="2"/>
      <c r="HBU1" s="2"/>
      <c r="HBV1" s="2"/>
      <c r="HBW1" s="2"/>
      <c r="HBX1" s="2"/>
      <c r="HBY1" s="2"/>
      <c r="HBZ1" s="2"/>
      <c r="HCA1" s="2"/>
      <c r="HCB1" s="2"/>
      <c r="HCC1" s="2"/>
      <c r="HCD1" s="2"/>
      <c r="HCE1" s="2"/>
      <c r="HCF1" s="2"/>
      <c r="HCG1" s="2"/>
      <c r="HCH1" s="2"/>
      <c r="HCI1" s="2"/>
      <c r="HCJ1" s="2"/>
      <c r="HCK1" s="2"/>
      <c r="HCL1" s="2"/>
      <c r="HCM1" s="2"/>
      <c r="HCN1" s="2"/>
      <c r="HCO1" s="2"/>
      <c r="HCP1" s="2"/>
      <c r="HCQ1" s="2"/>
      <c r="HCR1" s="2"/>
      <c r="HCS1" s="2"/>
      <c r="HCT1" s="2"/>
      <c r="HCU1" s="2"/>
      <c r="HCV1" s="2"/>
      <c r="HCW1" s="2"/>
      <c r="HCX1" s="2"/>
      <c r="HCY1" s="2"/>
      <c r="HCZ1" s="2"/>
      <c r="HDA1" s="2"/>
      <c r="HDB1" s="2"/>
      <c r="HDC1" s="2"/>
      <c r="HDD1" s="2"/>
      <c r="HDE1" s="2"/>
      <c r="HDF1" s="2"/>
      <c r="HDG1" s="2"/>
      <c r="HDH1" s="2"/>
      <c r="HDI1" s="2"/>
      <c r="HDJ1" s="2"/>
      <c r="HDK1" s="2"/>
      <c r="HDL1" s="2"/>
      <c r="HDM1" s="2"/>
      <c r="HDN1" s="2"/>
      <c r="HDO1" s="2"/>
      <c r="HDP1" s="2"/>
      <c r="HDQ1" s="2"/>
      <c r="HDR1" s="2"/>
      <c r="HDS1" s="2"/>
      <c r="HDT1" s="2"/>
      <c r="HDU1" s="2"/>
      <c r="HDV1" s="2"/>
      <c r="HDW1" s="2"/>
      <c r="HDX1" s="2"/>
      <c r="HDY1" s="2"/>
      <c r="HDZ1" s="2"/>
      <c r="HEA1" s="2"/>
      <c r="HEB1" s="2"/>
      <c r="HEC1" s="2"/>
      <c r="HED1" s="2"/>
      <c r="HEE1" s="2"/>
      <c r="HEF1" s="2"/>
      <c r="HEG1" s="2"/>
      <c r="HEH1" s="2"/>
      <c r="HEI1" s="2"/>
      <c r="HEJ1" s="2"/>
      <c r="HEK1" s="2"/>
      <c r="HEL1" s="2"/>
      <c r="HEM1" s="2"/>
      <c r="HEN1" s="2"/>
      <c r="HEO1" s="2"/>
      <c r="HEP1" s="2"/>
      <c r="HEQ1" s="2"/>
      <c r="HER1" s="2"/>
      <c r="HES1" s="2"/>
      <c r="HET1" s="2"/>
      <c r="HEU1" s="2"/>
      <c r="HEV1" s="2"/>
      <c r="HEW1" s="2"/>
      <c r="HEX1" s="2"/>
      <c r="HEY1" s="2"/>
      <c r="HEZ1" s="2"/>
      <c r="HFA1" s="2"/>
      <c r="HFB1" s="2"/>
      <c r="HFC1" s="2"/>
      <c r="HFD1" s="2"/>
      <c r="HFE1" s="2"/>
      <c r="HFF1" s="2"/>
      <c r="HFG1" s="2"/>
      <c r="HFH1" s="2"/>
      <c r="HFI1" s="2"/>
      <c r="HFJ1" s="2"/>
      <c r="HFK1" s="2"/>
      <c r="HFL1" s="2"/>
      <c r="HFM1" s="2"/>
      <c r="HFN1" s="2"/>
      <c r="HFO1" s="2"/>
      <c r="HFP1" s="2"/>
      <c r="HFQ1" s="2"/>
      <c r="HFR1" s="2"/>
      <c r="HFS1" s="2"/>
      <c r="HFT1" s="2"/>
      <c r="HFU1" s="2"/>
      <c r="HFV1" s="2"/>
      <c r="HFW1" s="2"/>
      <c r="HFX1" s="2"/>
      <c r="HFY1" s="2"/>
      <c r="HFZ1" s="2"/>
      <c r="HGA1" s="2"/>
      <c r="HGB1" s="2"/>
      <c r="HGC1" s="2"/>
      <c r="HGD1" s="2"/>
      <c r="HGE1" s="2"/>
      <c r="HGF1" s="2"/>
      <c r="HGG1" s="2"/>
      <c r="HGH1" s="2"/>
      <c r="HGI1" s="2"/>
      <c r="HGJ1" s="2"/>
      <c r="HGK1" s="2"/>
      <c r="HGL1" s="2"/>
      <c r="HGM1" s="2"/>
      <c r="HGN1" s="2"/>
      <c r="HGO1" s="2"/>
      <c r="HGP1" s="2"/>
      <c r="HGQ1" s="2"/>
      <c r="HGR1" s="2"/>
      <c r="HGS1" s="2"/>
      <c r="HGT1" s="2"/>
      <c r="HGU1" s="2"/>
      <c r="HGV1" s="2"/>
      <c r="HGW1" s="2"/>
      <c r="HGX1" s="2"/>
      <c r="HGY1" s="2"/>
      <c r="HGZ1" s="2"/>
      <c r="HHA1" s="2"/>
      <c r="HHB1" s="2"/>
      <c r="HHC1" s="2"/>
      <c r="HHD1" s="2"/>
      <c r="HHE1" s="2"/>
      <c r="HHF1" s="2"/>
      <c r="HHG1" s="2"/>
      <c r="HHH1" s="2"/>
      <c r="HHI1" s="2"/>
      <c r="HHJ1" s="2"/>
      <c r="HHK1" s="2"/>
      <c r="HHL1" s="2"/>
      <c r="HHM1" s="2"/>
      <c r="HHN1" s="2"/>
      <c r="HHO1" s="2"/>
      <c r="HHP1" s="2"/>
      <c r="HHQ1" s="2"/>
      <c r="HHR1" s="2"/>
      <c r="HHS1" s="2"/>
      <c r="HHT1" s="2"/>
      <c r="HHU1" s="2"/>
      <c r="HHV1" s="2"/>
      <c r="HHW1" s="2"/>
      <c r="HHX1" s="2"/>
      <c r="HHY1" s="2"/>
      <c r="HHZ1" s="2"/>
      <c r="HIA1" s="2"/>
      <c r="HIB1" s="2"/>
      <c r="HIC1" s="2"/>
      <c r="HID1" s="2"/>
      <c r="HIE1" s="2"/>
      <c r="HIF1" s="2"/>
      <c r="HIG1" s="2"/>
      <c r="HIH1" s="2"/>
      <c r="HII1" s="2"/>
      <c r="HIJ1" s="2"/>
      <c r="HIK1" s="2"/>
      <c r="HIL1" s="2"/>
      <c r="HIM1" s="2"/>
      <c r="HIN1" s="2"/>
      <c r="HIO1" s="2"/>
      <c r="HIP1" s="2"/>
      <c r="HIQ1" s="2"/>
      <c r="HIR1" s="2"/>
      <c r="HIS1" s="2"/>
      <c r="HIT1" s="2"/>
      <c r="HIU1" s="2"/>
      <c r="HIV1" s="2"/>
      <c r="HIW1" s="2"/>
      <c r="HIX1" s="2"/>
      <c r="HIY1" s="2"/>
      <c r="HIZ1" s="2"/>
      <c r="HJA1" s="2"/>
      <c r="HJB1" s="2"/>
      <c r="HJC1" s="2"/>
      <c r="HJD1" s="2"/>
      <c r="HJE1" s="2"/>
      <c r="HJF1" s="2"/>
      <c r="HJG1" s="2"/>
      <c r="HJH1" s="2"/>
      <c r="HJI1" s="2"/>
      <c r="HJJ1" s="2"/>
      <c r="HJK1" s="2"/>
      <c r="HJL1" s="2"/>
      <c r="HJM1" s="2"/>
      <c r="HJN1" s="2"/>
      <c r="HJO1" s="2"/>
      <c r="HJP1" s="2"/>
      <c r="HJQ1" s="2"/>
      <c r="HJR1" s="2"/>
      <c r="HJS1" s="2"/>
      <c r="HJT1" s="2"/>
      <c r="HJU1" s="2"/>
      <c r="HJV1" s="2"/>
      <c r="HJW1" s="2"/>
      <c r="HJX1" s="2"/>
      <c r="HJY1" s="2"/>
      <c r="HJZ1" s="2"/>
      <c r="HKA1" s="2"/>
      <c r="HKB1" s="2"/>
      <c r="HKC1" s="2"/>
      <c r="HKD1" s="2"/>
      <c r="HKE1" s="2"/>
      <c r="HKF1" s="2"/>
      <c r="HKG1" s="2"/>
      <c r="HKH1" s="2"/>
      <c r="HKI1" s="2"/>
      <c r="HKJ1" s="2"/>
      <c r="HKK1" s="2"/>
      <c r="HKL1" s="2"/>
      <c r="HKM1" s="2"/>
      <c r="HKN1" s="2"/>
      <c r="HKO1" s="2"/>
      <c r="HKP1" s="2"/>
      <c r="HKQ1" s="2"/>
      <c r="HKR1" s="2"/>
      <c r="HKS1" s="2"/>
      <c r="HKT1" s="2"/>
      <c r="HKU1" s="2"/>
      <c r="HKV1" s="2"/>
      <c r="HKW1" s="2"/>
      <c r="HKX1" s="2"/>
      <c r="HKY1" s="2"/>
      <c r="HKZ1" s="2"/>
      <c r="HLA1" s="2"/>
      <c r="HLB1" s="2"/>
      <c r="HLC1" s="2"/>
      <c r="HLD1" s="2"/>
      <c r="HLE1" s="2"/>
      <c r="HLF1" s="2"/>
      <c r="HLG1" s="2"/>
      <c r="HLH1" s="2"/>
      <c r="HLI1" s="2"/>
      <c r="HLJ1" s="2"/>
      <c r="HLK1" s="2"/>
      <c r="HLL1" s="2"/>
      <c r="HLM1" s="2"/>
      <c r="HLN1" s="2"/>
      <c r="HLO1" s="2"/>
      <c r="HLP1" s="2"/>
      <c r="HLQ1" s="2"/>
      <c r="HLR1" s="2"/>
      <c r="HLS1" s="2"/>
      <c r="HLT1" s="2"/>
      <c r="HLU1" s="2"/>
      <c r="HLV1" s="2"/>
      <c r="HLW1" s="2"/>
      <c r="HLX1" s="2"/>
      <c r="HLY1" s="2"/>
      <c r="HLZ1" s="2"/>
      <c r="HMA1" s="2"/>
      <c r="HMB1" s="2"/>
      <c r="HMC1" s="2"/>
      <c r="HMD1" s="2"/>
      <c r="HME1" s="2"/>
      <c r="HMF1" s="2"/>
      <c r="HMG1" s="2"/>
      <c r="HMH1" s="2"/>
      <c r="HMI1" s="2"/>
      <c r="HMJ1" s="2"/>
      <c r="HMK1" s="2"/>
      <c r="HML1" s="2"/>
      <c r="HMM1" s="2"/>
      <c r="HMN1" s="2"/>
      <c r="HMO1" s="2"/>
      <c r="HMP1" s="2"/>
      <c r="HMQ1" s="2"/>
      <c r="HMR1" s="2"/>
      <c r="HMS1" s="2"/>
      <c r="HMT1" s="2"/>
      <c r="HMU1" s="2"/>
      <c r="HMV1" s="2"/>
      <c r="HMW1" s="2"/>
      <c r="HMX1" s="2"/>
      <c r="HMY1" s="2"/>
      <c r="HMZ1" s="2"/>
      <c r="HNA1" s="2"/>
      <c r="HNB1" s="2"/>
      <c r="HNC1" s="2"/>
      <c r="HND1" s="2"/>
      <c r="HNE1" s="2"/>
      <c r="HNF1" s="2"/>
      <c r="HNG1" s="2"/>
      <c r="HNH1" s="2"/>
      <c r="HNI1" s="2"/>
      <c r="HNJ1" s="2"/>
      <c r="HNK1" s="2"/>
      <c r="HNL1" s="2"/>
      <c r="HNM1" s="2"/>
      <c r="HNN1" s="2"/>
      <c r="HNO1" s="2"/>
      <c r="HNP1" s="2"/>
      <c r="HNQ1" s="2"/>
      <c r="HNR1" s="2"/>
      <c r="HNS1" s="2"/>
      <c r="HNT1" s="2"/>
      <c r="HNU1" s="2"/>
      <c r="HNV1" s="2"/>
      <c r="HNW1" s="2"/>
      <c r="HNX1" s="2"/>
      <c r="HNY1" s="2"/>
      <c r="HNZ1" s="2"/>
      <c r="HOA1" s="2"/>
      <c r="HOB1" s="2"/>
      <c r="HOC1" s="2"/>
      <c r="HOD1" s="2"/>
      <c r="HOE1" s="2"/>
      <c r="HOF1" s="2"/>
      <c r="HOG1" s="2"/>
      <c r="HOH1" s="2"/>
      <c r="HOI1" s="2"/>
      <c r="HOJ1" s="2"/>
      <c r="HOK1" s="2"/>
      <c r="HOL1" s="2"/>
      <c r="HOM1" s="2"/>
      <c r="HON1" s="2"/>
      <c r="HOO1" s="2"/>
      <c r="HOP1" s="2"/>
      <c r="HOQ1" s="2"/>
      <c r="HOR1" s="2"/>
      <c r="HOS1" s="2"/>
      <c r="HOT1" s="2"/>
      <c r="HOU1" s="2"/>
      <c r="HOV1" s="2"/>
      <c r="HOW1" s="2"/>
      <c r="HOX1" s="2"/>
      <c r="HOY1" s="2"/>
      <c r="HOZ1" s="2"/>
      <c r="HPA1" s="2"/>
      <c r="HPB1" s="2"/>
      <c r="HPC1" s="2"/>
      <c r="HPD1" s="2"/>
      <c r="HPE1" s="2"/>
      <c r="HPF1" s="2"/>
      <c r="HPG1" s="2"/>
      <c r="HPH1" s="2"/>
      <c r="HPI1" s="2"/>
      <c r="HPJ1" s="2"/>
      <c r="HPK1" s="2"/>
      <c r="HPL1" s="2"/>
      <c r="HPM1" s="2"/>
      <c r="HPN1" s="2"/>
      <c r="HPO1" s="2"/>
      <c r="HPP1" s="2"/>
      <c r="HPQ1" s="2"/>
      <c r="HPR1" s="2"/>
      <c r="HPS1" s="2"/>
      <c r="HPT1" s="2"/>
      <c r="HPU1" s="2"/>
      <c r="HPV1" s="2"/>
      <c r="HPW1" s="2"/>
      <c r="HPX1" s="2"/>
      <c r="HPY1" s="2"/>
      <c r="HPZ1" s="2"/>
      <c r="HQA1" s="2"/>
      <c r="HQB1" s="2"/>
      <c r="HQC1" s="2"/>
      <c r="HQD1" s="2"/>
      <c r="HQE1" s="2"/>
      <c r="HQF1" s="2"/>
      <c r="HQG1" s="2"/>
      <c r="HQH1" s="2"/>
      <c r="HQI1" s="2"/>
      <c r="HQJ1" s="2"/>
      <c r="HQK1" s="2"/>
      <c r="HQL1" s="2"/>
      <c r="HQM1" s="2"/>
      <c r="HQN1" s="2"/>
      <c r="HQO1" s="2"/>
      <c r="HQP1" s="2"/>
      <c r="HQQ1" s="2"/>
      <c r="HQR1" s="2"/>
      <c r="HQS1" s="2"/>
      <c r="HQT1" s="2"/>
      <c r="HQU1" s="2"/>
      <c r="HQV1" s="2"/>
      <c r="HQW1" s="2"/>
      <c r="HQX1" s="2"/>
      <c r="HQY1" s="2"/>
      <c r="HQZ1" s="2"/>
      <c r="HRA1" s="2"/>
      <c r="HRB1" s="2"/>
      <c r="HRC1" s="2"/>
      <c r="HRD1" s="2"/>
      <c r="HRE1" s="2"/>
      <c r="HRF1" s="2"/>
      <c r="HRG1" s="2"/>
      <c r="HRH1" s="2"/>
      <c r="HRI1" s="2"/>
      <c r="HRJ1" s="2"/>
      <c r="HRK1" s="2"/>
      <c r="HRL1" s="2"/>
      <c r="HRM1" s="2"/>
      <c r="HRN1" s="2"/>
      <c r="HRO1" s="2"/>
      <c r="HRP1" s="2"/>
      <c r="HRQ1" s="2"/>
      <c r="HRR1" s="2"/>
      <c r="HRS1" s="2"/>
      <c r="HRT1" s="2"/>
      <c r="HRU1" s="2"/>
      <c r="HRV1" s="2"/>
      <c r="HRW1" s="2"/>
      <c r="HRX1" s="2"/>
      <c r="HRY1" s="2"/>
      <c r="HRZ1" s="2"/>
      <c r="HSA1" s="2"/>
      <c r="HSB1" s="2"/>
      <c r="HSC1" s="2"/>
      <c r="HSD1" s="2"/>
      <c r="HSE1" s="2"/>
      <c r="HSF1" s="2"/>
      <c r="HSG1" s="2"/>
      <c r="HSH1" s="2"/>
      <c r="HSI1" s="2"/>
      <c r="HSJ1" s="2"/>
      <c r="HSK1" s="2"/>
      <c r="HSL1" s="2"/>
      <c r="HSM1" s="2"/>
      <c r="HSN1" s="2"/>
      <c r="HSO1" s="2"/>
      <c r="HSP1" s="2"/>
      <c r="HSQ1" s="2"/>
      <c r="HSR1" s="2"/>
      <c r="HSS1" s="2"/>
      <c r="HST1" s="2"/>
      <c r="HSU1" s="2"/>
      <c r="HSV1" s="2"/>
      <c r="HSW1" s="2"/>
      <c r="HSX1" s="2"/>
      <c r="HSY1" s="2"/>
      <c r="HSZ1" s="2"/>
      <c r="HTA1" s="2"/>
      <c r="HTB1" s="2"/>
      <c r="HTC1" s="2"/>
      <c r="HTD1" s="2"/>
      <c r="HTE1" s="2"/>
      <c r="HTF1" s="2"/>
      <c r="HTG1" s="2"/>
      <c r="HTH1" s="2"/>
      <c r="HTI1" s="2"/>
      <c r="HTJ1" s="2"/>
      <c r="HTK1" s="2"/>
      <c r="HTL1" s="2"/>
      <c r="HTM1" s="2"/>
      <c r="HTN1" s="2"/>
      <c r="HTO1" s="2"/>
      <c r="HTP1" s="2"/>
      <c r="HTQ1" s="2"/>
      <c r="HTR1" s="2"/>
      <c r="HTS1" s="2"/>
      <c r="HTT1" s="2"/>
      <c r="HTU1" s="2"/>
      <c r="HTV1" s="2"/>
      <c r="HTW1" s="2"/>
      <c r="HTX1" s="2"/>
      <c r="HTY1" s="2"/>
      <c r="HTZ1" s="2"/>
      <c r="HUA1" s="2"/>
      <c r="HUB1" s="2"/>
      <c r="HUC1" s="2"/>
      <c r="HUD1" s="2"/>
      <c r="HUE1" s="2"/>
      <c r="HUF1" s="2"/>
      <c r="HUG1" s="2"/>
      <c r="HUH1" s="2"/>
      <c r="HUI1" s="2"/>
      <c r="HUJ1" s="2"/>
      <c r="HUK1" s="2"/>
      <c r="HUL1" s="2"/>
      <c r="HUM1" s="2"/>
      <c r="HUN1" s="2"/>
      <c r="HUO1" s="2"/>
      <c r="HUP1" s="2"/>
      <c r="HUQ1" s="2"/>
      <c r="HUR1" s="2"/>
      <c r="HUS1" s="2"/>
      <c r="HUT1" s="2"/>
      <c r="HUU1" s="2"/>
      <c r="HUV1" s="2"/>
      <c r="HUW1" s="2"/>
      <c r="HUX1" s="2"/>
      <c r="HUY1" s="2"/>
      <c r="HUZ1" s="2"/>
      <c r="HVA1" s="2"/>
      <c r="HVB1" s="2"/>
      <c r="HVC1" s="2"/>
      <c r="HVD1" s="2"/>
      <c r="HVE1" s="2"/>
      <c r="HVF1" s="2"/>
      <c r="HVG1" s="2"/>
      <c r="HVH1" s="2"/>
      <c r="HVI1" s="2"/>
      <c r="HVJ1" s="2"/>
      <c r="HVK1" s="2"/>
      <c r="HVL1" s="2"/>
      <c r="HVM1" s="2"/>
      <c r="HVN1" s="2"/>
      <c r="HVO1" s="2"/>
      <c r="HVP1" s="2"/>
      <c r="HVQ1" s="2"/>
      <c r="HVR1" s="2"/>
      <c r="HVS1" s="2"/>
      <c r="HVT1" s="2"/>
      <c r="HVU1" s="2"/>
      <c r="HVV1" s="2"/>
      <c r="HVW1" s="2"/>
      <c r="HVX1" s="2"/>
      <c r="HVY1" s="2"/>
      <c r="HVZ1" s="2"/>
      <c r="HWA1" s="2"/>
      <c r="HWB1" s="2"/>
      <c r="HWC1" s="2"/>
      <c r="HWD1" s="2"/>
      <c r="HWE1" s="2"/>
      <c r="HWF1" s="2"/>
      <c r="HWG1" s="2"/>
      <c r="HWH1" s="2"/>
      <c r="HWI1" s="2"/>
      <c r="HWJ1" s="2"/>
      <c r="HWK1" s="2"/>
      <c r="HWL1" s="2"/>
      <c r="HWM1" s="2"/>
      <c r="HWN1" s="2"/>
      <c r="HWO1" s="2"/>
      <c r="HWP1" s="2"/>
      <c r="HWQ1" s="2"/>
      <c r="HWR1" s="2"/>
      <c r="HWS1" s="2"/>
      <c r="HWT1" s="2"/>
      <c r="HWU1" s="2"/>
      <c r="HWV1" s="2"/>
      <c r="HWW1" s="2"/>
      <c r="HWX1" s="2"/>
      <c r="HWY1" s="2"/>
      <c r="HWZ1" s="2"/>
      <c r="HXA1" s="2"/>
      <c r="HXB1" s="2"/>
      <c r="HXC1" s="2"/>
      <c r="HXD1" s="2"/>
      <c r="HXE1" s="2"/>
      <c r="HXF1" s="2"/>
      <c r="HXG1" s="2"/>
      <c r="HXH1" s="2"/>
      <c r="HXI1" s="2"/>
      <c r="HXJ1" s="2"/>
      <c r="HXK1" s="2"/>
      <c r="HXL1" s="2"/>
      <c r="HXM1" s="2"/>
      <c r="HXN1" s="2"/>
      <c r="HXO1" s="2"/>
      <c r="HXP1" s="2"/>
      <c r="HXQ1" s="2"/>
      <c r="HXR1" s="2"/>
      <c r="HXS1" s="2"/>
      <c r="HXT1" s="2"/>
      <c r="HXU1" s="2"/>
      <c r="HXV1" s="2"/>
      <c r="HXW1" s="2"/>
      <c r="HXX1" s="2"/>
      <c r="HXY1" s="2"/>
      <c r="HXZ1" s="2"/>
      <c r="HYA1" s="2"/>
      <c r="HYB1" s="2"/>
      <c r="HYC1" s="2"/>
      <c r="HYD1" s="2"/>
      <c r="HYE1" s="2"/>
      <c r="HYF1" s="2"/>
      <c r="HYG1" s="2"/>
      <c r="HYH1" s="2"/>
      <c r="HYI1" s="2"/>
      <c r="HYJ1" s="2"/>
      <c r="HYK1" s="2"/>
      <c r="HYL1" s="2"/>
      <c r="HYM1" s="2"/>
      <c r="HYN1" s="2"/>
      <c r="HYO1" s="2"/>
      <c r="HYP1" s="2"/>
      <c r="HYQ1" s="2"/>
      <c r="HYR1" s="2"/>
      <c r="HYS1" s="2"/>
      <c r="HYT1" s="2"/>
      <c r="HYU1" s="2"/>
      <c r="HYV1" s="2"/>
      <c r="HYW1" s="2"/>
      <c r="HYX1" s="2"/>
      <c r="HYY1" s="2"/>
      <c r="HYZ1" s="2"/>
      <c r="HZA1" s="2"/>
      <c r="HZB1" s="2"/>
      <c r="HZC1" s="2"/>
      <c r="HZD1" s="2"/>
      <c r="HZE1" s="2"/>
      <c r="HZF1" s="2"/>
      <c r="HZG1" s="2"/>
      <c r="HZH1" s="2"/>
      <c r="HZI1" s="2"/>
      <c r="HZJ1" s="2"/>
      <c r="HZK1" s="2"/>
      <c r="HZL1" s="2"/>
      <c r="HZM1" s="2"/>
      <c r="HZN1" s="2"/>
      <c r="HZO1" s="2"/>
      <c r="HZP1" s="2"/>
      <c r="HZQ1" s="2"/>
      <c r="HZR1" s="2"/>
      <c r="HZS1" s="2"/>
      <c r="HZT1" s="2"/>
      <c r="HZU1" s="2"/>
      <c r="HZV1" s="2"/>
      <c r="HZW1" s="2"/>
      <c r="HZX1" s="2"/>
      <c r="HZY1" s="2"/>
      <c r="HZZ1" s="2"/>
      <c r="IAA1" s="2"/>
      <c r="IAB1" s="2"/>
      <c r="IAC1" s="2"/>
      <c r="IAD1" s="2"/>
      <c r="IAE1" s="2"/>
      <c r="IAF1" s="2"/>
      <c r="IAG1" s="2"/>
      <c r="IAH1" s="2"/>
      <c r="IAI1" s="2"/>
      <c r="IAJ1" s="2"/>
      <c r="IAK1" s="2"/>
      <c r="IAL1" s="2"/>
      <c r="IAM1" s="2"/>
      <c r="IAN1" s="2"/>
      <c r="IAO1" s="2"/>
      <c r="IAP1" s="2"/>
      <c r="IAQ1" s="2"/>
      <c r="IAR1" s="2"/>
      <c r="IAS1" s="2"/>
      <c r="IAT1" s="2"/>
      <c r="IAU1" s="2"/>
      <c r="IAV1" s="2"/>
      <c r="IAW1" s="2"/>
      <c r="IAX1" s="2"/>
      <c r="IAY1" s="2"/>
      <c r="IAZ1" s="2"/>
      <c r="IBA1" s="2"/>
      <c r="IBB1" s="2"/>
      <c r="IBC1" s="2"/>
      <c r="IBD1" s="2"/>
      <c r="IBE1" s="2"/>
      <c r="IBF1" s="2"/>
      <c r="IBG1" s="2"/>
      <c r="IBH1" s="2"/>
      <c r="IBI1" s="2"/>
      <c r="IBJ1" s="2"/>
      <c r="IBK1" s="2"/>
      <c r="IBL1" s="2"/>
      <c r="IBM1" s="2"/>
      <c r="IBN1" s="2"/>
      <c r="IBO1" s="2"/>
      <c r="IBP1" s="2"/>
      <c r="IBQ1" s="2"/>
      <c r="IBR1" s="2"/>
      <c r="IBS1" s="2"/>
      <c r="IBT1" s="2"/>
      <c r="IBU1" s="2"/>
      <c r="IBV1" s="2"/>
      <c r="IBW1" s="2"/>
      <c r="IBX1" s="2"/>
      <c r="IBY1" s="2"/>
      <c r="IBZ1" s="2"/>
      <c r="ICA1" s="2"/>
      <c r="ICB1" s="2"/>
      <c r="ICC1" s="2"/>
      <c r="ICD1" s="2"/>
      <c r="ICE1" s="2"/>
      <c r="ICF1" s="2"/>
      <c r="ICG1" s="2"/>
      <c r="ICH1" s="2"/>
      <c r="ICI1" s="2"/>
      <c r="ICJ1" s="2"/>
      <c r="ICK1" s="2"/>
      <c r="ICL1" s="2"/>
      <c r="ICM1" s="2"/>
      <c r="ICN1" s="2"/>
      <c r="ICO1" s="2"/>
      <c r="ICP1" s="2"/>
      <c r="ICQ1" s="2"/>
      <c r="ICR1" s="2"/>
      <c r="ICS1" s="2"/>
      <c r="ICT1" s="2"/>
      <c r="ICU1" s="2"/>
      <c r="ICV1" s="2"/>
      <c r="ICW1" s="2"/>
      <c r="ICX1" s="2"/>
      <c r="ICY1" s="2"/>
      <c r="ICZ1" s="2"/>
      <c r="IDA1" s="2"/>
      <c r="IDB1" s="2"/>
      <c r="IDC1" s="2"/>
      <c r="IDD1" s="2"/>
      <c r="IDE1" s="2"/>
      <c r="IDF1" s="2"/>
      <c r="IDG1" s="2"/>
      <c r="IDH1" s="2"/>
      <c r="IDI1" s="2"/>
      <c r="IDJ1" s="2"/>
      <c r="IDK1" s="2"/>
      <c r="IDL1" s="2"/>
      <c r="IDM1" s="2"/>
      <c r="IDN1" s="2"/>
      <c r="IDO1" s="2"/>
      <c r="IDP1" s="2"/>
      <c r="IDQ1" s="2"/>
      <c r="IDR1" s="2"/>
      <c r="IDS1" s="2"/>
      <c r="IDT1" s="2"/>
      <c r="IDU1" s="2"/>
      <c r="IDV1" s="2"/>
      <c r="IDW1" s="2"/>
      <c r="IDX1" s="2"/>
      <c r="IDY1" s="2"/>
      <c r="IDZ1" s="2"/>
      <c r="IEA1" s="2"/>
      <c r="IEB1" s="2"/>
      <c r="IEC1" s="2"/>
      <c r="IED1" s="2"/>
      <c r="IEE1" s="2"/>
      <c r="IEF1" s="2"/>
      <c r="IEG1" s="2"/>
      <c r="IEH1" s="2"/>
      <c r="IEI1" s="2"/>
      <c r="IEJ1" s="2"/>
      <c r="IEK1" s="2"/>
      <c r="IEL1" s="2"/>
      <c r="IEM1" s="2"/>
      <c r="IEN1" s="2"/>
      <c r="IEO1" s="2"/>
      <c r="IEP1" s="2"/>
      <c r="IEQ1" s="2"/>
      <c r="IER1" s="2"/>
      <c r="IES1" s="2"/>
      <c r="IET1" s="2"/>
      <c r="IEU1" s="2"/>
      <c r="IEV1" s="2"/>
      <c r="IEW1" s="2"/>
      <c r="IEX1" s="2"/>
      <c r="IEY1" s="2"/>
      <c r="IEZ1" s="2"/>
      <c r="IFA1" s="2"/>
      <c r="IFB1" s="2"/>
      <c r="IFC1" s="2"/>
      <c r="IFD1" s="2"/>
      <c r="IFE1" s="2"/>
      <c r="IFF1" s="2"/>
      <c r="IFG1" s="2"/>
      <c r="IFH1" s="2"/>
      <c r="IFI1" s="2"/>
      <c r="IFJ1" s="2"/>
      <c r="IFK1" s="2"/>
      <c r="IFL1" s="2"/>
      <c r="IFM1" s="2"/>
      <c r="IFN1" s="2"/>
      <c r="IFO1" s="2"/>
      <c r="IFP1" s="2"/>
      <c r="IFQ1" s="2"/>
      <c r="IFR1" s="2"/>
      <c r="IFS1" s="2"/>
      <c r="IFT1" s="2"/>
      <c r="IFU1" s="2"/>
      <c r="IFV1" s="2"/>
      <c r="IFW1" s="2"/>
      <c r="IFX1" s="2"/>
      <c r="IFY1" s="2"/>
      <c r="IFZ1" s="2"/>
      <c r="IGA1" s="2"/>
      <c r="IGB1" s="2"/>
      <c r="IGC1" s="2"/>
      <c r="IGD1" s="2"/>
      <c r="IGE1" s="2"/>
      <c r="IGF1" s="2"/>
      <c r="IGG1" s="2"/>
      <c r="IGH1" s="2"/>
      <c r="IGI1" s="2"/>
      <c r="IGJ1" s="2"/>
      <c r="IGK1" s="2"/>
      <c r="IGL1" s="2"/>
      <c r="IGM1" s="2"/>
      <c r="IGN1" s="2"/>
      <c r="IGO1" s="2"/>
      <c r="IGP1" s="2"/>
      <c r="IGQ1" s="2"/>
      <c r="IGR1" s="2"/>
      <c r="IGS1" s="2"/>
      <c r="IGT1" s="2"/>
      <c r="IGU1" s="2"/>
      <c r="IGV1" s="2"/>
      <c r="IGW1" s="2"/>
      <c r="IGX1" s="2"/>
      <c r="IGY1" s="2"/>
      <c r="IGZ1" s="2"/>
      <c r="IHA1" s="2"/>
      <c r="IHB1" s="2"/>
      <c r="IHC1" s="2"/>
      <c r="IHD1" s="2"/>
      <c r="IHE1" s="2"/>
      <c r="IHF1" s="2"/>
      <c r="IHG1" s="2"/>
      <c r="IHH1" s="2"/>
      <c r="IHI1" s="2"/>
      <c r="IHJ1" s="2"/>
      <c r="IHK1" s="2"/>
      <c r="IHL1" s="2"/>
      <c r="IHM1" s="2"/>
      <c r="IHN1" s="2"/>
      <c r="IHO1" s="2"/>
      <c r="IHP1" s="2"/>
      <c r="IHQ1" s="2"/>
      <c r="IHR1" s="2"/>
      <c r="IHS1" s="2"/>
      <c r="IHT1" s="2"/>
      <c r="IHU1" s="2"/>
      <c r="IHV1" s="2"/>
      <c r="IHW1" s="2"/>
      <c r="IHX1" s="2"/>
      <c r="IHY1" s="2"/>
      <c r="IHZ1" s="2"/>
      <c r="IIA1" s="2"/>
      <c r="IIB1" s="2"/>
      <c r="IIC1" s="2"/>
      <c r="IID1" s="2"/>
      <c r="IIE1" s="2"/>
      <c r="IIF1" s="2"/>
      <c r="IIG1" s="2"/>
      <c r="IIH1" s="2"/>
      <c r="III1" s="2"/>
      <c r="IIJ1" s="2"/>
      <c r="IIK1" s="2"/>
      <c r="IIL1" s="2"/>
      <c r="IIM1" s="2"/>
      <c r="IIN1" s="2"/>
      <c r="IIO1" s="2"/>
      <c r="IIP1" s="2"/>
      <c r="IIQ1" s="2"/>
      <c r="IIR1" s="2"/>
      <c r="IIS1" s="2"/>
      <c r="IIT1" s="2"/>
      <c r="IIU1" s="2"/>
      <c r="IIV1" s="2"/>
      <c r="IIW1" s="2"/>
      <c r="IIX1" s="2"/>
      <c r="IIY1" s="2"/>
      <c r="IIZ1" s="2"/>
      <c r="IJA1" s="2"/>
      <c r="IJB1" s="2"/>
      <c r="IJC1" s="2"/>
      <c r="IJD1" s="2"/>
      <c r="IJE1" s="2"/>
      <c r="IJF1" s="2"/>
      <c r="IJG1" s="2"/>
      <c r="IJH1" s="2"/>
      <c r="IJI1" s="2"/>
      <c r="IJJ1" s="2"/>
      <c r="IJK1" s="2"/>
      <c r="IJL1" s="2"/>
      <c r="IJM1" s="2"/>
      <c r="IJN1" s="2"/>
      <c r="IJO1" s="2"/>
      <c r="IJP1" s="2"/>
      <c r="IJQ1" s="2"/>
      <c r="IJR1" s="2"/>
      <c r="IJS1" s="2"/>
      <c r="IJT1" s="2"/>
      <c r="IJU1" s="2"/>
      <c r="IJV1" s="2"/>
      <c r="IJW1" s="2"/>
      <c r="IJX1" s="2"/>
      <c r="IJY1" s="2"/>
      <c r="IJZ1" s="2"/>
      <c r="IKA1" s="2"/>
      <c r="IKB1" s="2"/>
      <c r="IKC1" s="2"/>
      <c r="IKD1" s="2"/>
      <c r="IKE1" s="2"/>
      <c r="IKF1" s="2"/>
      <c r="IKG1" s="2"/>
      <c r="IKH1" s="2"/>
      <c r="IKI1" s="2"/>
      <c r="IKJ1" s="2"/>
      <c r="IKK1" s="2"/>
      <c r="IKL1" s="2"/>
      <c r="IKM1" s="2"/>
      <c r="IKN1" s="2"/>
      <c r="IKO1" s="2"/>
      <c r="IKP1" s="2"/>
      <c r="IKQ1" s="2"/>
      <c r="IKR1" s="2"/>
      <c r="IKS1" s="2"/>
      <c r="IKT1" s="2"/>
      <c r="IKU1" s="2"/>
      <c r="IKV1" s="2"/>
      <c r="IKW1" s="2"/>
      <c r="IKX1" s="2"/>
      <c r="IKY1" s="2"/>
      <c r="IKZ1" s="2"/>
      <c r="ILA1" s="2"/>
      <c r="ILB1" s="2"/>
      <c r="ILC1" s="2"/>
      <c r="ILD1" s="2"/>
      <c r="ILE1" s="2"/>
      <c r="ILF1" s="2"/>
      <c r="ILG1" s="2"/>
      <c r="ILH1" s="2"/>
      <c r="ILI1" s="2"/>
      <c r="ILJ1" s="2"/>
      <c r="ILK1" s="2"/>
      <c r="ILL1" s="2"/>
      <c r="ILM1" s="2"/>
      <c r="ILN1" s="2"/>
      <c r="ILO1" s="2"/>
      <c r="ILP1" s="2"/>
      <c r="ILQ1" s="2"/>
      <c r="ILR1" s="2"/>
      <c r="ILS1" s="2"/>
      <c r="ILT1" s="2"/>
      <c r="ILU1" s="2"/>
      <c r="ILV1" s="2"/>
      <c r="ILW1" s="2"/>
      <c r="ILX1" s="2"/>
      <c r="ILY1" s="2"/>
      <c r="ILZ1" s="2"/>
      <c r="IMA1" s="2"/>
      <c r="IMB1" s="2"/>
      <c r="IMC1" s="2"/>
      <c r="IMD1" s="2"/>
      <c r="IME1" s="2"/>
      <c r="IMF1" s="2"/>
      <c r="IMG1" s="2"/>
      <c r="IMH1" s="2"/>
      <c r="IMI1" s="2"/>
      <c r="IMJ1" s="2"/>
      <c r="IMK1" s="2"/>
      <c r="IML1" s="2"/>
      <c r="IMM1" s="2"/>
      <c r="IMN1" s="2"/>
      <c r="IMO1" s="2"/>
      <c r="IMP1" s="2"/>
      <c r="IMQ1" s="2"/>
      <c r="IMR1" s="2"/>
      <c r="IMS1" s="2"/>
      <c r="IMT1" s="2"/>
      <c r="IMU1" s="2"/>
      <c r="IMV1" s="2"/>
      <c r="IMW1" s="2"/>
      <c r="IMX1" s="2"/>
      <c r="IMY1" s="2"/>
      <c r="IMZ1" s="2"/>
      <c r="INA1" s="2"/>
      <c r="INB1" s="2"/>
      <c r="INC1" s="2"/>
      <c r="IND1" s="2"/>
      <c r="INE1" s="2"/>
      <c r="INF1" s="2"/>
      <c r="ING1" s="2"/>
      <c r="INH1" s="2"/>
      <c r="INI1" s="2"/>
      <c r="INJ1" s="2"/>
      <c r="INK1" s="2"/>
      <c r="INL1" s="2"/>
      <c r="INM1" s="2"/>
      <c r="INN1" s="2"/>
      <c r="INO1" s="2"/>
      <c r="INP1" s="2"/>
      <c r="INQ1" s="2"/>
      <c r="INR1" s="2"/>
      <c r="INS1" s="2"/>
      <c r="INT1" s="2"/>
      <c r="INU1" s="2"/>
      <c r="INV1" s="2"/>
      <c r="INW1" s="2"/>
      <c r="INX1" s="2"/>
      <c r="INY1" s="2"/>
      <c r="INZ1" s="2"/>
      <c r="IOA1" s="2"/>
      <c r="IOB1" s="2"/>
      <c r="IOC1" s="2"/>
      <c r="IOD1" s="2"/>
      <c r="IOE1" s="2"/>
      <c r="IOF1" s="2"/>
      <c r="IOG1" s="2"/>
      <c r="IOH1" s="2"/>
      <c r="IOI1" s="2"/>
      <c r="IOJ1" s="2"/>
      <c r="IOK1" s="2"/>
      <c r="IOL1" s="2"/>
      <c r="IOM1" s="2"/>
      <c r="ION1" s="2"/>
      <c r="IOO1" s="2"/>
      <c r="IOP1" s="2"/>
      <c r="IOQ1" s="2"/>
      <c r="IOR1" s="2"/>
      <c r="IOS1" s="2"/>
      <c r="IOT1" s="2"/>
      <c r="IOU1" s="2"/>
      <c r="IOV1" s="2"/>
      <c r="IOW1" s="2"/>
      <c r="IOX1" s="2"/>
      <c r="IOY1" s="2"/>
      <c r="IOZ1" s="2"/>
      <c r="IPA1" s="2"/>
      <c r="IPB1" s="2"/>
      <c r="IPC1" s="2"/>
      <c r="IPD1" s="2"/>
      <c r="IPE1" s="2"/>
      <c r="IPF1" s="2"/>
      <c r="IPG1" s="2"/>
      <c r="IPH1" s="2"/>
      <c r="IPI1" s="2"/>
      <c r="IPJ1" s="2"/>
      <c r="IPK1" s="2"/>
      <c r="IPL1" s="2"/>
      <c r="IPM1" s="2"/>
      <c r="IPN1" s="2"/>
      <c r="IPO1" s="2"/>
      <c r="IPP1" s="2"/>
      <c r="IPQ1" s="2"/>
      <c r="IPR1" s="2"/>
      <c r="IPS1" s="2"/>
      <c r="IPT1" s="2"/>
      <c r="IPU1" s="2"/>
      <c r="IPV1" s="2"/>
      <c r="IPW1" s="2"/>
      <c r="IPX1" s="2"/>
      <c r="IPY1" s="2"/>
      <c r="IPZ1" s="2"/>
      <c r="IQA1" s="2"/>
      <c r="IQB1" s="2"/>
      <c r="IQC1" s="2"/>
      <c r="IQD1" s="2"/>
      <c r="IQE1" s="2"/>
      <c r="IQF1" s="2"/>
      <c r="IQG1" s="2"/>
      <c r="IQH1" s="2"/>
      <c r="IQI1" s="2"/>
      <c r="IQJ1" s="2"/>
      <c r="IQK1" s="2"/>
      <c r="IQL1" s="2"/>
      <c r="IQM1" s="2"/>
      <c r="IQN1" s="2"/>
      <c r="IQO1" s="2"/>
      <c r="IQP1" s="2"/>
      <c r="IQQ1" s="2"/>
      <c r="IQR1" s="2"/>
      <c r="IQS1" s="2"/>
      <c r="IQT1" s="2"/>
      <c r="IQU1" s="2"/>
      <c r="IQV1" s="2"/>
      <c r="IQW1" s="2"/>
      <c r="IQX1" s="2"/>
      <c r="IQY1" s="2"/>
      <c r="IQZ1" s="2"/>
      <c r="IRA1" s="2"/>
      <c r="IRB1" s="2"/>
      <c r="IRC1" s="2"/>
      <c r="IRD1" s="2"/>
      <c r="IRE1" s="2"/>
      <c r="IRF1" s="2"/>
      <c r="IRG1" s="2"/>
      <c r="IRH1" s="2"/>
      <c r="IRI1" s="2"/>
      <c r="IRJ1" s="2"/>
      <c r="IRK1" s="2"/>
      <c r="IRL1" s="2"/>
      <c r="IRM1" s="2"/>
      <c r="IRN1" s="2"/>
      <c r="IRO1" s="2"/>
      <c r="IRP1" s="2"/>
      <c r="IRQ1" s="2"/>
      <c r="IRR1" s="2"/>
      <c r="IRS1" s="2"/>
      <c r="IRT1" s="2"/>
      <c r="IRU1" s="2"/>
      <c r="IRV1" s="2"/>
      <c r="IRW1" s="2"/>
      <c r="IRX1" s="2"/>
      <c r="IRY1" s="2"/>
      <c r="IRZ1" s="2"/>
      <c r="ISA1" s="2"/>
      <c r="ISB1" s="2"/>
      <c r="ISC1" s="2"/>
      <c r="ISD1" s="2"/>
      <c r="ISE1" s="2"/>
      <c r="ISF1" s="2"/>
      <c r="ISG1" s="2"/>
      <c r="ISH1" s="2"/>
      <c r="ISI1" s="2"/>
      <c r="ISJ1" s="2"/>
      <c r="ISK1" s="2"/>
      <c r="ISL1" s="2"/>
      <c r="ISM1" s="2"/>
      <c r="ISN1" s="2"/>
      <c r="ISO1" s="2"/>
      <c r="ISP1" s="2"/>
      <c r="ISQ1" s="2"/>
      <c r="ISR1" s="2"/>
      <c r="ISS1" s="2"/>
      <c r="IST1" s="2"/>
      <c r="ISU1" s="2"/>
      <c r="ISV1" s="2"/>
      <c r="ISW1" s="2"/>
      <c r="ISX1" s="2"/>
      <c r="ISY1" s="2"/>
      <c r="ISZ1" s="2"/>
      <c r="ITA1" s="2"/>
      <c r="ITB1" s="2"/>
      <c r="ITC1" s="2"/>
      <c r="ITD1" s="2"/>
      <c r="ITE1" s="2"/>
      <c r="ITF1" s="2"/>
      <c r="ITG1" s="2"/>
      <c r="ITH1" s="2"/>
      <c r="ITI1" s="2"/>
      <c r="ITJ1" s="2"/>
      <c r="ITK1" s="2"/>
      <c r="ITL1" s="2"/>
      <c r="ITM1" s="2"/>
      <c r="ITN1" s="2"/>
      <c r="ITO1" s="2"/>
      <c r="ITP1" s="2"/>
      <c r="ITQ1" s="2"/>
      <c r="ITR1" s="2"/>
      <c r="ITS1" s="2"/>
      <c r="ITT1" s="2"/>
      <c r="ITU1" s="2"/>
      <c r="ITV1" s="2"/>
      <c r="ITW1" s="2"/>
      <c r="ITX1" s="2"/>
      <c r="ITY1" s="2"/>
      <c r="ITZ1" s="2"/>
      <c r="IUA1" s="2"/>
      <c r="IUB1" s="2"/>
      <c r="IUC1" s="2"/>
      <c r="IUD1" s="2"/>
      <c r="IUE1" s="2"/>
      <c r="IUF1" s="2"/>
      <c r="IUG1" s="2"/>
      <c r="IUH1" s="2"/>
      <c r="IUI1" s="2"/>
      <c r="IUJ1" s="2"/>
      <c r="IUK1" s="2"/>
      <c r="IUL1" s="2"/>
      <c r="IUM1" s="2"/>
      <c r="IUN1" s="2"/>
      <c r="IUO1" s="2"/>
      <c r="IUP1" s="2"/>
      <c r="IUQ1" s="2"/>
      <c r="IUR1" s="2"/>
      <c r="IUS1" s="2"/>
      <c r="IUT1" s="2"/>
      <c r="IUU1" s="2"/>
      <c r="IUV1" s="2"/>
      <c r="IUW1" s="2"/>
      <c r="IUX1" s="2"/>
      <c r="IUY1" s="2"/>
      <c r="IUZ1" s="2"/>
      <c r="IVA1" s="2"/>
      <c r="IVB1" s="2"/>
      <c r="IVC1" s="2"/>
      <c r="IVD1" s="2"/>
      <c r="IVE1" s="2"/>
      <c r="IVF1" s="2"/>
      <c r="IVG1" s="2"/>
      <c r="IVH1" s="2"/>
      <c r="IVI1" s="2"/>
      <c r="IVJ1" s="2"/>
      <c r="IVK1" s="2"/>
      <c r="IVL1" s="2"/>
      <c r="IVM1" s="2"/>
      <c r="IVN1" s="2"/>
      <c r="IVO1" s="2"/>
      <c r="IVP1" s="2"/>
      <c r="IVQ1" s="2"/>
      <c r="IVR1" s="2"/>
      <c r="IVS1" s="2"/>
      <c r="IVT1" s="2"/>
      <c r="IVU1" s="2"/>
      <c r="IVV1" s="2"/>
      <c r="IVW1" s="2"/>
      <c r="IVX1" s="2"/>
      <c r="IVY1" s="2"/>
      <c r="IVZ1" s="2"/>
      <c r="IWA1" s="2"/>
      <c r="IWB1" s="2"/>
      <c r="IWC1" s="2"/>
      <c r="IWD1" s="2"/>
      <c r="IWE1" s="2"/>
      <c r="IWF1" s="2"/>
      <c r="IWG1" s="2"/>
      <c r="IWH1" s="2"/>
      <c r="IWI1" s="2"/>
      <c r="IWJ1" s="2"/>
      <c r="IWK1" s="2"/>
      <c r="IWL1" s="2"/>
      <c r="IWM1" s="2"/>
      <c r="IWN1" s="2"/>
      <c r="IWO1" s="2"/>
      <c r="IWP1" s="2"/>
      <c r="IWQ1" s="2"/>
      <c r="IWR1" s="2"/>
      <c r="IWS1" s="2"/>
      <c r="IWT1" s="2"/>
      <c r="IWU1" s="2"/>
      <c r="IWV1" s="2"/>
      <c r="IWW1" s="2"/>
      <c r="IWX1" s="2"/>
      <c r="IWY1" s="2"/>
      <c r="IWZ1" s="2"/>
      <c r="IXA1" s="2"/>
      <c r="IXB1" s="2"/>
      <c r="IXC1" s="2"/>
      <c r="IXD1" s="2"/>
      <c r="IXE1" s="2"/>
      <c r="IXF1" s="2"/>
      <c r="IXG1" s="2"/>
      <c r="IXH1" s="2"/>
      <c r="IXI1" s="2"/>
      <c r="IXJ1" s="2"/>
      <c r="IXK1" s="2"/>
      <c r="IXL1" s="2"/>
      <c r="IXM1" s="2"/>
      <c r="IXN1" s="2"/>
      <c r="IXO1" s="2"/>
      <c r="IXP1" s="2"/>
      <c r="IXQ1" s="2"/>
      <c r="IXR1" s="2"/>
      <c r="IXS1" s="2"/>
      <c r="IXT1" s="2"/>
      <c r="IXU1" s="2"/>
      <c r="IXV1" s="2"/>
      <c r="IXW1" s="2"/>
      <c r="IXX1" s="2"/>
      <c r="IXY1" s="2"/>
      <c r="IXZ1" s="2"/>
      <c r="IYA1" s="2"/>
      <c r="IYB1" s="2"/>
      <c r="IYC1" s="2"/>
      <c r="IYD1" s="2"/>
      <c r="IYE1" s="2"/>
      <c r="IYF1" s="2"/>
      <c r="IYG1" s="2"/>
      <c r="IYH1" s="2"/>
      <c r="IYI1" s="2"/>
      <c r="IYJ1" s="2"/>
      <c r="IYK1" s="2"/>
      <c r="IYL1" s="2"/>
      <c r="IYM1" s="2"/>
      <c r="IYN1" s="2"/>
      <c r="IYO1" s="2"/>
      <c r="IYP1" s="2"/>
      <c r="IYQ1" s="2"/>
      <c r="IYR1" s="2"/>
      <c r="IYS1" s="2"/>
      <c r="IYT1" s="2"/>
      <c r="IYU1" s="2"/>
      <c r="IYV1" s="2"/>
      <c r="IYW1" s="2"/>
      <c r="IYX1" s="2"/>
      <c r="IYY1" s="2"/>
      <c r="IYZ1" s="2"/>
      <c r="IZA1" s="2"/>
      <c r="IZB1" s="2"/>
      <c r="IZC1" s="2"/>
      <c r="IZD1" s="2"/>
      <c r="IZE1" s="2"/>
      <c r="IZF1" s="2"/>
      <c r="IZG1" s="2"/>
      <c r="IZH1" s="2"/>
      <c r="IZI1" s="2"/>
      <c r="IZJ1" s="2"/>
      <c r="IZK1" s="2"/>
      <c r="IZL1" s="2"/>
      <c r="IZM1" s="2"/>
      <c r="IZN1" s="2"/>
      <c r="IZO1" s="2"/>
      <c r="IZP1" s="2"/>
      <c r="IZQ1" s="2"/>
      <c r="IZR1" s="2"/>
      <c r="IZS1" s="2"/>
      <c r="IZT1" s="2"/>
      <c r="IZU1" s="2"/>
      <c r="IZV1" s="2"/>
      <c r="IZW1" s="2"/>
      <c r="IZX1" s="2"/>
      <c r="IZY1" s="2"/>
      <c r="IZZ1" s="2"/>
      <c r="JAA1" s="2"/>
      <c r="JAB1" s="2"/>
      <c r="JAC1" s="2"/>
      <c r="JAD1" s="2"/>
      <c r="JAE1" s="2"/>
      <c r="JAF1" s="2"/>
      <c r="JAG1" s="2"/>
      <c r="JAH1" s="2"/>
      <c r="JAI1" s="2"/>
      <c r="JAJ1" s="2"/>
      <c r="JAK1" s="2"/>
      <c r="JAL1" s="2"/>
      <c r="JAM1" s="2"/>
      <c r="JAN1" s="2"/>
      <c r="JAO1" s="2"/>
      <c r="JAP1" s="2"/>
      <c r="JAQ1" s="2"/>
      <c r="JAR1" s="2"/>
      <c r="JAS1" s="2"/>
      <c r="JAT1" s="2"/>
      <c r="JAU1" s="2"/>
      <c r="JAV1" s="2"/>
      <c r="JAW1" s="2"/>
      <c r="JAX1" s="2"/>
      <c r="JAY1" s="2"/>
      <c r="JAZ1" s="2"/>
      <c r="JBA1" s="2"/>
      <c r="JBB1" s="2"/>
      <c r="JBC1" s="2"/>
      <c r="JBD1" s="2"/>
      <c r="JBE1" s="2"/>
      <c r="JBF1" s="2"/>
      <c r="JBG1" s="2"/>
      <c r="JBH1" s="2"/>
      <c r="JBI1" s="2"/>
      <c r="JBJ1" s="2"/>
      <c r="JBK1" s="2"/>
      <c r="JBL1" s="2"/>
      <c r="JBM1" s="2"/>
      <c r="JBN1" s="2"/>
      <c r="JBO1" s="2"/>
      <c r="JBP1" s="2"/>
      <c r="JBQ1" s="2"/>
      <c r="JBR1" s="2"/>
      <c r="JBS1" s="2"/>
      <c r="JBT1" s="2"/>
      <c r="JBU1" s="2"/>
      <c r="JBV1" s="2"/>
      <c r="JBW1" s="2"/>
      <c r="JBX1" s="2"/>
      <c r="JBY1" s="2"/>
      <c r="JBZ1" s="2"/>
      <c r="JCA1" s="2"/>
      <c r="JCB1" s="2"/>
      <c r="JCC1" s="2"/>
      <c r="JCD1" s="2"/>
      <c r="JCE1" s="2"/>
      <c r="JCF1" s="2"/>
      <c r="JCG1" s="2"/>
      <c r="JCH1" s="2"/>
      <c r="JCI1" s="2"/>
      <c r="JCJ1" s="2"/>
      <c r="JCK1" s="2"/>
      <c r="JCL1" s="2"/>
      <c r="JCM1" s="2"/>
      <c r="JCN1" s="2"/>
      <c r="JCO1" s="2"/>
      <c r="JCP1" s="2"/>
      <c r="JCQ1" s="2"/>
      <c r="JCR1" s="2"/>
      <c r="JCS1" s="2"/>
      <c r="JCT1" s="2"/>
      <c r="JCU1" s="2"/>
      <c r="JCV1" s="2"/>
      <c r="JCW1" s="2"/>
      <c r="JCX1" s="2"/>
      <c r="JCY1" s="2"/>
      <c r="JCZ1" s="2"/>
      <c r="JDA1" s="2"/>
      <c r="JDB1" s="2"/>
      <c r="JDC1" s="2"/>
      <c r="JDD1" s="2"/>
      <c r="JDE1" s="2"/>
      <c r="JDF1" s="2"/>
      <c r="JDG1" s="2"/>
      <c r="JDH1" s="2"/>
      <c r="JDI1" s="2"/>
      <c r="JDJ1" s="2"/>
      <c r="JDK1" s="2"/>
      <c r="JDL1" s="2"/>
      <c r="JDM1" s="2"/>
      <c r="JDN1" s="2"/>
      <c r="JDO1" s="2"/>
      <c r="JDP1" s="2"/>
      <c r="JDQ1" s="2"/>
      <c r="JDR1" s="2"/>
      <c r="JDS1" s="2"/>
      <c r="JDT1" s="2"/>
      <c r="JDU1" s="2"/>
      <c r="JDV1" s="2"/>
      <c r="JDW1" s="2"/>
      <c r="JDX1" s="2"/>
      <c r="JDY1" s="2"/>
      <c r="JDZ1" s="2"/>
      <c r="JEA1" s="2"/>
      <c r="JEB1" s="2"/>
      <c r="JEC1" s="2"/>
      <c r="JED1" s="2"/>
      <c r="JEE1" s="2"/>
      <c r="JEF1" s="2"/>
      <c r="JEG1" s="2"/>
      <c r="JEH1" s="2"/>
      <c r="JEI1" s="2"/>
      <c r="JEJ1" s="2"/>
      <c r="JEK1" s="2"/>
      <c r="JEL1" s="2"/>
      <c r="JEM1" s="2"/>
      <c r="JEN1" s="2"/>
      <c r="JEO1" s="2"/>
      <c r="JEP1" s="2"/>
      <c r="JEQ1" s="2"/>
      <c r="JER1" s="2"/>
      <c r="JES1" s="2"/>
      <c r="JET1" s="2"/>
      <c r="JEU1" s="2"/>
      <c r="JEV1" s="2"/>
      <c r="JEW1" s="2"/>
      <c r="JEX1" s="2"/>
      <c r="JEY1" s="2"/>
      <c r="JEZ1" s="2"/>
      <c r="JFA1" s="2"/>
      <c r="JFB1" s="2"/>
      <c r="JFC1" s="2"/>
      <c r="JFD1" s="2"/>
      <c r="JFE1" s="2"/>
      <c r="JFF1" s="2"/>
      <c r="JFG1" s="2"/>
      <c r="JFH1" s="2"/>
      <c r="JFI1" s="2"/>
      <c r="JFJ1" s="2"/>
      <c r="JFK1" s="2"/>
      <c r="JFL1" s="2"/>
      <c r="JFM1" s="2"/>
      <c r="JFN1" s="2"/>
      <c r="JFO1" s="2"/>
      <c r="JFP1" s="2"/>
      <c r="JFQ1" s="2"/>
      <c r="JFR1" s="2"/>
      <c r="JFS1" s="2"/>
      <c r="JFT1" s="2"/>
      <c r="JFU1" s="2"/>
      <c r="JFV1" s="2"/>
      <c r="JFW1" s="2"/>
      <c r="JFX1" s="2"/>
      <c r="JFY1" s="2"/>
      <c r="JFZ1" s="2"/>
      <c r="JGA1" s="2"/>
      <c r="JGB1" s="2"/>
      <c r="JGC1" s="2"/>
      <c r="JGD1" s="2"/>
      <c r="JGE1" s="2"/>
      <c r="JGF1" s="2"/>
      <c r="JGG1" s="2"/>
      <c r="JGH1" s="2"/>
      <c r="JGI1" s="2"/>
      <c r="JGJ1" s="2"/>
      <c r="JGK1" s="2"/>
      <c r="JGL1" s="2"/>
      <c r="JGM1" s="2"/>
      <c r="JGN1" s="2"/>
      <c r="JGO1" s="2"/>
      <c r="JGP1" s="2"/>
      <c r="JGQ1" s="2"/>
      <c r="JGR1" s="2"/>
      <c r="JGS1" s="2"/>
      <c r="JGT1" s="2"/>
      <c r="JGU1" s="2"/>
      <c r="JGV1" s="2"/>
      <c r="JGW1" s="2"/>
      <c r="JGX1" s="2"/>
      <c r="JGY1" s="2"/>
      <c r="JGZ1" s="2"/>
      <c r="JHA1" s="2"/>
      <c r="JHB1" s="2"/>
      <c r="JHC1" s="2"/>
      <c r="JHD1" s="2"/>
      <c r="JHE1" s="2"/>
      <c r="JHF1" s="2"/>
      <c r="JHG1" s="2"/>
      <c r="JHH1" s="2"/>
      <c r="JHI1" s="2"/>
      <c r="JHJ1" s="2"/>
      <c r="JHK1" s="2"/>
      <c r="JHL1" s="2"/>
      <c r="JHM1" s="2"/>
      <c r="JHN1" s="2"/>
      <c r="JHO1" s="2"/>
      <c r="JHP1" s="2"/>
      <c r="JHQ1" s="2"/>
      <c r="JHR1" s="2"/>
      <c r="JHS1" s="2"/>
      <c r="JHT1" s="2"/>
      <c r="JHU1" s="2"/>
      <c r="JHV1" s="2"/>
      <c r="JHW1" s="2"/>
      <c r="JHX1" s="2"/>
      <c r="JHY1" s="2"/>
      <c r="JHZ1" s="2"/>
      <c r="JIA1" s="2"/>
      <c r="JIB1" s="2"/>
      <c r="JIC1" s="2"/>
      <c r="JID1" s="2"/>
      <c r="JIE1" s="2"/>
      <c r="JIF1" s="2"/>
      <c r="JIG1" s="2"/>
      <c r="JIH1" s="2"/>
      <c r="JII1" s="2"/>
      <c r="JIJ1" s="2"/>
      <c r="JIK1" s="2"/>
      <c r="JIL1" s="2"/>
      <c r="JIM1" s="2"/>
      <c r="JIN1" s="2"/>
      <c r="JIO1" s="2"/>
      <c r="JIP1" s="2"/>
      <c r="JIQ1" s="2"/>
      <c r="JIR1" s="2"/>
      <c r="JIS1" s="2"/>
      <c r="JIT1" s="2"/>
      <c r="JIU1" s="2"/>
      <c r="JIV1" s="2"/>
      <c r="JIW1" s="2"/>
      <c r="JIX1" s="2"/>
      <c r="JIY1" s="2"/>
      <c r="JIZ1" s="2"/>
      <c r="JJA1" s="2"/>
      <c r="JJB1" s="2"/>
      <c r="JJC1" s="2"/>
      <c r="JJD1" s="2"/>
      <c r="JJE1" s="2"/>
      <c r="JJF1" s="2"/>
      <c r="JJG1" s="2"/>
      <c r="JJH1" s="2"/>
      <c r="JJI1" s="2"/>
      <c r="JJJ1" s="2"/>
      <c r="JJK1" s="2"/>
      <c r="JJL1" s="2"/>
      <c r="JJM1" s="2"/>
      <c r="JJN1" s="2"/>
      <c r="JJO1" s="2"/>
      <c r="JJP1" s="2"/>
      <c r="JJQ1" s="2"/>
      <c r="JJR1" s="2"/>
      <c r="JJS1" s="2"/>
      <c r="JJT1" s="2"/>
      <c r="JJU1" s="2"/>
      <c r="JJV1" s="2"/>
      <c r="JJW1" s="2"/>
      <c r="JJX1" s="2"/>
      <c r="JJY1" s="2"/>
      <c r="JJZ1" s="2"/>
      <c r="JKA1" s="2"/>
      <c r="JKB1" s="2"/>
      <c r="JKC1" s="2"/>
      <c r="JKD1" s="2"/>
      <c r="JKE1" s="2"/>
      <c r="JKF1" s="2"/>
      <c r="JKG1" s="2"/>
      <c r="JKH1" s="2"/>
      <c r="JKI1" s="2"/>
      <c r="JKJ1" s="2"/>
      <c r="JKK1" s="2"/>
      <c r="JKL1" s="2"/>
      <c r="JKM1" s="2"/>
      <c r="JKN1" s="2"/>
      <c r="JKO1" s="2"/>
      <c r="JKP1" s="2"/>
      <c r="JKQ1" s="2"/>
      <c r="JKR1" s="2"/>
      <c r="JKS1" s="2"/>
      <c r="JKT1" s="2"/>
      <c r="JKU1" s="2"/>
      <c r="JKV1" s="2"/>
      <c r="JKW1" s="2"/>
      <c r="JKX1" s="2"/>
      <c r="JKY1" s="2"/>
      <c r="JKZ1" s="2"/>
      <c r="JLA1" s="2"/>
      <c r="JLB1" s="2"/>
      <c r="JLC1" s="2"/>
      <c r="JLD1" s="2"/>
      <c r="JLE1" s="2"/>
      <c r="JLF1" s="2"/>
      <c r="JLG1" s="2"/>
      <c r="JLH1" s="2"/>
      <c r="JLI1" s="2"/>
      <c r="JLJ1" s="2"/>
      <c r="JLK1" s="2"/>
      <c r="JLL1" s="2"/>
      <c r="JLM1" s="2"/>
      <c r="JLN1" s="2"/>
      <c r="JLO1" s="2"/>
      <c r="JLP1" s="2"/>
      <c r="JLQ1" s="2"/>
      <c r="JLR1" s="2"/>
      <c r="JLS1" s="2"/>
      <c r="JLT1" s="2"/>
      <c r="JLU1" s="2"/>
      <c r="JLV1" s="2"/>
      <c r="JLW1" s="2"/>
      <c r="JLX1" s="2"/>
      <c r="JLY1" s="2"/>
      <c r="JLZ1" s="2"/>
      <c r="JMA1" s="2"/>
      <c r="JMB1" s="2"/>
      <c r="JMC1" s="2"/>
      <c r="JMD1" s="2"/>
      <c r="JME1" s="2"/>
      <c r="JMF1" s="2"/>
      <c r="JMG1" s="2"/>
      <c r="JMH1" s="2"/>
      <c r="JMI1" s="2"/>
      <c r="JMJ1" s="2"/>
      <c r="JMK1" s="2"/>
      <c r="JML1" s="2"/>
      <c r="JMM1" s="2"/>
      <c r="JMN1" s="2"/>
      <c r="JMO1" s="2"/>
      <c r="JMP1" s="2"/>
      <c r="JMQ1" s="2"/>
      <c r="JMR1" s="2"/>
      <c r="JMS1" s="2"/>
      <c r="JMT1" s="2"/>
      <c r="JMU1" s="2"/>
      <c r="JMV1" s="2"/>
      <c r="JMW1" s="2"/>
      <c r="JMX1" s="2"/>
      <c r="JMY1" s="2"/>
      <c r="JMZ1" s="2"/>
      <c r="JNA1" s="2"/>
      <c r="JNB1" s="2"/>
      <c r="JNC1" s="2"/>
      <c r="JND1" s="2"/>
      <c r="JNE1" s="2"/>
      <c r="JNF1" s="2"/>
      <c r="JNG1" s="2"/>
      <c r="JNH1" s="2"/>
      <c r="JNI1" s="2"/>
      <c r="JNJ1" s="2"/>
      <c r="JNK1" s="2"/>
      <c r="JNL1" s="2"/>
      <c r="JNM1" s="2"/>
      <c r="JNN1" s="2"/>
      <c r="JNO1" s="2"/>
      <c r="JNP1" s="2"/>
      <c r="JNQ1" s="2"/>
      <c r="JNR1" s="2"/>
      <c r="JNS1" s="2"/>
      <c r="JNT1" s="2"/>
      <c r="JNU1" s="2"/>
      <c r="JNV1" s="2"/>
      <c r="JNW1" s="2"/>
      <c r="JNX1" s="2"/>
      <c r="JNY1" s="2"/>
      <c r="JNZ1" s="2"/>
      <c r="JOA1" s="2"/>
      <c r="JOB1" s="2"/>
      <c r="JOC1" s="2"/>
      <c r="JOD1" s="2"/>
      <c r="JOE1" s="2"/>
      <c r="JOF1" s="2"/>
      <c r="JOG1" s="2"/>
      <c r="JOH1" s="2"/>
      <c r="JOI1" s="2"/>
      <c r="JOJ1" s="2"/>
      <c r="JOK1" s="2"/>
      <c r="JOL1" s="2"/>
      <c r="JOM1" s="2"/>
      <c r="JON1" s="2"/>
      <c r="JOO1" s="2"/>
      <c r="JOP1" s="2"/>
      <c r="JOQ1" s="2"/>
      <c r="JOR1" s="2"/>
      <c r="JOS1" s="2"/>
      <c r="JOT1" s="2"/>
      <c r="JOU1" s="2"/>
      <c r="JOV1" s="2"/>
      <c r="JOW1" s="2"/>
      <c r="JOX1" s="2"/>
      <c r="JOY1" s="2"/>
      <c r="JOZ1" s="2"/>
      <c r="JPA1" s="2"/>
      <c r="JPB1" s="2"/>
      <c r="JPC1" s="2"/>
      <c r="JPD1" s="2"/>
      <c r="JPE1" s="2"/>
      <c r="JPF1" s="2"/>
      <c r="JPG1" s="2"/>
      <c r="JPH1" s="2"/>
      <c r="JPI1" s="2"/>
      <c r="JPJ1" s="2"/>
      <c r="JPK1" s="2"/>
      <c r="JPL1" s="2"/>
      <c r="JPM1" s="2"/>
      <c r="JPN1" s="2"/>
      <c r="JPO1" s="2"/>
      <c r="JPP1" s="2"/>
      <c r="JPQ1" s="2"/>
      <c r="JPR1" s="2"/>
      <c r="JPS1" s="2"/>
      <c r="JPT1" s="2"/>
      <c r="JPU1" s="2"/>
      <c r="JPV1" s="2"/>
      <c r="JPW1" s="2"/>
      <c r="JPX1" s="2"/>
      <c r="JPY1" s="2"/>
      <c r="JPZ1" s="2"/>
      <c r="JQA1" s="2"/>
      <c r="JQB1" s="2"/>
      <c r="JQC1" s="2"/>
      <c r="JQD1" s="2"/>
      <c r="JQE1" s="2"/>
      <c r="JQF1" s="2"/>
      <c r="JQG1" s="2"/>
      <c r="JQH1" s="2"/>
      <c r="JQI1" s="2"/>
      <c r="JQJ1" s="2"/>
      <c r="JQK1" s="2"/>
      <c r="JQL1" s="2"/>
      <c r="JQM1" s="2"/>
      <c r="JQN1" s="2"/>
      <c r="JQO1" s="2"/>
      <c r="JQP1" s="2"/>
      <c r="JQQ1" s="2"/>
      <c r="JQR1" s="2"/>
      <c r="JQS1" s="2"/>
      <c r="JQT1" s="2"/>
      <c r="JQU1" s="2"/>
      <c r="JQV1" s="2"/>
      <c r="JQW1" s="2"/>
      <c r="JQX1" s="2"/>
      <c r="JQY1" s="2"/>
      <c r="JQZ1" s="2"/>
      <c r="JRA1" s="2"/>
      <c r="JRB1" s="2"/>
      <c r="JRC1" s="2"/>
      <c r="JRD1" s="2"/>
      <c r="JRE1" s="2"/>
      <c r="JRF1" s="2"/>
      <c r="JRG1" s="2"/>
      <c r="JRH1" s="2"/>
      <c r="JRI1" s="2"/>
      <c r="JRJ1" s="2"/>
      <c r="JRK1" s="2"/>
      <c r="JRL1" s="2"/>
      <c r="JRM1" s="2"/>
      <c r="JRN1" s="2"/>
      <c r="JRO1" s="2"/>
      <c r="JRP1" s="2"/>
      <c r="JRQ1" s="2"/>
      <c r="JRR1" s="2"/>
      <c r="JRS1" s="2"/>
      <c r="JRT1" s="2"/>
      <c r="JRU1" s="2"/>
      <c r="JRV1" s="2"/>
      <c r="JRW1" s="2"/>
      <c r="JRX1" s="2"/>
      <c r="JRY1" s="2"/>
      <c r="JRZ1" s="2"/>
      <c r="JSA1" s="2"/>
      <c r="JSB1" s="2"/>
      <c r="JSC1" s="2"/>
      <c r="JSD1" s="2"/>
      <c r="JSE1" s="2"/>
      <c r="JSF1" s="2"/>
      <c r="JSG1" s="2"/>
      <c r="JSH1" s="2"/>
      <c r="JSI1" s="2"/>
      <c r="JSJ1" s="2"/>
      <c r="JSK1" s="2"/>
      <c r="JSL1" s="2"/>
      <c r="JSM1" s="2"/>
      <c r="JSN1" s="2"/>
      <c r="JSO1" s="2"/>
      <c r="JSP1" s="2"/>
      <c r="JSQ1" s="2"/>
      <c r="JSR1" s="2"/>
      <c r="JSS1" s="2"/>
      <c r="JST1" s="2"/>
      <c r="JSU1" s="2"/>
      <c r="JSV1" s="2"/>
      <c r="JSW1" s="2"/>
      <c r="JSX1" s="2"/>
      <c r="JSY1" s="2"/>
      <c r="JSZ1" s="2"/>
      <c r="JTA1" s="2"/>
      <c r="JTB1" s="2"/>
      <c r="JTC1" s="2"/>
      <c r="JTD1" s="2"/>
      <c r="JTE1" s="2"/>
      <c r="JTF1" s="2"/>
      <c r="JTG1" s="2"/>
      <c r="JTH1" s="2"/>
      <c r="JTI1" s="2"/>
      <c r="JTJ1" s="2"/>
      <c r="JTK1" s="2"/>
      <c r="JTL1" s="2"/>
      <c r="JTM1" s="2"/>
      <c r="JTN1" s="2"/>
      <c r="JTO1" s="2"/>
      <c r="JTP1" s="2"/>
      <c r="JTQ1" s="2"/>
      <c r="JTR1" s="2"/>
      <c r="JTS1" s="2"/>
      <c r="JTT1" s="2"/>
      <c r="JTU1" s="2"/>
      <c r="JTV1" s="2"/>
      <c r="JTW1" s="2"/>
      <c r="JTX1" s="2"/>
      <c r="JTY1" s="2"/>
      <c r="JTZ1" s="2"/>
      <c r="JUA1" s="2"/>
      <c r="JUB1" s="2"/>
      <c r="JUC1" s="2"/>
      <c r="JUD1" s="2"/>
      <c r="JUE1" s="2"/>
      <c r="JUF1" s="2"/>
      <c r="JUG1" s="2"/>
      <c r="JUH1" s="2"/>
      <c r="JUI1" s="2"/>
      <c r="JUJ1" s="2"/>
      <c r="JUK1" s="2"/>
      <c r="JUL1" s="2"/>
      <c r="JUM1" s="2"/>
      <c r="JUN1" s="2"/>
      <c r="JUO1" s="2"/>
      <c r="JUP1" s="2"/>
      <c r="JUQ1" s="2"/>
      <c r="JUR1" s="2"/>
      <c r="JUS1" s="2"/>
      <c r="JUT1" s="2"/>
      <c r="JUU1" s="2"/>
      <c r="JUV1" s="2"/>
      <c r="JUW1" s="2"/>
      <c r="JUX1" s="2"/>
      <c r="JUY1" s="2"/>
      <c r="JUZ1" s="2"/>
      <c r="JVA1" s="2"/>
      <c r="JVB1" s="2"/>
      <c r="JVC1" s="2"/>
      <c r="JVD1" s="2"/>
      <c r="JVE1" s="2"/>
      <c r="JVF1" s="2"/>
      <c r="JVG1" s="2"/>
      <c r="JVH1" s="2"/>
      <c r="JVI1" s="2"/>
      <c r="JVJ1" s="2"/>
      <c r="JVK1" s="2"/>
      <c r="JVL1" s="2"/>
      <c r="JVM1" s="2"/>
      <c r="JVN1" s="2"/>
      <c r="JVO1" s="2"/>
      <c r="JVP1" s="2"/>
      <c r="JVQ1" s="2"/>
      <c r="JVR1" s="2"/>
      <c r="JVS1" s="2"/>
      <c r="JVT1" s="2"/>
      <c r="JVU1" s="2"/>
      <c r="JVV1" s="2"/>
      <c r="JVW1" s="2"/>
      <c r="JVX1" s="2"/>
      <c r="JVY1" s="2"/>
      <c r="JVZ1" s="2"/>
      <c r="JWA1" s="2"/>
      <c r="JWB1" s="2"/>
      <c r="JWC1" s="2"/>
      <c r="JWD1" s="2"/>
      <c r="JWE1" s="2"/>
      <c r="JWF1" s="2"/>
      <c r="JWG1" s="2"/>
      <c r="JWH1" s="2"/>
      <c r="JWI1" s="2"/>
      <c r="JWJ1" s="2"/>
      <c r="JWK1" s="2"/>
      <c r="JWL1" s="2"/>
      <c r="JWM1" s="2"/>
      <c r="JWN1" s="2"/>
      <c r="JWO1" s="2"/>
      <c r="JWP1" s="2"/>
      <c r="JWQ1" s="2"/>
      <c r="JWR1" s="2"/>
      <c r="JWS1" s="2"/>
      <c r="JWT1" s="2"/>
      <c r="JWU1" s="2"/>
      <c r="JWV1" s="2"/>
      <c r="JWW1" s="2"/>
      <c r="JWX1" s="2"/>
      <c r="JWY1" s="2"/>
      <c r="JWZ1" s="2"/>
      <c r="JXA1" s="2"/>
      <c r="JXB1" s="2"/>
      <c r="JXC1" s="2"/>
      <c r="JXD1" s="2"/>
      <c r="JXE1" s="2"/>
      <c r="JXF1" s="2"/>
      <c r="JXG1" s="2"/>
      <c r="JXH1" s="2"/>
      <c r="JXI1" s="2"/>
      <c r="JXJ1" s="2"/>
      <c r="JXK1" s="2"/>
      <c r="JXL1" s="2"/>
      <c r="JXM1" s="2"/>
      <c r="JXN1" s="2"/>
      <c r="JXO1" s="2"/>
      <c r="JXP1" s="2"/>
      <c r="JXQ1" s="2"/>
      <c r="JXR1" s="2"/>
      <c r="JXS1" s="2"/>
      <c r="JXT1" s="2"/>
      <c r="JXU1" s="2"/>
      <c r="JXV1" s="2"/>
      <c r="JXW1" s="2"/>
      <c r="JXX1" s="2"/>
      <c r="JXY1" s="2"/>
      <c r="JXZ1" s="2"/>
      <c r="JYA1" s="2"/>
      <c r="JYB1" s="2"/>
      <c r="JYC1" s="2"/>
      <c r="JYD1" s="2"/>
      <c r="JYE1" s="2"/>
      <c r="JYF1" s="2"/>
      <c r="JYG1" s="2"/>
      <c r="JYH1" s="2"/>
      <c r="JYI1" s="2"/>
      <c r="JYJ1" s="2"/>
      <c r="JYK1" s="2"/>
      <c r="JYL1" s="2"/>
      <c r="JYM1" s="2"/>
      <c r="JYN1" s="2"/>
      <c r="JYO1" s="2"/>
      <c r="JYP1" s="2"/>
      <c r="JYQ1" s="2"/>
      <c r="JYR1" s="2"/>
      <c r="JYS1" s="2"/>
      <c r="JYT1" s="2"/>
      <c r="JYU1" s="2"/>
      <c r="JYV1" s="2"/>
      <c r="JYW1" s="2"/>
      <c r="JYX1" s="2"/>
      <c r="JYY1" s="2"/>
      <c r="JYZ1" s="2"/>
      <c r="JZA1" s="2"/>
      <c r="JZB1" s="2"/>
      <c r="JZC1" s="2"/>
      <c r="JZD1" s="2"/>
      <c r="JZE1" s="2"/>
      <c r="JZF1" s="2"/>
      <c r="JZG1" s="2"/>
      <c r="JZH1" s="2"/>
      <c r="JZI1" s="2"/>
      <c r="JZJ1" s="2"/>
      <c r="JZK1" s="2"/>
      <c r="JZL1" s="2"/>
      <c r="JZM1" s="2"/>
      <c r="JZN1" s="2"/>
      <c r="JZO1" s="2"/>
      <c r="JZP1" s="2"/>
      <c r="JZQ1" s="2"/>
      <c r="JZR1" s="2"/>
      <c r="JZS1" s="2"/>
      <c r="JZT1" s="2"/>
      <c r="JZU1" s="2"/>
      <c r="JZV1" s="2"/>
      <c r="JZW1" s="2"/>
      <c r="JZX1" s="2"/>
      <c r="JZY1" s="2"/>
      <c r="JZZ1" s="2"/>
      <c r="KAA1" s="2"/>
      <c r="KAB1" s="2"/>
      <c r="KAC1" s="2"/>
      <c r="KAD1" s="2"/>
      <c r="KAE1" s="2"/>
      <c r="KAF1" s="2"/>
      <c r="KAG1" s="2"/>
      <c r="KAH1" s="2"/>
      <c r="KAI1" s="2"/>
      <c r="KAJ1" s="2"/>
      <c r="KAK1" s="2"/>
      <c r="KAL1" s="2"/>
      <c r="KAM1" s="2"/>
      <c r="KAN1" s="2"/>
      <c r="KAO1" s="2"/>
      <c r="KAP1" s="2"/>
      <c r="KAQ1" s="2"/>
      <c r="KAR1" s="2"/>
      <c r="KAS1" s="2"/>
      <c r="KAT1" s="2"/>
      <c r="KAU1" s="2"/>
      <c r="KAV1" s="2"/>
      <c r="KAW1" s="2"/>
      <c r="KAX1" s="2"/>
      <c r="KAY1" s="2"/>
      <c r="KAZ1" s="2"/>
      <c r="KBA1" s="2"/>
      <c r="KBB1" s="2"/>
      <c r="KBC1" s="2"/>
      <c r="KBD1" s="2"/>
      <c r="KBE1" s="2"/>
      <c r="KBF1" s="2"/>
      <c r="KBG1" s="2"/>
      <c r="KBH1" s="2"/>
      <c r="KBI1" s="2"/>
      <c r="KBJ1" s="2"/>
      <c r="KBK1" s="2"/>
      <c r="KBL1" s="2"/>
      <c r="KBM1" s="2"/>
      <c r="KBN1" s="2"/>
      <c r="KBO1" s="2"/>
      <c r="KBP1" s="2"/>
      <c r="KBQ1" s="2"/>
      <c r="KBR1" s="2"/>
      <c r="KBS1" s="2"/>
      <c r="KBT1" s="2"/>
      <c r="KBU1" s="2"/>
      <c r="KBV1" s="2"/>
      <c r="KBW1" s="2"/>
      <c r="KBX1" s="2"/>
      <c r="KBY1" s="2"/>
      <c r="KBZ1" s="2"/>
      <c r="KCA1" s="2"/>
      <c r="KCB1" s="2"/>
      <c r="KCC1" s="2"/>
      <c r="KCD1" s="2"/>
      <c r="KCE1" s="2"/>
      <c r="KCF1" s="2"/>
      <c r="KCG1" s="2"/>
      <c r="KCH1" s="2"/>
      <c r="KCI1" s="2"/>
      <c r="KCJ1" s="2"/>
      <c r="KCK1" s="2"/>
      <c r="KCL1" s="2"/>
      <c r="KCM1" s="2"/>
      <c r="KCN1" s="2"/>
      <c r="KCO1" s="2"/>
      <c r="KCP1" s="2"/>
      <c r="KCQ1" s="2"/>
      <c r="KCR1" s="2"/>
      <c r="KCS1" s="2"/>
      <c r="KCT1" s="2"/>
      <c r="KCU1" s="2"/>
      <c r="KCV1" s="2"/>
      <c r="KCW1" s="2"/>
      <c r="KCX1" s="2"/>
      <c r="KCY1" s="2"/>
      <c r="KCZ1" s="2"/>
      <c r="KDA1" s="2"/>
      <c r="KDB1" s="2"/>
      <c r="KDC1" s="2"/>
      <c r="KDD1" s="2"/>
      <c r="KDE1" s="2"/>
      <c r="KDF1" s="2"/>
      <c r="KDG1" s="2"/>
      <c r="KDH1" s="2"/>
      <c r="KDI1" s="2"/>
      <c r="KDJ1" s="2"/>
      <c r="KDK1" s="2"/>
      <c r="KDL1" s="2"/>
      <c r="KDM1" s="2"/>
      <c r="KDN1" s="2"/>
      <c r="KDO1" s="2"/>
      <c r="KDP1" s="2"/>
      <c r="KDQ1" s="2"/>
      <c r="KDR1" s="2"/>
      <c r="KDS1" s="2"/>
      <c r="KDT1" s="2"/>
      <c r="KDU1" s="2"/>
      <c r="KDV1" s="2"/>
      <c r="KDW1" s="2"/>
      <c r="KDX1" s="2"/>
      <c r="KDY1" s="2"/>
      <c r="KDZ1" s="2"/>
      <c r="KEA1" s="2"/>
      <c r="KEB1" s="2"/>
      <c r="KEC1" s="2"/>
      <c r="KED1" s="2"/>
      <c r="KEE1" s="2"/>
      <c r="KEF1" s="2"/>
      <c r="KEG1" s="2"/>
      <c r="KEH1" s="2"/>
      <c r="KEI1" s="2"/>
      <c r="KEJ1" s="2"/>
      <c r="KEK1" s="2"/>
      <c r="KEL1" s="2"/>
      <c r="KEM1" s="2"/>
      <c r="KEN1" s="2"/>
      <c r="KEO1" s="2"/>
      <c r="KEP1" s="2"/>
      <c r="KEQ1" s="2"/>
      <c r="KER1" s="2"/>
      <c r="KES1" s="2"/>
      <c r="KET1" s="2"/>
      <c r="KEU1" s="2"/>
      <c r="KEV1" s="2"/>
      <c r="KEW1" s="2"/>
      <c r="KEX1" s="2"/>
      <c r="KEY1" s="2"/>
      <c r="KEZ1" s="2"/>
      <c r="KFA1" s="2"/>
      <c r="KFB1" s="2"/>
      <c r="KFC1" s="2"/>
      <c r="KFD1" s="2"/>
      <c r="KFE1" s="2"/>
      <c r="KFF1" s="2"/>
      <c r="KFG1" s="2"/>
      <c r="KFH1" s="2"/>
      <c r="KFI1" s="2"/>
      <c r="KFJ1" s="2"/>
      <c r="KFK1" s="2"/>
      <c r="KFL1" s="2"/>
      <c r="KFM1" s="2"/>
      <c r="KFN1" s="2"/>
      <c r="KFO1" s="2"/>
      <c r="KFP1" s="2"/>
      <c r="KFQ1" s="2"/>
      <c r="KFR1" s="2"/>
      <c r="KFS1" s="2"/>
      <c r="KFT1" s="2"/>
      <c r="KFU1" s="2"/>
      <c r="KFV1" s="2"/>
      <c r="KFW1" s="2"/>
      <c r="KFX1" s="2"/>
      <c r="KFY1" s="2"/>
      <c r="KFZ1" s="2"/>
      <c r="KGA1" s="2"/>
      <c r="KGB1" s="2"/>
      <c r="KGC1" s="2"/>
      <c r="KGD1" s="2"/>
      <c r="KGE1" s="2"/>
      <c r="KGF1" s="2"/>
      <c r="KGG1" s="2"/>
      <c r="KGH1" s="2"/>
      <c r="KGI1" s="2"/>
      <c r="KGJ1" s="2"/>
      <c r="KGK1" s="2"/>
      <c r="KGL1" s="2"/>
      <c r="KGM1" s="2"/>
      <c r="KGN1" s="2"/>
      <c r="KGO1" s="2"/>
      <c r="KGP1" s="2"/>
      <c r="KGQ1" s="2"/>
      <c r="KGR1" s="2"/>
      <c r="KGS1" s="2"/>
      <c r="KGT1" s="2"/>
      <c r="KGU1" s="2"/>
      <c r="KGV1" s="2"/>
      <c r="KGW1" s="2"/>
      <c r="KGX1" s="2"/>
      <c r="KGY1" s="2"/>
      <c r="KGZ1" s="2"/>
      <c r="KHA1" s="2"/>
      <c r="KHB1" s="2"/>
      <c r="KHC1" s="2"/>
      <c r="KHD1" s="2"/>
      <c r="KHE1" s="2"/>
      <c r="KHF1" s="2"/>
      <c r="KHG1" s="2"/>
      <c r="KHH1" s="2"/>
      <c r="KHI1" s="2"/>
      <c r="KHJ1" s="2"/>
      <c r="KHK1" s="2"/>
      <c r="KHL1" s="2"/>
      <c r="KHM1" s="2"/>
      <c r="KHN1" s="2"/>
      <c r="KHO1" s="2"/>
      <c r="KHP1" s="2"/>
      <c r="KHQ1" s="2"/>
      <c r="KHR1" s="2"/>
      <c r="KHS1" s="2"/>
      <c r="KHT1" s="2"/>
      <c r="KHU1" s="2"/>
      <c r="KHV1" s="2"/>
      <c r="KHW1" s="2"/>
      <c r="KHX1" s="2"/>
      <c r="KHY1" s="2"/>
      <c r="KHZ1" s="2"/>
      <c r="KIA1" s="2"/>
      <c r="KIB1" s="2"/>
      <c r="KIC1" s="2"/>
      <c r="KID1" s="2"/>
      <c r="KIE1" s="2"/>
      <c r="KIF1" s="2"/>
      <c r="KIG1" s="2"/>
      <c r="KIH1" s="2"/>
      <c r="KII1" s="2"/>
      <c r="KIJ1" s="2"/>
      <c r="KIK1" s="2"/>
      <c r="KIL1" s="2"/>
      <c r="KIM1" s="2"/>
      <c r="KIN1" s="2"/>
      <c r="KIO1" s="2"/>
      <c r="KIP1" s="2"/>
      <c r="KIQ1" s="2"/>
      <c r="KIR1" s="2"/>
      <c r="KIS1" s="2"/>
      <c r="KIT1" s="2"/>
      <c r="KIU1" s="2"/>
      <c r="KIV1" s="2"/>
      <c r="KIW1" s="2"/>
      <c r="KIX1" s="2"/>
      <c r="KIY1" s="2"/>
      <c r="KIZ1" s="2"/>
      <c r="KJA1" s="2"/>
      <c r="KJB1" s="2"/>
      <c r="KJC1" s="2"/>
      <c r="KJD1" s="2"/>
      <c r="KJE1" s="2"/>
      <c r="KJF1" s="2"/>
      <c r="KJG1" s="2"/>
      <c r="KJH1" s="2"/>
      <c r="KJI1" s="2"/>
      <c r="KJJ1" s="2"/>
      <c r="KJK1" s="2"/>
      <c r="KJL1" s="2"/>
      <c r="KJM1" s="2"/>
      <c r="KJN1" s="2"/>
      <c r="KJO1" s="2"/>
      <c r="KJP1" s="2"/>
      <c r="KJQ1" s="2"/>
      <c r="KJR1" s="2"/>
      <c r="KJS1" s="2"/>
      <c r="KJT1" s="2"/>
      <c r="KJU1" s="2"/>
      <c r="KJV1" s="2"/>
      <c r="KJW1" s="2"/>
      <c r="KJX1" s="2"/>
      <c r="KJY1" s="2"/>
      <c r="KJZ1" s="2"/>
      <c r="KKA1" s="2"/>
      <c r="KKB1" s="2"/>
      <c r="KKC1" s="2"/>
      <c r="KKD1" s="2"/>
      <c r="KKE1" s="2"/>
      <c r="KKF1" s="2"/>
      <c r="KKG1" s="2"/>
      <c r="KKH1" s="2"/>
      <c r="KKI1" s="2"/>
      <c r="KKJ1" s="2"/>
      <c r="KKK1" s="2"/>
      <c r="KKL1" s="2"/>
      <c r="KKM1" s="2"/>
      <c r="KKN1" s="2"/>
      <c r="KKO1" s="2"/>
      <c r="KKP1" s="2"/>
      <c r="KKQ1" s="2"/>
      <c r="KKR1" s="2"/>
      <c r="KKS1" s="2"/>
      <c r="KKT1" s="2"/>
      <c r="KKU1" s="2"/>
      <c r="KKV1" s="2"/>
      <c r="KKW1" s="2"/>
      <c r="KKX1" s="2"/>
      <c r="KKY1" s="2"/>
      <c r="KKZ1" s="2"/>
      <c r="KLA1" s="2"/>
      <c r="KLB1" s="2"/>
      <c r="KLC1" s="2"/>
      <c r="KLD1" s="2"/>
      <c r="KLE1" s="2"/>
      <c r="KLF1" s="2"/>
      <c r="KLG1" s="2"/>
      <c r="KLH1" s="2"/>
      <c r="KLI1" s="2"/>
      <c r="KLJ1" s="2"/>
      <c r="KLK1" s="2"/>
      <c r="KLL1" s="2"/>
      <c r="KLM1" s="2"/>
      <c r="KLN1" s="2"/>
      <c r="KLO1" s="2"/>
      <c r="KLP1" s="2"/>
      <c r="KLQ1" s="2"/>
      <c r="KLR1" s="2"/>
      <c r="KLS1" s="2"/>
      <c r="KLT1" s="2"/>
      <c r="KLU1" s="2"/>
      <c r="KLV1" s="2"/>
      <c r="KLW1" s="2"/>
      <c r="KLX1" s="2"/>
      <c r="KLY1" s="2"/>
      <c r="KLZ1" s="2"/>
      <c r="KMA1" s="2"/>
      <c r="KMB1" s="2"/>
      <c r="KMC1" s="2"/>
      <c r="KMD1" s="2"/>
      <c r="KME1" s="2"/>
      <c r="KMF1" s="2"/>
      <c r="KMG1" s="2"/>
      <c r="KMH1" s="2"/>
      <c r="KMI1" s="2"/>
      <c r="KMJ1" s="2"/>
      <c r="KMK1" s="2"/>
      <c r="KML1" s="2"/>
      <c r="KMM1" s="2"/>
      <c r="KMN1" s="2"/>
      <c r="KMO1" s="2"/>
      <c r="KMP1" s="2"/>
      <c r="KMQ1" s="2"/>
      <c r="KMR1" s="2"/>
      <c r="KMS1" s="2"/>
      <c r="KMT1" s="2"/>
      <c r="KMU1" s="2"/>
      <c r="KMV1" s="2"/>
      <c r="KMW1" s="2"/>
      <c r="KMX1" s="2"/>
      <c r="KMY1" s="2"/>
      <c r="KMZ1" s="2"/>
      <c r="KNA1" s="2"/>
      <c r="KNB1" s="2"/>
      <c r="KNC1" s="2"/>
      <c r="KND1" s="2"/>
      <c r="KNE1" s="2"/>
      <c r="KNF1" s="2"/>
      <c r="KNG1" s="2"/>
      <c r="KNH1" s="2"/>
      <c r="KNI1" s="2"/>
      <c r="KNJ1" s="2"/>
      <c r="KNK1" s="2"/>
      <c r="KNL1" s="2"/>
      <c r="KNM1" s="2"/>
      <c r="KNN1" s="2"/>
      <c r="KNO1" s="2"/>
      <c r="KNP1" s="2"/>
      <c r="KNQ1" s="2"/>
      <c r="KNR1" s="2"/>
      <c r="KNS1" s="2"/>
      <c r="KNT1" s="2"/>
      <c r="KNU1" s="2"/>
      <c r="KNV1" s="2"/>
      <c r="KNW1" s="2"/>
      <c r="KNX1" s="2"/>
      <c r="KNY1" s="2"/>
      <c r="KNZ1" s="2"/>
      <c r="KOA1" s="2"/>
      <c r="KOB1" s="2"/>
      <c r="KOC1" s="2"/>
      <c r="KOD1" s="2"/>
      <c r="KOE1" s="2"/>
      <c r="KOF1" s="2"/>
      <c r="KOG1" s="2"/>
      <c r="KOH1" s="2"/>
      <c r="KOI1" s="2"/>
      <c r="KOJ1" s="2"/>
      <c r="KOK1" s="2"/>
      <c r="KOL1" s="2"/>
      <c r="KOM1" s="2"/>
      <c r="KON1" s="2"/>
      <c r="KOO1" s="2"/>
      <c r="KOP1" s="2"/>
      <c r="KOQ1" s="2"/>
      <c r="KOR1" s="2"/>
      <c r="KOS1" s="2"/>
      <c r="KOT1" s="2"/>
      <c r="KOU1" s="2"/>
      <c r="KOV1" s="2"/>
      <c r="KOW1" s="2"/>
      <c r="KOX1" s="2"/>
      <c r="KOY1" s="2"/>
      <c r="KOZ1" s="2"/>
      <c r="KPA1" s="2"/>
      <c r="KPB1" s="2"/>
      <c r="KPC1" s="2"/>
      <c r="KPD1" s="2"/>
      <c r="KPE1" s="2"/>
      <c r="KPF1" s="2"/>
      <c r="KPG1" s="2"/>
      <c r="KPH1" s="2"/>
      <c r="KPI1" s="2"/>
      <c r="KPJ1" s="2"/>
      <c r="KPK1" s="2"/>
      <c r="KPL1" s="2"/>
      <c r="KPM1" s="2"/>
      <c r="KPN1" s="2"/>
      <c r="KPO1" s="2"/>
      <c r="KPP1" s="2"/>
      <c r="KPQ1" s="2"/>
      <c r="KPR1" s="2"/>
      <c r="KPS1" s="2"/>
      <c r="KPT1" s="2"/>
      <c r="KPU1" s="2"/>
      <c r="KPV1" s="2"/>
      <c r="KPW1" s="2"/>
      <c r="KPX1" s="2"/>
      <c r="KPY1" s="2"/>
      <c r="KPZ1" s="2"/>
      <c r="KQA1" s="2"/>
      <c r="KQB1" s="2"/>
      <c r="KQC1" s="2"/>
      <c r="KQD1" s="2"/>
      <c r="KQE1" s="2"/>
      <c r="KQF1" s="2"/>
      <c r="KQG1" s="2"/>
      <c r="KQH1" s="2"/>
      <c r="KQI1" s="2"/>
      <c r="KQJ1" s="2"/>
      <c r="KQK1" s="2"/>
      <c r="KQL1" s="2"/>
      <c r="KQM1" s="2"/>
      <c r="KQN1" s="2"/>
      <c r="KQO1" s="2"/>
      <c r="KQP1" s="2"/>
      <c r="KQQ1" s="2"/>
      <c r="KQR1" s="2"/>
      <c r="KQS1" s="2"/>
      <c r="KQT1" s="2"/>
      <c r="KQU1" s="2"/>
      <c r="KQV1" s="2"/>
      <c r="KQW1" s="2"/>
      <c r="KQX1" s="2"/>
      <c r="KQY1" s="2"/>
      <c r="KQZ1" s="2"/>
      <c r="KRA1" s="2"/>
      <c r="KRB1" s="2"/>
      <c r="KRC1" s="2"/>
      <c r="KRD1" s="2"/>
      <c r="KRE1" s="2"/>
      <c r="KRF1" s="2"/>
      <c r="KRG1" s="2"/>
      <c r="KRH1" s="2"/>
      <c r="KRI1" s="2"/>
      <c r="KRJ1" s="2"/>
      <c r="KRK1" s="2"/>
      <c r="KRL1" s="2"/>
      <c r="KRM1" s="2"/>
      <c r="KRN1" s="2"/>
      <c r="KRO1" s="2"/>
      <c r="KRP1" s="2"/>
      <c r="KRQ1" s="2"/>
      <c r="KRR1" s="2"/>
      <c r="KRS1" s="2"/>
      <c r="KRT1" s="2"/>
      <c r="KRU1" s="2"/>
      <c r="KRV1" s="2"/>
      <c r="KRW1" s="2"/>
      <c r="KRX1" s="2"/>
      <c r="KRY1" s="2"/>
      <c r="KRZ1" s="2"/>
      <c r="KSA1" s="2"/>
      <c r="KSB1" s="2"/>
      <c r="KSC1" s="2"/>
      <c r="KSD1" s="2"/>
      <c r="KSE1" s="2"/>
      <c r="KSF1" s="2"/>
      <c r="KSG1" s="2"/>
      <c r="KSH1" s="2"/>
      <c r="KSI1" s="2"/>
      <c r="KSJ1" s="2"/>
      <c r="KSK1" s="2"/>
      <c r="KSL1" s="2"/>
      <c r="KSM1" s="2"/>
      <c r="KSN1" s="2"/>
      <c r="KSO1" s="2"/>
      <c r="KSP1" s="2"/>
      <c r="KSQ1" s="2"/>
      <c r="KSR1" s="2"/>
      <c r="KSS1" s="2"/>
      <c r="KST1" s="2"/>
      <c r="KSU1" s="2"/>
      <c r="KSV1" s="2"/>
      <c r="KSW1" s="2"/>
      <c r="KSX1" s="2"/>
      <c r="KSY1" s="2"/>
      <c r="KSZ1" s="2"/>
      <c r="KTA1" s="2"/>
      <c r="KTB1" s="2"/>
      <c r="KTC1" s="2"/>
      <c r="KTD1" s="2"/>
      <c r="KTE1" s="2"/>
      <c r="KTF1" s="2"/>
      <c r="KTG1" s="2"/>
      <c r="KTH1" s="2"/>
      <c r="KTI1" s="2"/>
      <c r="KTJ1" s="2"/>
      <c r="KTK1" s="2"/>
      <c r="KTL1" s="2"/>
      <c r="KTM1" s="2"/>
      <c r="KTN1" s="2"/>
      <c r="KTO1" s="2"/>
      <c r="KTP1" s="2"/>
      <c r="KTQ1" s="2"/>
      <c r="KTR1" s="2"/>
      <c r="KTS1" s="2"/>
      <c r="KTT1" s="2"/>
      <c r="KTU1" s="2"/>
      <c r="KTV1" s="2"/>
      <c r="KTW1" s="2"/>
      <c r="KTX1" s="2"/>
      <c r="KTY1" s="2"/>
      <c r="KTZ1" s="2"/>
      <c r="KUA1" s="2"/>
      <c r="KUB1" s="2"/>
      <c r="KUC1" s="2"/>
      <c r="KUD1" s="2"/>
      <c r="KUE1" s="2"/>
      <c r="KUF1" s="2"/>
      <c r="KUG1" s="2"/>
      <c r="KUH1" s="2"/>
      <c r="KUI1" s="2"/>
      <c r="KUJ1" s="2"/>
      <c r="KUK1" s="2"/>
      <c r="KUL1" s="2"/>
      <c r="KUM1" s="2"/>
      <c r="KUN1" s="2"/>
      <c r="KUO1" s="2"/>
      <c r="KUP1" s="2"/>
      <c r="KUQ1" s="2"/>
      <c r="KUR1" s="2"/>
      <c r="KUS1" s="2"/>
      <c r="KUT1" s="2"/>
      <c r="KUU1" s="2"/>
      <c r="KUV1" s="2"/>
      <c r="KUW1" s="2"/>
      <c r="KUX1" s="2"/>
      <c r="KUY1" s="2"/>
      <c r="KUZ1" s="2"/>
      <c r="KVA1" s="2"/>
      <c r="KVB1" s="2"/>
      <c r="KVC1" s="2"/>
      <c r="KVD1" s="2"/>
      <c r="KVE1" s="2"/>
      <c r="KVF1" s="2"/>
      <c r="KVG1" s="2"/>
      <c r="KVH1" s="2"/>
      <c r="KVI1" s="2"/>
      <c r="KVJ1" s="2"/>
      <c r="KVK1" s="2"/>
      <c r="KVL1" s="2"/>
      <c r="KVM1" s="2"/>
      <c r="KVN1" s="2"/>
      <c r="KVO1" s="2"/>
      <c r="KVP1" s="2"/>
      <c r="KVQ1" s="2"/>
      <c r="KVR1" s="2"/>
      <c r="KVS1" s="2"/>
      <c r="KVT1" s="2"/>
      <c r="KVU1" s="2"/>
      <c r="KVV1" s="2"/>
      <c r="KVW1" s="2"/>
      <c r="KVX1" s="2"/>
      <c r="KVY1" s="2"/>
      <c r="KVZ1" s="2"/>
      <c r="KWA1" s="2"/>
      <c r="KWB1" s="2"/>
      <c r="KWC1" s="2"/>
      <c r="KWD1" s="2"/>
      <c r="KWE1" s="2"/>
      <c r="KWF1" s="2"/>
      <c r="KWG1" s="2"/>
      <c r="KWH1" s="2"/>
      <c r="KWI1" s="2"/>
      <c r="KWJ1" s="2"/>
      <c r="KWK1" s="2"/>
      <c r="KWL1" s="2"/>
      <c r="KWM1" s="2"/>
      <c r="KWN1" s="2"/>
      <c r="KWO1" s="2"/>
      <c r="KWP1" s="2"/>
      <c r="KWQ1" s="2"/>
      <c r="KWR1" s="2"/>
      <c r="KWS1" s="2"/>
      <c r="KWT1" s="2"/>
      <c r="KWU1" s="2"/>
      <c r="KWV1" s="2"/>
      <c r="KWW1" s="2"/>
      <c r="KWX1" s="2"/>
      <c r="KWY1" s="2"/>
      <c r="KWZ1" s="2"/>
      <c r="KXA1" s="2"/>
      <c r="KXB1" s="2"/>
      <c r="KXC1" s="2"/>
      <c r="KXD1" s="2"/>
      <c r="KXE1" s="2"/>
      <c r="KXF1" s="2"/>
      <c r="KXG1" s="2"/>
      <c r="KXH1" s="2"/>
      <c r="KXI1" s="2"/>
      <c r="KXJ1" s="2"/>
      <c r="KXK1" s="2"/>
      <c r="KXL1" s="2"/>
      <c r="KXM1" s="2"/>
      <c r="KXN1" s="2"/>
      <c r="KXO1" s="2"/>
      <c r="KXP1" s="2"/>
      <c r="KXQ1" s="2"/>
      <c r="KXR1" s="2"/>
      <c r="KXS1" s="2"/>
      <c r="KXT1" s="2"/>
      <c r="KXU1" s="2"/>
      <c r="KXV1" s="2"/>
      <c r="KXW1" s="2"/>
      <c r="KXX1" s="2"/>
      <c r="KXY1" s="2"/>
      <c r="KXZ1" s="2"/>
      <c r="KYA1" s="2"/>
      <c r="KYB1" s="2"/>
      <c r="KYC1" s="2"/>
      <c r="KYD1" s="2"/>
      <c r="KYE1" s="2"/>
      <c r="KYF1" s="2"/>
      <c r="KYG1" s="2"/>
      <c r="KYH1" s="2"/>
      <c r="KYI1" s="2"/>
      <c r="KYJ1" s="2"/>
      <c r="KYK1" s="2"/>
      <c r="KYL1" s="2"/>
      <c r="KYM1" s="2"/>
      <c r="KYN1" s="2"/>
      <c r="KYO1" s="2"/>
      <c r="KYP1" s="2"/>
      <c r="KYQ1" s="2"/>
      <c r="KYR1" s="2"/>
      <c r="KYS1" s="2"/>
      <c r="KYT1" s="2"/>
      <c r="KYU1" s="2"/>
      <c r="KYV1" s="2"/>
      <c r="KYW1" s="2"/>
      <c r="KYX1" s="2"/>
      <c r="KYY1" s="2"/>
      <c r="KYZ1" s="2"/>
      <c r="KZA1" s="2"/>
      <c r="KZB1" s="2"/>
      <c r="KZC1" s="2"/>
      <c r="KZD1" s="2"/>
      <c r="KZE1" s="2"/>
      <c r="KZF1" s="2"/>
      <c r="KZG1" s="2"/>
      <c r="KZH1" s="2"/>
      <c r="KZI1" s="2"/>
      <c r="KZJ1" s="2"/>
      <c r="KZK1" s="2"/>
      <c r="KZL1" s="2"/>
      <c r="KZM1" s="2"/>
      <c r="KZN1" s="2"/>
      <c r="KZO1" s="2"/>
      <c r="KZP1" s="2"/>
      <c r="KZQ1" s="2"/>
      <c r="KZR1" s="2"/>
      <c r="KZS1" s="2"/>
      <c r="KZT1" s="2"/>
      <c r="KZU1" s="2"/>
      <c r="KZV1" s="2"/>
      <c r="KZW1" s="2"/>
      <c r="KZX1" s="2"/>
      <c r="KZY1" s="2"/>
      <c r="KZZ1" s="2"/>
      <c r="LAA1" s="2"/>
      <c r="LAB1" s="2"/>
      <c r="LAC1" s="2"/>
      <c r="LAD1" s="2"/>
      <c r="LAE1" s="2"/>
      <c r="LAF1" s="2"/>
      <c r="LAG1" s="2"/>
      <c r="LAH1" s="2"/>
      <c r="LAI1" s="2"/>
      <c r="LAJ1" s="2"/>
      <c r="LAK1" s="2"/>
      <c r="LAL1" s="2"/>
      <c r="LAM1" s="2"/>
      <c r="LAN1" s="2"/>
      <c r="LAO1" s="2"/>
      <c r="LAP1" s="2"/>
      <c r="LAQ1" s="2"/>
      <c r="LAR1" s="2"/>
      <c r="LAS1" s="2"/>
      <c r="LAT1" s="2"/>
      <c r="LAU1" s="2"/>
      <c r="LAV1" s="2"/>
      <c r="LAW1" s="2"/>
      <c r="LAX1" s="2"/>
      <c r="LAY1" s="2"/>
      <c r="LAZ1" s="2"/>
      <c r="LBA1" s="2"/>
      <c r="LBB1" s="2"/>
      <c r="LBC1" s="2"/>
      <c r="LBD1" s="2"/>
      <c r="LBE1" s="2"/>
      <c r="LBF1" s="2"/>
      <c r="LBG1" s="2"/>
      <c r="LBH1" s="2"/>
      <c r="LBI1" s="2"/>
      <c r="LBJ1" s="2"/>
      <c r="LBK1" s="2"/>
      <c r="LBL1" s="2"/>
      <c r="LBM1" s="2"/>
      <c r="LBN1" s="2"/>
      <c r="LBO1" s="2"/>
      <c r="LBP1" s="2"/>
      <c r="LBQ1" s="2"/>
      <c r="LBR1" s="2"/>
      <c r="LBS1" s="2"/>
      <c r="LBT1" s="2"/>
      <c r="LBU1" s="2"/>
      <c r="LBV1" s="2"/>
      <c r="LBW1" s="2"/>
      <c r="LBX1" s="2"/>
      <c r="LBY1" s="2"/>
      <c r="LBZ1" s="2"/>
      <c r="LCA1" s="2"/>
      <c r="LCB1" s="2"/>
      <c r="LCC1" s="2"/>
      <c r="LCD1" s="2"/>
      <c r="LCE1" s="2"/>
      <c r="LCF1" s="2"/>
      <c r="LCG1" s="2"/>
      <c r="LCH1" s="2"/>
      <c r="LCI1" s="2"/>
      <c r="LCJ1" s="2"/>
      <c r="LCK1" s="2"/>
      <c r="LCL1" s="2"/>
      <c r="LCM1" s="2"/>
      <c r="LCN1" s="2"/>
      <c r="LCO1" s="2"/>
      <c r="LCP1" s="2"/>
      <c r="LCQ1" s="2"/>
      <c r="LCR1" s="2"/>
      <c r="LCS1" s="2"/>
      <c r="LCT1" s="2"/>
      <c r="LCU1" s="2"/>
      <c r="LCV1" s="2"/>
      <c r="LCW1" s="2"/>
      <c r="LCX1" s="2"/>
      <c r="LCY1" s="2"/>
      <c r="LCZ1" s="2"/>
      <c r="LDA1" s="2"/>
      <c r="LDB1" s="2"/>
      <c r="LDC1" s="2"/>
      <c r="LDD1" s="2"/>
      <c r="LDE1" s="2"/>
      <c r="LDF1" s="2"/>
      <c r="LDG1" s="2"/>
      <c r="LDH1" s="2"/>
      <c r="LDI1" s="2"/>
      <c r="LDJ1" s="2"/>
      <c r="LDK1" s="2"/>
      <c r="LDL1" s="2"/>
      <c r="LDM1" s="2"/>
      <c r="LDN1" s="2"/>
      <c r="LDO1" s="2"/>
      <c r="LDP1" s="2"/>
      <c r="LDQ1" s="2"/>
      <c r="LDR1" s="2"/>
      <c r="LDS1" s="2"/>
      <c r="LDT1" s="2"/>
      <c r="LDU1" s="2"/>
      <c r="LDV1" s="2"/>
      <c r="LDW1" s="2"/>
      <c r="LDX1" s="2"/>
      <c r="LDY1" s="2"/>
      <c r="LDZ1" s="2"/>
      <c r="LEA1" s="2"/>
      <c r="LEB1" s="2"/>
      <c r="LEC1" s="2"/>
      <c r="LED1" s="2"/>
      <c r="LEE1" s="2"/>
      <c r="LEF1" s="2"/>
      <c r="LEG1" s="2"/>
      <c r="LEH1" s="2"/>
      <c r="LEI1" s="2"/>
      <c r="LEJ1" s="2"/>
      <c r="LEK1" s="2"/>
      <c r="LEL1" s="2"/>
      <c r="LEM1" s="2"/>
      <c r="LEN1" s="2"/>
      <c r="LEO1" s="2"/>
      <c r="LEP1" s="2"/>
      <c r="LEQ1" s="2"/>
      <c r="LER1" s="2"/>
      <c r="LES1" s="2"/>
      <c r="LET1" s="2"/>
      <c r="LEU1" s="2"/>
      <c r="LEV1" s="2"/>
      <c r="LEW1" s="2"/>
      <c r="LEX1" s="2"/>
      <c r="LEY1" s="2"/>
      <c r="LEZ1" s="2"/>
      <c r="LFA1" s="2"/>
      <c r="LFB1" s="2"/>
      <c r="LFC1" s="2"/>
      <c r="LFD1" s="2"/>
      <c r="LFE1" s="2"/>
      <c r="LFF1" s="2"/>
      <c r="LFG1" s="2"/>
      <c r="LFH1" s="2"/>
      <c r="LFI1" s="2"/>
      <c r="LFJ1" s="2"/>
      <c r="LFK1" s="2"/>
      <c r="LFL1" s="2"/>
      <c r="LFM1" s="2"/>
      <c r="LFN1" s="2"/>
      <c r="LFO1" s="2"/>
      <c r="LFP1" s="2"/>
      <c r="LFQ1" s="2"/>
      <c r="LFR1" s="2"/>
      <c r="LFS1" s="2"/>
      <c r="LFT1" s="2"/>
      <c r="LFU1" s="2"/>
      <c r="LFV1" s="2"/>
      <c r="LFW1" s="2"/>
      <c r="LFX1" s="2"/>
      <c r="LFY1" s="2"/>
      <c r="LFZ1" s="2"/>
      <c r="LGA1" s="2"/>
      <c r="LGB1" s="2"/>
      <c r="LGC1" s="2"/>
      <c r="LGD1" s="2"/>
      <c r="LGE1" s="2"/>
      <c r="LGF1" s="2"/>
      <c r="LGG1" s="2"/>
      <c r="LGH1" s="2"/>
      <c r="LGI1" s="2"/>
      <c r="LGJ1" s="2"/>
      <c r="LGK1" s="2"/>
      <c r="LGL1" s="2"/>
      <c r="LGM1" s="2"/>
      <c r="LGN1" s="2"/>
      <c r="LGO1" s="2"/>
      <c r="LGP1" s="2"/>
      <c r="LGQ1" s="2"/>
      <c r="LGR1" s="2"/>
      <c r="LGS1" s="2"/>
      <c r="LGT1" s="2"/>
      <c r="LGU1" s="2"/>
      <c r="LGV1" s="2"/>
      <c r="LGW1" s="2"/>
      <c r="LGX1" s="2"/>
      <c r="LGY1" s="2"/>
      <c r="LGZ1" s="2"/>
      <c r="LHA1" s="2"/>
      <c r="LHB1" s="2"/>
      <c r="LHC1" s="2"/>
      <c r="LHD1" s="2"/>
      <c r="LHE1" s="2"/>
      <c r="LHF1" s="2"/>
      <c r="LHG1" s="2"/>
      <c r="LHH1" s="2"/>
      <c r="LHI1" s="2"/>
      <c r="LHJ1" s="2"/>
      <c r="LHK1" s="2"/>
      <c r="LHL1" s="2"/>
      <c r="LHM1" s="2"/>
      <c r="LHN1" s="2"/>
      <c r="LHO1" s="2"/>
      <c r="LHP1" s="2"/>
      <c r="LHQ1" s="2"/>
      <c r="LHR1" s="2"/>
      <c r="LHS1" s="2"/>
      <c r="LHT1" s="2"/>
      <c r="LHU1" s="2"/>
      <c r="LHV1" s="2"/>
      <c r="LHW1" s="2"/>
      <c r="LHX1" s="2"/>
      <c r="LHY1" s="2"/>
      <c r="LHZ1" s="2"/>
      <c r="LIA1" s="2"/>
      <c r="LIB1" s="2"/>
      <c r="LIC1" s="2"/>
      <c r="LID1" s="2"/>
      <c r="LIE1" s="2"/>
      <c r="LIF1" s="2"/>
      <c r="LIG1" s="2"/>
      <c r="LIH1" s="2"/>
      <c r="LII1" s="2"/>
      <c r="LIJ1" s="2"/>
      <c r="LIK1" s="2"/>
      <c r="LIL1" s="2"/>
      <c r="LIM1" s="2"/>
      <c r="LIN1" s="2"/>
      <c r="LIO1" s="2"/>
      <c r="LIP1" s="2"/>
      <c r="LIQ1" s="2"/>
      <c r="LIR1" s="2"/>
      <c r="LIS1" s="2"/>
      <c r="LIT1" s="2"/>
      <c r="LIU1" s="2"/>
      <c r="LIV1" s="2"/>
      <c r="LIW1" s="2"/>
      <c r="LIX1" s="2"/>
      <c r="LIY1" s="2"/>
      <c r="LIZ1" s="2"/>
      <c r="LJA1" s="2"/>
      <c r="LJB1" s="2"/>
      <c r="LJC1" s="2"/>
      <c r="LJD1" s="2"/>
      <c r="LJE1" s="2"/>
      <c r="LJF1" s="2"/>
      <c r="LJG1" s="2"/>
      <c r="LJH1" s="2"/>
      <c r="LJI1" s="2"/>
      <c r="LJJ1" s="2"/>
      <c r="LJK1" s="2"/>
      <c r="LJL1" s="2"/>
      <c r="LJM1" s="2"/>
      <c r="LJN1" s="2"/>
      <c r="LJO1" s="2"/>
      <c r="LJP1" s="2"/>
      <c r="LJQ1" s="2"/>
      <c r="LJR1" s="2"/>
      <c r="LJS1" s="2"/>
      <c r="LJT1" s="2"/>
      <c r="LJU1" s="2"/>
      <c r="LJV1" s="2"/>
      <c r="LJW1" s="2"/>
      <c r="LJX1" s="2"/>
      <c r="LJY1" s="2"/>
      <c r="LJZ1" s="2"/>
      <c r="LKA1" s="2"/>
      <c r="LKB1" s="2"/>
      <c r="LKC1" s="2"/>
      <c r="LKD1" s="2"/>
      <c r="LKE1" s="2"/>
      <c r="LKF1" s="2"/>
      <c r="LKG1" s="2"/>
      <c r="LKH1" s="2"/>
      <c r="LKI1" s="2"/>
      <c r="LKJ1" s="2"/>
      <c r="LKK1" s="2"/>
      <c r="LKL1" s="2"/>
      <c r="LKM1" s="2"/>
      <c r="LKN1" s="2"/>
      <c r="LKO1" s="2"/>
      <c r="LKP1" s="2"/>
      <c r="LKQ1" s="2"/>
      <c r="LKR1" s="2"/>
      <c r="LKS1" s="2"/>
      <c r="LKT1" s="2"/>
      <c r="LKU1" s="2"/>
      <c r="LKV1" s="2"/>
      <c r="LKW1" s="2"/>
      <c r="LKX1" s="2"/>
      <c r="LKY1" s="2"/>
      <c r="LKZ1" s="2"/>
      <c r="LLA1" s="2"/>
      <c r="LLB1" s="2"/>
      <c r="LLC1" s="2"/>
      <c r="LLD1" s="2"/>
      <c r="LLE1" s="2"/>
      <c r="LLF1" s="2"/>
      <c r="LLG1" s="2"/>
      <c r="LLH1" s="2"/>
      <c r="LLI1" s="2"/>
      <c r="LLJ1" s="2"/>
      <c r="LLK1" s="2"/>
      <c r="LLL1" s="2"/>
      <c r="LLM1" s="2"/>
      <c r="LLN1" s="2"/>
      <c r="LLO1" s="2"/>
      <c r="LLP1" s="2"/>
      <c r="LLQ1" s="2"/>
      <c r="LLR1" s="2"/>
      <c r="LLS1" s="2"/>
      <c r="LLT1" s="2"/>
      <c r="LLU1" s="2"/>
      <c r="LLV1" s="2"/>
      <c r="LLW1" s="2"/>
      <c r="LLX1" s="2"/>
      <c r="LLY1" s="2"/>
      <c r="LLZ1" s="2"/>
      <c r="LMA1" s="2"/>
      <c r="LMB1" s="2"/>
      <c r="LMC1" s="2"/>
      <c r="LMD1" s="2"/>
      <c r="LME1" s="2"/>
      <c r="LMF1" s="2"/>
      <c r="LMG1" s="2"/>
      <c r="LMH1" s="2"/>
      <c r="LMI1" s="2"/>
      <c r="LMJ1" s="2"/>
      <c r="LMK1" s="2"/>
      <c r="LML1" s="2"/>
      <c r="LMM1" s="2"/>
      <c r="LMN1" s="2"/>
      <c r="LMO1" s="2"/>
      <c r="LMP1" s="2"/>
      <c r="LMQ1" s="2"/>
      <c r="LMR1" s="2"/>
      <c r="LMS1" s="2"/>
      <c r="LMT1" s="2"/>
      <c r="LMU1" s="2"/>
      <c r="LMV1" s="2"/>
      <c r="LMW1" s="2"/>
      <c r="LMX1" s="2"/>
      <c r="LMY1" s="2"/>
      <c r="LMZ1" s="2"/>
      <c r="LNA1" s="2"/>
      <c r="LNB1" s="2"/>
      <c r="LNC1" s="2"/>
      <c r="LND1" s="2"/>
      <c r="LNE1" s="2"/>
      <c r="LNF1" s="2"/>
      <c r="LNG1" s="2"/>
      <c r="LNH1" s="2"/>
      <c r="LNI1" s="2"/>
      <c r="LNJ1" s="2"/>
      <c r="LNK1" s="2"/>
      <c r="LNL1" s="2"/>
      <c r="LNM1" s="2"/>
      <c r="LNN1" s="2"/>
      <c r="LNO1" s="2"/>
      <c r="LNP1" s="2"/>
      <c r="LNQ1" s="2"/>
      <c r="LNR1" s="2"/>
      <c r="LNS1" s="2"/>
      <c r="LNT1" s="2"/>
      <c r="LNU1" s="2"/>
      <c r="LNV1" s="2"/>
      <c r="LNW1" s="2"/>
      <c r="LNX1" s="2"/>
      <c r="LNY1" s="2"/>
      <c r="LNZ1" s="2"/>
      <c r="LOA1" s="2"/>
      <c r="LOB1" s="2"/>
      <c r="LOC1" s="2"/>
      <c r="LOD1" s="2"/>
      <c r="LOE1" s="2"/>
      <c r="LOF1" s="2"/>
      <c r="LOG1" s="2"/>
      <c r="LOH1" s="2"/>
      <c r="LOI1" s="2"/>
      <c r="LOJ1" s="2"/>
      <c r="LOK1" s="2"/>
      <c r="LOL1" s="2"/>
      <c r="LOM1" s="2"/>
      <c r="LON1" s="2"/>
      <c r="LOO1" s="2"/>
      <c r="LOP1" s="2"/>
      <c r="LOQ1" s="2"/>
      <c r="LOR1" s="2"/>
      <c r="LOS1" s="2"/>
      <c r="LOT1" s="2"/>
      <c r="LOU1" s="2"/>
      <c r="LOV1" s="2"/>
      <c r="LOW1" s="2"/>
      <c r="LOX1" s="2"/>
      <c r="LOY1" s="2"/>
      <c r="LOZ1" s="2"/>
      <c r="LPA1" s="2"/>
      <c r="LPB1" s="2"/>
      <c r="LPC1" s="2"/>
      <c r="LPD1" s="2"/>
      <c r="LPE1" s="2"/>
      <c r="LPF1" s="2"/>
      <c r="LPG1" s="2"/>
      <c r="LPH1" s="2"/>
      <c r="LPI1" s="2"/>
      <c r="LPJ1" s="2"/>
      <c r="LPK1" s="2"/>
      <c r="LPL1" s="2"/>
      <c r="LPM1" s="2"/>
      <c r="LPN1" s="2"/>
      <c r="LPO1" s="2"/>
      <c r="LPP1" s="2"/>
      <c r="LPQ1" s="2"/>
      <c r="LPR1" s="2"/>
      <c r="LPS1" s="2"/>
      <c r="LPT1" s="2"/>
      <c r="LPU1" s="2"/>
      <c r="LPV1" s="2"/>
      <c r="LPW1" s="2"/>
      <c r="LPX1" s="2"/>
      <c r="LPY1" s="2"/>
      <c r="LPZ1" s="2"/>
      <c r="LQA1" s="2"/>
      <c r="LQB1" s="2"/>
      <c r="LQC1" s="2"/>
      <c r="LQD1" s="2"/>
      <c r="LQE1" s="2"/>
      <c r="LQF1" s="2"/>
      <c r="LQG1" s="2"/>
      <c r="LQH1" s="2"/>
      <c r="LQI1" s="2"/>
      <c r="LQJ1" s="2"/>
      <c r="LQK1" s="2"/>
      <c r="LQL1" s="2"/>
      <c r="LQM1" s="2"/>
      <c r="LQN1" s="2"/>
      <c r="LQO1" s="2"/>
      <c r="LQP1" s="2"/>
      <c r="LQQ1" s="2"/>
      <c r="LQR1" s="2"/>
      <c r="LQS1" s="2"/>
      <c r="LQT1" s="2"/>
      <c r="LQU1" s="2"/>
      <c r="LQV1" s="2"/>
      <c r="LQW1" s="2"/>
      <c r="LQX1" s="2"/>
      <c r="LQY1" s="2"/>
      <c r="LQZ1" s="2"/>
      <c r="LRA1" s="2"/>
      <c r="LRB1" s="2"/>
      <c r="LRC1" s="2"/>
      <c r="LRD1" s="2"/>
      <c r="LRE1" s="2"/>
      <c r="LRF1" s="2"/>
      <c r="LRG1" s="2"/>
      <c r="LRH1" s="2"/>
      <c r="LRI1" s="2"/>
      <c r="LRJ1" s="2"/>
      <c r="LRK1" s="2"/>
      <c r="LRL1" s="2"/>
      <c r="LRM1" s="2"/>
      <c r="LRN1" s="2"/>
      <c r="LRO1" s="2"/>
      <c r="LRP1" s="2"/>
      <c r="LRQ1" s="2"/>
      <c r="LRR1" s="2"/>
      <c r="LRS1" s="2"/>
      <c r="LRT1" s="2"/>
      <c r="LRU1" s="2"/>
      <c r="LRV1" s="2"/>
      <c r="LRW1" s="2"/>
      <c r="LRX1" s="2"/>
      <c r="LRY1" s="2"/>
      <c r="LRZ1" s="2"/>
      <c r="LSA1" s="2"/>
      <c r="LSB1" s="2"/>
      <c r="LSC1" s="2"/>
      <c r="LSD1" s="2"/>
      <c r="LSE1" s="2"/>
      <c r="LSF1" s="2"/>
      <c r="LSG1" s="2"/>
      <c r="LSH1" s="2"/>
      <c r="LSI1" s="2"/>
      <c r="LSJ1" s="2"/>
      <c r="LSK1" s="2"/>
      <c r="LSL1" s="2"/>
      <c r="LSM1" s="2"/>
      <c r="LSN1" s="2"/>
      <c r="LSO1" s="2"/>
      <c r="LSP1" s="2"/>
      <c r="LSQ1" s="2"/>
      <c r="LSR1" s="2"/>
      <c r="LSS1" s="2"/>
      <c r="LST1" s="2"/>
      <c r="LSU1" s="2"/>
      <c r="LSV1" s="2"/>
      <c r="LSW1" s="2"/>
      <c r="LSX1" s="2"/>
      <c r="LSY1" s="2"/>
      <c r="LSZ1" s="2"/>
      <c r="LTA1" s="2"/>
      <c r="LTB1" s="2"/>
      <c r="LTC1" s="2"/>
      <c r="LTD1" s="2"/>
      <c r="LTE1" s="2"/>
      <c r="LTF1" s="2"/>
      <c r="LTG1" s="2"/>
      <c r="LTH1" s="2"/>
      <c r="LTI1" s="2"/>
      <c r="LTJ1" s="2"/>
      <c r="LTK1" s="2"/>
      <c r="LTL1" s="2"/>
      <c r="LTM1" s="2"/>
      <c r="LTN1" s="2"/>
      <c r="LTO1" s="2"/>
      <c r="LTP1" s="2"/>
      <c r="LTQ1" s="2"/>
      <c r="LTR1" s="2"/>
      <c r="LTS1" s="2"/>
      <c r="LTT1" s="2"/>
      <c r="LTU1" s="2"/>
      <c r="LTV1" s="2"/>
      <c r="LTW1" s="2"/>
      <c r="LTX1" s="2"/>
      <c r="LTY1" s="2"/>
      <c r="LTZ1" s="2"/>
      <c r="LUA1" s="2"/>
      <c r="LUB1" s="2"/>
      <c r="LUC1" s="2"/>
      <c r="LUD1" s="2"/>
      <c r="LUE1" s="2"/>
      <c r="LUF1" s="2"/>
      <c r="LUG1" s="2"/>
      <c r="LUH1" s="2"/>
      <c r="LUI1" s="2"/>
      <c r="LUJ1" s="2"/>
      <c r="LUK1" s="2"/>
      <c r="LUL1" s="2"/>
      <c r="LUM1" s="2"/>
      <c r="LUN1" s="2"/>
      <c r="LUO1" s="2"/>
      <c r="LUP1" s="2"/>
      <c r="LUQ1" s="2"/>
      <c r="LUR1" s="2"/>
      <c r="LUS1" s="2"/>
      <c r="LUT1" s="2"/>
      <c r="LUU1" s="2"/>
      <c r="LUV1" s="2"/>
      <c r="LUW1" s="2"/>
      <c r="LUX1" s="2"/>
      <c r="LUY1" s="2"/>
      <c r="LUZ1" s="2"/>
      <c r="LVA1" s="2"/>
      <c r="LVB1" s="2"/>
      <c r="LVC1" s="2"/>
      <c r="LVD1" s="2"/>
      <c r="LVE1" s="2"/>
      <c r="LVF1" s="2"/>
      <c r="LVG1" s="2"/>
      <c r="LVH1" s="2"/>
      <c r="LVI1" s="2"/>
      <c r="LVJ1" s="2"/>
      <c r="LVK1" s="2"/>
      <c r="LVL1" s="2"/>
      <c r="LVM1" s="2"/>
      <c r="LVN1" s="2"/>
      <c r="LVO1" s="2"/>
      <c r="LVP1" s="2"/>
      <c r="LVQ1" s="2"/>
      <c r="LVR1" s="2"/>
      <c r="LVS1" s="2"/>
      <c r="LVT1" s="2"/>
      <c r="LVU1" s="2"/>
      <c r="LVV1" s="2"/>
      <c r="LVW1" s="2"/>
      <c r="LVX1" s="2"/>
      <c r="LVY1" s="2"/>
      <c r="LVZ1" s="2"/>
      <c r="LWA1" s="2"/>
      <c r="LWB1" s="2"/>
      <c r="LWC1" s="2"/>
      <c r="LWD1" s="2"/>
      <c r="LWE1" s="2"/>
      <c r="LWF1" s="2"/>
      <c r="LWG1" s="2"/>
      <c r="LWH1" s="2"/>
      <c r="LWI1" s="2"/>
      <c r="LWJ1" s="2"/>
      <c r="LWK1" s="2"/>
      <c r="LWL1" s="2"/>
      <c r="LWM1" s="2"/>
      <c r="LWN1" s="2"/>
      <c r="LWO1" s="2"/>
      <c r="LWP1" s="2"/>
      <c r="LWQ1" s="2"/>
      <c r="LWR1" s="2"/>
      <c r="LWS1" s="2"/>
      <c r="LWT1" s="2"/>
      <c r="LWU1" s="2"/>
      <c r="LWV1" s="2"/>
      <c r="LWW1" s="2"/>
      <c r="LWX1" s="2"/>
      <c r="LWY1" s="2"/>
      <c r="LWZ1" s="2"/>
      <c r="LXA1" s="2"/>
      <c r="LXB1" s="2"/>
      <c r="LXC1" s="2"/>
      <c r="LXD1" s="2"/>
      <c r="LXE1" s="2"/>
      <c r="LXF1" s="2"/>
      <c r="LXG1" s="2"/>
      <c r="LXH1" s="2"/>
      <c r="LXI1" s="2"/>
      <c r="LXJ1" s="2"/>
      <c r="LXK1" s="2"/>
      <c r="LXL1" s="2"/>
      <c r="LXM1" s="2"/>
      <c r="LXN1" s="2"/>
      <c r="LXO1" s="2"/>
      <c r="LXP1" s="2"/>
      <c r="LXQ1" s="2"/>
      <c r="LXR1" s="2"/>
      <c r="LXS1" s="2"/>
      <c r="LXT1" s="2"/>
      <c r="LXU1" s="2"/>
      <c r="LXV1" s="2"/>
      <c r="LXW1" s="2"/>
      <c r="LXX1" s="2"/>
      <c r="LXY1" s="2"/>
      <c r="LXZ1" s="2"/>
      <c r="LYA1" s="2"/>
      <c r="LYB1" s="2"/>
      <c r="LYC1" s="2"/>
      <c r="LYD1" s="2"/>
      <c r="LYE1" s="2"/>
      <c r="LYF1" s="2"/>
      <c r="LYG1" s="2"/>
      <c r="LYH1" s="2"/>
      <c r="LYI1" s="2"/>
      <c r="LYJ1" s="2"/>
      <c r="LYK1" s="2"/>
      <c r="LYL1" s="2"/>
      <c r="LYM1" s="2"/>
      <c r="LYN1" s="2"/>
      <c r="LYO1" s="2"/>
      <c r="LYP1" s="2"/>
      <c r="LYQ1" s="2"/>
      <c r="LYR1" s="2"/>
      <c r="LYS1" s="2"/>
      <c r="LYT1" s="2"/>
      <c r="LYU1" s="2"/>
      <c r="LYV1" s="2"/>
      <c r="LYW1" s="2"/>
      <c r="LYX1" s="2"/>
      <c r="LYY1" s="2"/>
      <c r="LYZ1" s="2"/>
      <c r="LZA1" s="2"/>
      <c r="LZB1" s="2"/>
      <c r="LZC1" s="2"/>
      <c r="LZD1" s="2"/>
      <c r="LZE1" s="2"/>
      <c r="LZF1" s="2"/>
      <c r="LZG1" s="2"/>
      <c r="LZH1" s="2"/>
      <c r="LZI1" s="2"/>
      <c r="LZJ1" s="2"/>
      <c r="LZK1" s="2"/>
      <c r="LZL1" s="2"/>
      <c r="LZM1" s="2"/>
      <c r="LZN1" s="2"/>
      <c r="LZO1" s="2"/>
      <c r="LZP1" s="2"/>
      <c r="LZQ1" s="2"/>
      <c r="LZR1" s="2"/>
      <c r="LZS1" s="2"/>
      <c r="LZT1" s="2"/>
      <c r="LZU1" s="2"/>
      <c r="LZV1" s="2"/>
      <c r="LZW1" s="2"/>
      <c r="LZX1" s="2"/>
      <c r="LZY1" s="2"/>
      <c r="LZZ1" s="2"/>
      <c r="MAA1" s="2"/>
      <c r="MAB1" s="2"/>
      <c r="MAC1" s="2"/>
      <c r="MAD1" s="2"/>
      <c r="MAE1" s="2"/>
      <c r="MAF1" s="2"/>
      <c r="MAG1" s="2"/>
      <c r="MAH1" s="2"/>
      <c r="MAI1" s="2"/>
      <c r="MAJ1" s="2"/>
      <c r="MAK1" s="2"/>
      <c r="MAL1" s="2"/>
      <c r="MAM1" s="2"/>
      <c r="MAN1" s="2"/>
      <c r="MAO1" s="2"/>
      <c r="MAP1" s="2"/>
      <c r="MAQ1" s="2"/>
      <c r="MAR1" s="2"/>
      <c r="MAS1" s="2"/>
      <c r="MAT1" s="2"/>
      <c r="MAU1" s="2"/>
      <c r="MAV1" s="2"/>
      <c r="MAW1" s="2"/>
      <c r="MAX1" s="2"/>
      <c r="MAY1" s="2"/>
      <c r="MAZ1" s="2"/>
      <c r="MBA1" s="2"/>
      <c r="MBB1" s="2"/>
      <c r="MBC1" s="2"/>
      <c r="MBD1" s="2"/>
      <c r="MBE1" s="2"/>
      <c r="MBF1" s="2"/>
      <c r="MBG1" s="2"/>
      <c r="MBH1" s="2"/>
      <c r="MBI1" s="2"/>
      <c r="MBJ1" s="2"/>
      <c r="MBK1" s="2"/>
      <c r="MBL1" s="2"/>
      <c r="MBM1" s="2"/>
      <c r="MBN1" s="2"/>
      <c r="MBO1" s="2"/>
      <c r="MBP1" s="2"/>
      <c r="MBQ1" s="2"/>
      <c r="MBR1" s="2"/>
      <c r="MBS1" s="2"/>
      <c r="MBT1" s="2"/>
      <c r="MBU1" s="2"/>
      <c r="MBV1" s="2"/>
      <c r="MBW1" s="2"/>
      <c r="MBX1" s="2"/>
      <c r="MBY1" s="2"/>
      <c r="MBZ1" s="2"/>
      <c r="MCA1" s="2"/>
      <c r="MCB1" s="2"/>
      <c r="MCC1" s="2"/>
      <c r="MCD1" s="2"/>
      <c r="MCE1" s="2"/>
      <c r="MCF1" s="2"/>
      <c r="MCG1" s="2"/>
      <c r="MCH1" s="2"/>
      <c r="MCI1" s="2"/>
      <c r="MCJ1" s="2"/>
      <c r="MCK1" s="2"/>
      <c r="MCL1" s="2"/>
      <c r="MCM1" s="2"/>
      <c r="MCN1" s="2"/>
      <c r="MCO1" s="2"/>
      <c r="MCP1" s="2"/>
      <c r="MCQ1" s="2"/>
      <c r="MCR1" s="2"/>
      <c r="MCS1" s="2"/>
      <c r="MCT1" s="2"/>
      <c r="MCU1" s="2"/>
      <c r="MCV1" s="2"/>
      <c r="MCW1" s="2"/>
      <c r="MCX1" s="2"/>
      <c r="MCY1" s="2"/>
      <c r="MCZ1" s="2"/>
      <c r="MDA1" s="2"/>
      <c r="MDB1" s="2"/>
      <c r="MDC1" s="2"/>
      <c r="MDD1" s="2"/>
      <c r="MDE1" s="2"/>
      <c r="MDF1" s="2"/>
      <c r="MDG1" s="2"/>
      <c r="MDH1" s="2"/>
      <c r="MDI1" s="2"/>
      <c r="MDJ1" s="2"/>
      <c r="MDK1" s="2"/>
      <c r="MDL1" s="2"/>
      <c r="MDM1" s="2"/>
      <c r="MDN1" s="2"/>
      <c r="MDO1" s="2"/>
      <c r="MDP1" s="2"/>
      <c r="MDQ1" s="2"/>
      <c r="MDR1" s="2"/>
      <c r="MDS1" s="2"/>
      <c r="MDT1" s="2"/>
      <c r="MDU1" s="2"/>
      <c r="MDV1" s="2"/>
      <c r="MDW1" s="2"/>
      <c r="MDX1" s="2"/>
      <c r="MDY1" s="2"/>
      <c r="MDZ1" s="2"/>
      <c r="MEA1" s="2"/>
      <c r="MEB1" s="2"/>
      <c r="MEC1" s="2"/>
      <c r="MED1" s="2"/>
      <c r="MEE1" s="2"/>
      <c r="MEF1" s="2"/>
      <c r="MEG1" s="2"/>
      <c r="MEH1" s="2"/>
      <c r="MEI1" s="2"/>
      <c r="MEJ1" s="2"/>
      <c r="MEK1" s="2"/>
      <c r="MEL1" s="2"/>
      <c r="MEM1" s="2"/>
      <c r="MEN1" s="2"/>
      <c r="MEO1" s="2"/>
      <c r="MEP1" s="2"/>
      <c r="MEQ1" s="2"/>
      <c r="MER1" s="2"/>
      <c r="MES1" s="2"/>
      <c r="MET1" s="2"/>
      <c r="MEU1" s="2"/>
      <c r="MEV1" s="2"/>
      <c r="MEW1" s="2"/>
      <c r="MEX1" s="2"/>
      <c r="MEY1" s="2"/>
      <c r="MEZ1" s="2"/>
      <c r="MFA1" s="2"/>
      <c r="MFB1" s="2"/>
      <c r="MFC1" s="2"/>
      <c r="MFD1" s="2"/>
      <c r="MFE1" s="2"/>
      <c r="MFF1" s="2"/>
      <c r="MFG1" s="2"/>
      <c r="MFH1" s="2"/>
      <c r="MFI1" s="2"/>
      <c r="MFJ1" s="2"/>
      <c r="MFK1" s="2"/>
      <c r="MFL1" s="2"/>
      <c r="MFM1" s="2"/>
      <c r="MFN1" s="2"/>
      <c r="MFO1" s="2"/>
      <c r="MFP1" s="2"/>
      <c r="MFQ1" s="2"/>
      <c r="MFR1" s="2"/>
      <c r="MFS1" s="2"/>
      <c r="MFT1" s="2"/>
      <c r="MFU1" s="2"/>
      <c r="MFV1" s="2"/>
      <c r="MFW1" s="2"/>
      <c r="MFX1" s="2"/>
      <c r="MFY1" s="2"/>
      <c r="MFZ1" s="2"/>
      <c r="MGA1" s="2"/>
      <c r="MGB1" s="2"/>
      <c r="MGC1" s="2"/>
      <c r="MGD1" s="2"/>
      <c r="MGE1" s="2"/>
      <c r="MGF1" s="2"/>
      <c r="MGG1" s="2"/>
      <c r="MGH1" s="2"/>
      <c r="MGI1" s="2"/>
      <c r="MGJ1" s="2"/>
      <c r="MGK1" s="2"/>
      <c r="MGL1" s="2"/>
      <c r="MGM1" s="2"/>
      <c r="MGN1" s="2"/>
      <c r="MGO1" s="2"/>
      <c r="MGP1" s="2"/>
      <c r="MGQ1" s="2"/>
      <c r="MGR1" s="2"/>
      <c r="MGS1" s="2"/>
      <c r="MGT1" s="2"/>
      <c r="MGU1" s="2"/>
      <c r="MGV1" s="2"/>
      <c r="MGW1" s="2"/>
      <c r="MGX1" s="2"/>
      <c r="MGY1" s="2"/>
      <c r="MGZ1" s="2"/>
      <c r="MHA1" s="2"/>
      <c r="MHB1" s="2"/>
      <c r="MHC1" s="2"/>
      <c r="MHD1" s="2"/>
      <c r="MHE1" s="2"/>
      <c r="MHF1" s="2"/>
      <c r="MHG1" s="2"/>
      <c r="MHH1" s="2"/>
      <c r="MHI1" s="2"/>
      <c r="MHJ1" s="2"/>
      <c r="MHK1" s="2"/>
      <c r="MHL1" s="2"/>
      <c r="MHM1" s="2"/>
      <c r="MHN1" s="2"/>
      <c r="MHO1" s="2"/>
      <c r="MHP1" s="2"/>
      <c r="MHQ1" s="2"/>
      <c r="MHR1" s="2"/>
      <c r="MHS1" s="2"/>
      <c r="MHT1" s="2"/>
      <c r="MHU1" s="2"/>
      <c r="MHV1" s="2"/>
      <c r="MHW1" s="2"/>
      <c r="MHX1" s="2"/>
      <c r="MHY1" s="2"/>
      <c r="MHZ1" s="2"/>
      <c r="MIA1" s="2"/>
      <c r="MIB1" s="2"/>
      <c r="MIC1" s="2"/>
      <c r="MID1" s="2"/>
      <c r="MIE1" s="2"/>
      <c r="MIF1" s="2"/>
      <c r="MIG1" s="2"/>
      <c r="MIH1" s="2"/>
      <c r="MII1" s="2"/>
      <c r="MIJ1" s="2"/>
      <c r="MIK1" s="2"/>
      <c r="MIL1" s="2"/>
      <c r="MIM1" s="2"/>
      <c r="MIN1" s="2"/>
      <c r="MIO1" s="2"/>
      <c r="MIP1" s="2"/>
      <c r="MIQ1" s="2"/>
      <c r="MIR1" s="2"/>
      <c r="MIS1" s="2"/>
      <c r="MIT1" s="2"/>
      <c r="MIU1" s="2"/>
      <c r="MIV1" s="2"/>
      <c r="MIW1" s="2"/>
      <c r="MIX1" s="2"/>
      <c r="MIY1" s="2"/>
      <c r="MIZ1" s="2"/>
      <c r="MJA1" s="2"/>
      <c r="MJB1" s="2"/>
      <c r="MJC1" s="2"/>
      <c r="MJD1" s="2"/>
      <c r="MJE1" s="2"/>
      <c r="MJF1" s="2"/>
      <c r="MJG1" s="2"/>
      <c r="MJH1" s="2"/>
      <c r="MJI1" s="2"/>
      <c r="MJJ1" s="2"/>
      <c r="MJK1" s="2"/>
      <c r="MJL1" s="2"/>
      <c r="MJM1" s="2"/>
      <c r="MJN1" s="2"/>
      <c r="MJO1" s="2"/>
      <c r="MJP1" s="2"/>
      <c r="MJQ1" s="2"/>
      <c r="MJR1" s="2"/>
      <c r="MJS1" s="2"/>
      <c r="MJT1" s="2"/>
      <c r="MJU1" s="2"/>
      <c r="MJV1" s="2"/>
      <c r="MJW1" s="2"/>
      <c r="MJX1" s="2"/>
      <c r="MJY1" s="2"/>
      <c r="MJZ1" s="2"/>
      <c r="MKA1" s="2"/>
      <c r="MKB1" s="2"/>
      <c r="MKC1" s="2"/>
      <c r="MKD1" s="2"/>
      <c r="MKE1" s="2"/>
      <c r="MKF1" s="2"/>
      <c r="MKG1" s="2"/>
      <c r="MKH1" s="2"/>
      <c r="MKI1" s="2"/>
      <c r="MKJ1" s="2"/>
      <c r="MKK1" s="2"/>
      <c r="MKL1" s="2"/>
      <c r="MKM1" s="2"/>
      <c r="MKN1" s="2"/>
      <c r="MKO1" s="2"/>
      <c r="MKP1" s="2"/>
      <c r="MKQ1" s="2"/>
      <c r="MKR1" s="2"/>
      <c r="MKS1" s="2"/>
      <c r="MKT1" s="2"/>
      <c r="MKU1" s="2"/>
      <c r="MKV1" s="2"/>
      <c r="MKW1" s="2"/>
      <c r="MKX1" s="2"/>
      <c r="MKY1" s="2"/>
      <c r="MKZ1" s="2"/>
      <c r="MLA1" s="2"/>
      <c r="MLB1" s="2"/>
      <c r="MLC1" s="2"/>
      <c r="MLD1" s="2"/>
      <c r="MLE1" s="2"/>
      <c r="MLF1" s="2"/>
      <c r="MLG1" s="2"/>
      <c r="MLH1" s="2"/>
      <c r="MLI1" s="2"/>
      <c r="MLJ1" s="2"/>
      <c r="MLK1" s="2"/>
      <c r="MLL1" s="2"/>
      <c r="MLM1" s="2"/>
      <c r="MLN1" s="2"/>
      <c r="MLO1" s="2"/>
      <c r="MLP1" s="2"/>
      <c r="MLQ1" s="2"/>
      <c r="MLR1" s="2"/>
      <c r="MLS1" s="2"/>
      <c r="MLT1" s="2"/>
      <c r="MLU1" s="2"/>
      <c r="MLV1" s="2"/>
      <c r="MLW1" s="2"/>
      <c r="MLX1" s="2"/>
      <c r="MLY1" s="2"/>
      <c r="MLZ1" s="2"/>
      <c r="MMA1" s="2"/>
      <c r="MMB1" s="2"/>
      <c r="MMC1" s="2"/>
      <c r="MMD1" s="2"/>
      <c r="MME1" s="2"/>
      <c r="MMF1" s="2"/>
      <c r="MMG1" s="2"/>
      <c r="MMH1" s="2"/>
      <c r="MMI1" s="2"/>
      <c r="MMJ1" s="2"/>
      <c r="MMK1" s="2"/>
      <c r="MML1" s="2"/>
      <c r="MMM1" s="2"/>
      <c r="MMN1" s="2"/>
      <c r="MMO1" s="2"/>
      <c r="MMP1" s="2"/>
      <c r="MMQ1" s="2"/>
      <c r="MMR1" s="2"/>
      <c r="MMS1" s="2"/>
      <c r="MMT1" s="2"/>
      <c r="MMU1" s="2"/>
      <c r="MMV1" s="2"/>
      <c r="MMW1" s="2"/>
      <c r="MMX1" s="2"/>
      <c r="MMY1" s="2"/>
      <c r="MMZ1" s="2"/>
      <c r="MNA1" s="2"/>
      <c r="MNB1" s="2"/>
      <c r="MNC1" s="2"/>
      <c r="MND1" s="2"/>
      <c r="MNE1" s="2"/>
      <c r="MNF1" s="2"/>
      <c r="MNG1" s="2"/>
      <c r="MNH1" s="2"/>
      <c r="MNI1" s="2"/>
      <c r="MNJ1" s="2"/>
      <c r="MNK1" s="2"/>
      <c r="MNL1" s="2"/>
      <c r="MNM1" s="2"/>
      <c r="MNN1" s="2"/>
      <c r="MNO1" s="2"/>
      <c r="MNP1" s="2"/>
      <c r="MNQ1" s="2"/>
      <c r="MNR1" s="2"/>
      <c r="MNS1" s="2"/>
      <c r="MNT1" s="2"/>
      <c r="MNU1" s="2"/>
      <c r="MNV1" s="2"/>
      <c r="MNW1" s="2"/>
      <c r="MNX1" s="2"/>
      <c r="MNY1" s="2"/>
      <c r="MNZ1" s="2"/>
      <c r="MOA1" s="2"/>
      <c r="MOB1" s="2"/>
      <c r="MOC1" s="2"/>
      <c r="MOD1" s="2"/>
      <c r="MOE1" s="2"/>
      <c r="MOF1" s="2"/>
      <c r="MOG1" s="2"/>
      <c r="MOH1" s="2"/>
      <c r="MOI1" s="2"/>
      <c r="MOJ1" s="2"/>
      <c r="MOK1" s="2"/>
      <c r="MOL1" s="2"/>
      <c r="MOM1" s="2"/>
      <c r="MON1" s="2"/>
      <c r="MOO1" s="2"/>
      <c r="MOP1" s="2"/>
      <c r="MOQ1" s="2"/>
      <c r="MOR1" s="2"/>
      <c r="MOS1" s="2"/>
      <c r="MOT1" s="2"/>
      <c r="MOU1" s="2"/>
      <c r="MOV1" s="2"/>
      <c r="MOW1" s="2"/>
      <c r="MOX1" s="2"/>
      <c r="MOY1" s="2"/>
      <c r="MOZ1" s="2"/>
      <c r="MPA1" s="2"/>
      <c r="MPB1" s="2"/>
      <c r="MPC1" s="2"/>
      <c r="MPD1" s="2"/>
      <c r="MPE1" s="2"/>
      <c r="MPF1" s="2"/>
      <c r="MPG1" s="2"/>
      <c r="MPH1" s="2"/>
      <c r="MPI1" s="2"/>
      <c r="MPJ1" s="2"/>
      <c r="MPK1" s="2"/>
      <c r="MPL1" s="2"/>
      <c r="MPM1" s="2"/>
      <c r="MPN1" s="2"/>
      <c r="MPO1" s="2"/>
      <c r="MPP1" s="2"/>
      <c r="MPQ1" s="2"/>
      <c r="MPR1" s="2"/>
      <c r="MPS1" s="2"/>
      <c r="MPT1" s="2"/>
      <c r="MPU1" s="2"/>
      <c r="MPV1" s="2"/>
      <c r="MPW1" s="2"/>
      <c r="MPX1" s="2"/>
      <c r="MPY1" s="2"/>
      <c r="MPZ1" s="2"/>
      <c r="MQA1" s="2"/>
      <c r="MQB1" s="2"/>
      <c r="MQC1" s="2"/>
      <c r="MQD1" s="2"/>
      <c r="MQE1" s="2"/>
      <c r="MQF1" s="2"/>
      <c r="MQG1" s="2"/>
      <c r="MQH1" s="2"/>
      <c r="MQI1" s="2"/>
      <c r="MQJ1" s="2"/>
      <c r="MQK1" s="2"/>
      <c r="MQL1" s="2"/>
      <c r="MQM1" s="2"/>
      <c r="MQN1" s="2"/>
      <c r="MQO1" s="2"/>
      <c r="MQP1" s="2"/>
      <c r="MQQ1" s="2"/>
      <c r="MQR1" s="2"/>
      <c r="MQS1" s="2"/>
      <c r="MQT1" s="2"/>
      <c r="MQU1" s="2"/>
      <c r="MQV1" s="2"/>
      <c r="MQW1" s="2"/>
      <c r="MQX1" s="2"/>
      <c r="MQY1" s="2"/>
      <c r="MQZ1" s="2"/>
      <c r="MRA1" s="2"/>
      <c r="MRB1" s="2"/>
      <c r="MRC1" s="2"/>
      <c r="MRD1" s="2"/>
      <c r="MRE1" s="2"/>
      <c r="MRF1" s="2"/>
      <c r="MRG1" s="2"/>
      <c r="MRH1" s="2"/>
      <c r="MRI1" s="2"/>
      <c r="MRJ1" s="2"/>
      <c r="MRK1" s="2"/>
      <c r="MRL1" s="2"/>
      <c r="MRM1" s="2"/>
      <c r="MRN1" s="2"/>
      <c r="MRO1" s="2"/>
      <c r="MRP1" s="2"/>
      <c r="MRQ1" s="2"/>
      <c r="MRR1" s="2"/>
      <c r="MRS1" s="2"/>
      <c r="MRT1" s="2"/>
      <c r="MRU1" s="2"/>
      <c r="MRV1" s="2"/>
      <c r="MRW1" s="2"/>
      <c r="MRX1" s="2"/>
      <c r="MRY1" s="2"/>
      <c r="MRZ1" s="2"/>
      <c r="MSA1" s="2"/>
      <c r="MSB1" s="2"/>
      <c r="MSC1" s="2"/>
      <c r="MSD1" s="2"/>
      <c r="MSE1" s="2"/>
      <c r="MSF1" s="2"/>
      <c r="MSG1" s="2"/>
      <c r="MSH1" s="2"/>
      <c r="MSI1" s="2"/>
      <c r="MSJ1" s="2"/>
      <c r="MSK1" s="2"/>
      <c r="MSL1" s="2"/>
      <c r="MSM1" s="2"/>
      <c r="MSN1" s="2"/>
      <c r="MSO1" s="2"/>
      <c r="MSP1" s="2"/>
      <c r="MSQ1" s="2"/>
      <c r="MSR1" s="2"/>
      <c r="MSS1" s="2"/>
      <c r="MST1" s="2"/>
      <c r="MSU1" s="2"/>
      <c r="MSV1" s="2"/>
      <c r="MSW1" s="2"/>
      <c r="MSX1" s="2"/>
      <c r="MSY1" s="2"/>
      <c r="MSZ1" s="2"/>
      <c r="MTA1" s="2"/>
      <c r="MTB1" s="2"/>
      <c r="MTC1" s="2"/>
      <c r="MTD1" s="2"/>
      <c r="MTE1" s="2"/>
      <c r="MTF1" s="2"/>
      <c r="MTG1" s="2"/>
      <c r="MTH1" s="2"/>
      <c r="MTI1" s="2"/>
      <c r="MTJ1" s="2"/>
      <c r="MTK1" s="2"/>
      <c r="MTL1" s="2"/>
      <c r="MTM1" s="2"/>
      <c r="MTN1" s="2"/>
      <c r="MTO1" s="2"/>
      <c r="MTP1" s="2"/>
      <c r="MTQ1" s="2"/>
      <c r="MTR1" s="2"/>
      <c r="MTS1" s="2"/>
      <c r="MTT1" s="2"/>
      <c r="MTU1" s="2"/>
      <c r="MTV1" s="2"/>
      <c r="MTW1" s="2"/>
      <c r="MTX1" s="2"/>
      <c r="MTY1" s="2"/>
      <c r="MTZ1" s="2"/>
      <c r="MUA1" s="2"/>
      <c r="MUB1" s="2"/>
      <c r="MUC1" s="2"/>
      <c r="MUD1" s="2"/>
      <c r="MUE1" s="2"/>
      <c r="MUF1" s="2"/>
      <c r="MUG1" s="2"/>
      <c r="MUH1" s="2"/>
      <c r="MUI1" s="2"/>
      <c r="MUJ1" s="2"/>
      <c r="MUK1" s="2"/>
      <c r="MUL1" s="2"/>
      <c r="MUM1" s="2"/>
      <c r="MUN1" s="2"/>
      <c r="MUO1" s="2"/>
      <c r="MUP1" s="2"/>
      <c r="MUQ1" s="2"/>
      <c r="MUR1" s="2"/>
      <c r="MUS1" s="2"/>
      <c r="MUT1" s="2"/>
      <c r="MUU1" s="2"/>
      <c r="MUV1" s="2"/>
      <c r="MUW1" s="2"/>
      <c r="MUX1" s="2"/>
      <c r="MUY1" s="2"/>
      <c r="MUZ1" s="2"/>
      <c r="MVA1" s="2"/>
      <c r="MVB1" s="2"/>
      <c r="MVC1" s="2"/>
      <c r="MVD1" s="2"/>
      <c r="MVE1" s="2"/>
      <c r="MVF1" s="2"/>
      <c r="MVG1" s="2"/>
      <c r="MVH1" s="2"/>
      <c r="MVI1" s="2"/>
      <c r="MVJ1" s="2"/>
      <c r="MVK1" s="2"/>
      <c r="MVL1" s="2"/>
      <c r="MVM1" s="2"/>
      <c r="MVN1" s="2"/>
      <c r="MVO1" s="2"/>
      <c r="MVP1" s="2"/>
      <c r="MVQ1" s="2"/>
      <c r="MVR1" s="2"/>
      <c r="MVS1" s="2"/>
      <c r="MVT1" s="2"/>
      <c r="MVU1" s="2"/>
      <c r="MVV1" s="2"/>
      <c r="MVW1" s="2"/>
      <c r="MVX1" s="2"/>
      <c r="MVY1" s="2"/>
      <c r="MVZ1" s="2"/>
      <c r="MWA1" s="2"/>
      <c r="MWB1" s="2"/>
      <c r="MWC1" s="2"/>
      <c r="MWD1" s="2"/>
      <c r="MWE1" s="2"/>
      <c r="MWF1" s="2"/>
      <c r="MWG1" s="2"/>
      <c r="MWH1" s="2"/>
      <c r="MWI1" s="2"/>
      <c r="MWJ1" s="2"/>
      <c r="MWK1" s="2"/>
      <c r="MWL1" s="2"/>
      <c r="MWM1" s="2"/>
      <c r="MWN1" s="2"/>
      <c r="MWO1" s="2"/>
      <c r="MWP1" s="2"/>
      <c r="MWQ1" s="2"/>
      <c r="MWR1" s="2"/>
      <c r="MWS1" s="2"/>
      <c r="MWT1" s="2"/>
      <c r="MWU1" s="2"/>
      <c r="MWV1" s="2"/>
      <c r="MWW1" s="2"/>
      <c r="MWX1" s="2"/>
      <c r="MWY1" s="2"/>
      <c r="MWZ1" s="2"/>
      <c r="MXA1" s="2"/>
      <c r="MXB1" s="2"/>
      <c r="MXC1" s="2"/>
      <c r="MXD1" s="2"/>
      <c r="MXE1" s="2"/>
      <c r="MXF1" s="2"/>
      <c r="MXG1" s="2"/>
      <c r="MXH1" s="2"/>
      <c r="MXI1" s="2"/>
      <c r="MXJ1" s="2"/>
      <c r="MXK1" s="2"/>
      <c r="MXL1" s="2"/>
      <c r="MXM1" s="2"/>
      <c r="MXN1" s="2"/>
      <c r="MXO1" s="2"/>
      <c r="MXP1" s="2"/>
      <c r="MXQ1" s="2"/>
      <c r="MXR1" s="2"/>
      <c r="MXS1" s="2"/>
      <c r="MXT1" s="2"/>
      <c r="MXU1" s="2"/>
      <c r="MXV1" s="2"/>
      <c r="MXW1" s="2"/>
      <c r="MXX1" s="2"/>
      <c r="MXY1" s="2"/>
      <c r="MXZ1" s="2"/>
      <c r="MYA1" s="2"/>
      <c r="MYB1" s="2"/>
      <c r="MYC1" s="2"/>
      <c r="MYD1" s="2"/>
      <c r="MYE1" s="2"/>
      <c r="MYF1" s="2"/>
      <c r="MYG1" s="2"/>
      <c r="MYH1" s="2"/>
      <c r="MYI1" s="2"/>
      <c r="MYJ1" s="2"/>
      <c r="MYK1" s="2"/>
      <c r="MYL1" s="2"/>
      <c r="MYM1" s="2"/>
      <c r="MYN1" s="2"/>
      <c r="MYO1" s="2"/>
      <c r="MYP1" s="2"/>
      <c r="MYQ1" s="2"/>
      <c r="MYR1" s="2"/>
      <c r="MYS1" s="2"/>
      <c r="MYT1" s="2"/>
      <c r="MYU1" s="2"/>
      <c r="MYV1" s="2"/>
      <c r="MYW1" s="2"/>
      <c r="MYX1" s="2"/>
      <c r="MYY1" s="2"/>
      <c r="MYZ1" s="2"/>
      <c r="MZA1" s="2"/>
      <c r="MZB1" s="2"/>
      <c r="MZC1" s="2"/>
      <c r="MZD1" s="2"/>
      <c r="MZE1" s="2"/>
      <c r="MZF1" s="2"/>
      <c r="MZG1" s="2"/>
      <c r="MZH1" s="2"/>
      <c r="MZI1" s="2"/>
      <c r="MZJ1" s="2"/>
      <c r="MZK1" s="2"/>
      <c r="MZL1" s="2"/>
      <c r="MZM1" s="2"/>
      <c r="MZN1" s="2"/>
      <c r="MZO1" s="2"/>
      <c r="MZP1" s="2"/>
      <c r="MZQ1" s="2"/>
      <c r="MZR1" s="2"/>
      <c r="MZS1" s="2"/>
      <c r="MZT1" s="2"/>
      <c r="MZU1" s="2"/>
      <c r="MZV1" s="2"/>
      <c r="MZW1" s="2"/>
      <c r="MZX1" s="2"/>
      <c r="MZY1" s="2"/>
      <c r="MZZ1" s="2"/>
      <c r="NAA1" s="2"/>
      <c r="NAB1" s="2"/>
      <c r="NAC1" s="2"/>
      <c r="NAD1" s="2"/>
      <c r="NAE1" s="2"/>
      <c r="NAF1" s="2"/>
      <c r="NAG1" s="2"/>
      <c r="NAH1" s="2"/>
      <c r="NAI1" s="2"/>
      <c r="NAJ1" s="2"/>
      <c r="NAK1" s="2"/>
      <c r="NAL1" s="2"/>
      <c r="NAM1" s="2"/>
      <c r="NAN1" s="2"/>
      <c r="NAO1" s="2"/>
      <c r="NAP1" s="2"/>
      <c r="NAQ1" s="2"/>
      <c r="NAR1" s="2"/>
      <c r="NAS1" s="2"/>
      <c r="NAT1" s="2"/>
      <c r="NAU1" s="2"/>
      <c r="NAV1" s="2"/>
      <c r="NAW1" s="2"/>
      <c r="NAX1" s="2"/>
      <c r="NAY1" s="2"/>
      <c r="NAZ1" s="2"/>
      <c r="NBA1" s="2"/>
      <c r="NBB1" s="2"/>
      <c r="NBC1" s="2"/>
      <c r="NBD1" s="2"/>
      <c r="NBE1" s="2"/>
      <c r="NBF1" s="2"/>
      <c r="NBG1" s="2"/>
      <c r="NBH1" s="2"/>
      <c r="NBI1" s="2"/>
      <c r="NBJ1" s="2"/>
      <c r="NBK1" s="2"/>
      <c r="NBL1" s="2"/>
      <c r="NBM1" s="2"/>
      <c r="NBN1" s="2"/>
      <c r="NBO1" s="2"/>
      <c r="NBP1" s="2"/>
      <c r="NBQ1" s="2"/>
      <c r="NBR1" s="2"/>
      <c r="NBS1" s="2"/>
      <c r="NBT1" s="2"/>
      <c r="NBU1" s="2"/>
      <c r="NBV1" s="2"/>
      <c r="NBW1" s="2"/>
      <c r="NBX1" s="2"/>
      <c r="NBY1" s="2"/>
      <c r="NBZ1" s="2"/>
      <c r="NCA1" s="2"/>
      <c r="NCB1" s="2"/>
      <c r="NCC1" s="2"/>
      <c r="NCD1" s="2"/>
      <c r="NCE1" s="2"/>
      <c r="NCF1" s="2"/>
      <c r="NCG1" s="2"/>
      <c r="NCH1" s="2"/>
      <c r="NCI1" s="2"/>
      <c r="NCJ1" s="2"/>
      <c r="NCK1" s="2"/>
      <c r="NCL1" s="2"/>
      <c r="NCM1" s="2"/>
      <c r="NCN1" s="2"/>
      <c r="NCO1" s="2"/>
      <c r="NCP1" s="2"/>
      <c r="NCQ1" s="2"/>
      <c r="NCR1" s="2"/>
      <c r="NCS1" s="2"/>
      <c r="NCT1" s="2"/>
      <c r="NCU1" s="2"/>
      <c r="NCV1" s="2"/>
      <c r="NCW1" s="2"/>
      <c r="NCX1" s="2"/>
      <c r="NCY1" s="2"/>
      <c r="NCZ1" s="2"/>
      <c r="NDA1" s="2"/>
      <c r="NDB1" s="2"/>
      <c r="NDC1" s="2"/>
      <c r="NDD1" s="2"/>
      <c r="NDE1" s="2"/>
      <c r="NDF1" s="2"/>
      <c r="NDG1" s="2"/>
      <c r="NDH1" s="2"/>
      <c r="NDI1" s="2"/>
      <c r="NDJ1" s="2"/>
      <c r="NDK1" s="2"/>
      <c r="NDL1" s="2"/>
      <c r="NDM1" s="2"/>
      <c r="NDN1" s="2"/>
      <c r="NDO1" s="2"/>
      <c r="NDP1" s="2"/>
      <c r="NDQ1" s="2"/>
      <c r="NDR1" s="2"/>
      <c r="NDS1" s="2"/>
      <c r="NDT1" s="2"/>
      <c r="NDU1" s="2"/>
      <c r="NDV1" s="2"/>
      <c r="NDW1" s="2"/>
      <c r="NDX1" s="2"/>
      <c r="NDY1" s="2"/>
      <c r="NDZ1" s="2"/>
      <c r="NEA1" s="2"/>
      <c r="NEB1" s="2"/>
      <c r="NEC1" s="2"/>
      <c r="NED1" s="2"/>
      <c r="NEE1" s="2"/>
      <c r="NEF1" s="2"/>
      <c r="NEG1" s="2"/>
      <c r="NEH1" s="2"/>
      <c r="NEI1" s="2"/>
      <c r="NEJ1" s="2"/>
      <c r="NEK1" s="2"/>
      <c r="NEL1" s="2"/>
      <c r="NEM1" s="2"/>
      <c r="NEN1" s="2"/>
      <c r="NEO1" s="2"/>
      <c r="NEP1" s="2"/>
      <c r="NEQ1" s="2"/>
      <c r="NER1" s="2"/>
      <c r="NES1" s="2"/>
      <c r="NET1" s="2"/>
      <c r="NEU1" s="2"/>
      <c r="NEV1" s="2"/>
      <c r="NEW1" s="2"/>
      <c r="NEX1" s="2"/>
      <c r="NEY1" s="2"/>
      <c r="NEZ1" s="2"/>
      <c r="NFA1" s="2"/>
      <c r="NFB1" s="2"/>
      <c r="NFC1" s="2"/>
      <c r="NFD1" s="2"/>
      <c r="NFE1" s="2"/>
      <c r="NFF1" s="2"/>
      <c r="NFG1" s="2"/>
      <c r="NFH1" s="2"/>
      <c r="NFI1" s="2"/>
      <c r="NFJ1" s="2"/>
      <c r="NFK1" s="2"/>
      <c r="NFL1" s="2"/>
      <c r="NFM1" s="2"/>
      <c r="NFN1" s="2"/>
      <c r="NFO1" s="2"/>
      <c r="NFP1" s="2"/>
      <c r="NFQ1" s="2"/>
      <c r="NFR1" s="2"/>
      <c r="NFS1" s="2"/>
      <c r="NFT1" s="2"/>
      <c r="NFU1" s="2"/>
      <c r="NFV1" s="2"/>
      <c r="NFW1" s="2"/>
      <c r="NFX1" s="2"/>
      <c r="NFY1" s="2"/>
      <c r="NFZ1" s="2"/>
      <c r="NGA1" s="2"/>
      <c r="NGB1" s="2"/>
      <c r="NGC1" s="2"/>
      <c r="NGD1" s="2"/>
      <c r="NGE1" s="2"/>
      <c r="NGF1" s="2"/>
      <c r="NGG1" s="2"/>
      <c r="NGH1" s="2"/>
      <c r="NGI1" s="2"/>
      <c r="NGJ1" s="2"/>
      <c r="NGK1" s="2"/>
      <c r="NGL1" s="2"/>
      <c r="NGM1" s="2"/>
      <c r="NGN1" s="2"/>
      <c r="NGO1" s="2"/>
      <c r="NGP1" s="2"/>
      <c r="NGQ1" s="2"/>
      <c r="NGR1" s="2"/>
      <c r="NGS1" s="2"/>
      <c r="NGT1" s="2"/>
      <c r="NGU1" s="2"/>
      <c r="NGV1" s="2"/>
      <c r="NGW1" s="2"/>
      <c r="NGX1" s="2"/>
      <c r="NGY1" s="2"/>
      <c r="NGZ1" s="2"/>
      <c r="NHA1" s="2"/>
      <c r="NHB1" s="2"/>
      <c r="NHC1" s="2"/>
      <c r="NHD1" s="2"/>
      <c r="NHE1" s="2"/>
      <c r="NHF1" s="2"/>
      <c r="NHG1" s="2"/>
      <c r="NHH1" s="2"/>
      <c r="NHI1" s="2"/>
      <c r="NHJ1" s="2"/>
      <c r="NHK1" s="2"/>
      <c r="NHL1" s="2"/>
      <c r="NHM1" s="2"/>
      <c r="NHN1" s="2"/>
      <c r="NHO1" s="2"/>
      <c r="NHP1" s="2"/>
      <c r="NHQ1" s="2"/>
      <c r="NHR1" s="2"/>
      <c r="NHS1" s="2"/>
      <c r="NHT1" s="2"/>
      <c r="NHU1" s="2"/>
      <c r="NHV1" s="2"/>
      <c r="NHW1" s="2"/>
      <c r="NHX1" s="2"/>
      <c r="NHY1" s="2"/>
      <c r="NHZ1" s="2"/>
      <c r="NIA1" s="2"/>
      <c r="NIB1" s="2"/>
      <c r="NIC1" s="2"/>
      <c r="NID1" s="2"/>
      <c r="NIE1" s="2"/>
      <c r="NIF1" s="2"/>
      <c r="NIG1" s="2"/>
      <c r="NIH1" s="2"/>
      <c r="NII1" s="2"/>
      <c r="NIJ1" s="2"/>
      <c r="NIK1" s="2"/>
      <c r="NIL1" s="2"/>
      <c r="NIM1" s="2"/>
      <c r="NIN1" s="2"/>
      <c r="NIO1" s="2"/>
      <c r="NIP1" s="2"/>
      <c r="NIQ1" s="2"/>
      <c r="NIR1" s="2"/>
      <c r="NIS1" s="2"/>
      <c r="NIT1" s="2"/>
      <c r="NIU1" s="2"/>
      <c r="NIV1" s="2"/>
      <c r="NIW1" s="2"/>
      <c r="NIX1" s="2"/>
      <c r="NIY1" s="2"/>
      <c r="NIZ1" s="2"/>
      <c r="NJA1" s="2"/>
      <c r="NJB1" s="2"/>
      <c r="NJC1" s="2"/>
      <c r="NJD1" s="2"/>
      <c r="NJE1" s="2"/>
      <c r="NJF1" s="2"/>
      <c r="NJG1" s="2"/>
      <c r="NJH1" s="2"/>
      <c r="NJI1" s="2"/>
      <c r="NJJ1" s="2"/>
      <c r="NJK1" s="2"/>
      <c r="NJL1" s="2"/>
      <c r="NJM1" s="2"/>
      <c r="NJN1" s="2"/>
      <c r="NJO1" s="2"/>
      <c r="NJP1" s="2"/>
      <c r="NJQ1" s="2"/>
      <c r="NJR1" s="2"/>
      <c r="NJS1" s="2"/>
      <c r="NJT1" s="2"/>
      <c r="NJU1" s="2"/>
      <c r="NJV1" s="2"/>
      <c r="NJW1" s="2"/>
      <c r="NJX1" s="2"/>
      <c r="NJY1" s="2"/>
      <c r="NJZ1" s="2"/>
      <c r="NKA1" s="2"/>
      <c r="NKB1" s="2"/>
      <c r="NKC1" s="2"/>
      <c r="NKD1" s="2"/>
      <c r="NKE1" s="2"/>
      <c r="NKF1" s="2"/>
      <c r="NKG1" s="2"/>
      <c r="NKH1" s="2"/>
      <c r="NKI1" s="2"/>
      <c r="NKJ1" s="2"/>
      <c r="NKK1" s="2"/>
      <c r="NKL1" s="2"/>
      <c r="NKM1" s="2"/>
      <c r="NKN1" s="2"/>
      <c r="NKO1" s="2"/>
      <c r="NKP1" s="2"/>
      <c r="NKQ1" s="2"/>
      <c r="NKR1" s="2"/>
      <c r="NKS1" s="2"/>
      <c r="NKT1" s="2"/>
      <c r="NKU1" s="2"/>
      <c r="NKV1" s="2"/>
      <c r="NKW1" s="2"/>
      <c r="NKX1" s="2"/>
      <c r="NKY1" s="2"/>
      <c r="NKZ1" s="2"/>
      <c r="NLA1" s="2"/>
      <c r="NLB1" s="2"/>
      <c r="NLC1" s="2"/>
      <c r="NLD1" s="2"/>
      <c r="NLE1" s="2"/>
      <c r="NLF1" s="2"/>
      <c r="NLG1" s="2"/>
      <c r="NLH1" s="2"/>
      <c r="NLI1" s="2"/>
      <c r="NLJ1" s="2"/>
      <c r="NLK1" s="2"/>
      <c r="NLL1" s="2"/>
      <c r="NLM1" s="2"/>
      <c r="NLN1" s="2"/>
      <c r="NLO1" s="2"/>
      <c r="NLP1" s="2"/>
      <c r="NLQ1" s="2"/>
      <c r="NLR1" s="2"/>
      <c r="NLS1" s="2"/>
      <c r="NLT1" s="2"/>
      <c r="NLU1" s="2"/>
      <c r="NLV1" s="2"/>
      <c r="NLW1" s="2"/>
      <c r="NLX1" s="2"/>
      <c r="NLY1" s="2"/>
      <c r="NLZ1" s="2"/>
      <c r="NMA1" s="2"/>
      <c r="NMB1" s="2"/>
      <c r="NMC1" s="2"/>
      <c r="NMD1" s="2"/>
      <c r="NME1" s="2"/>
      <c r="NMF1" s="2"/>
      <c r="NMG1" s="2"/>
      <c r="NMH1" s="2"/>
      <c r="NMI1" s="2"/>
      <c r="NMJ1" s="2"/>
      <c r="NMK1" s="2"/>
      <c r="NML1" s="2"/>
      <c r="NMM1" s="2"/>
      <c r="NMN1" s="2"/>
      <c r="NMO1" s="2"/>
      <c r="NMP1" s="2"/>
      <c r="NMQ1" s="2"/>
      <c r="NMR1" s="2"/>
      <c r="NMS1" s="2"/>
      <c r="NMT1" s="2"/>
      <c r="NMU1" s="2"/>
      <c r="NMV1" s="2"/>
      <c r="NMW1" s="2"/>
      <c r="NMX1" s="2"/>
      <c r="NMY1" s="2"/>
      <c r="NMZ1" s="2"/>
      <c r="NNA1" s="2"/>
      <c r="NNB1" s="2"/>
      <c r="NNC1" s="2"/>
      <c r="NND1" s="2"/>
      <c r="NNE1" s="2"/>
      <c r="NNF1" s="2"/>
      <c r="NNG1" s="2"/>
      <c r="NNH1" s="2"/>
      <c r="NNI1" s="2"/>
      <c r="NNJ1" s="2"/>
      <c r="NNK1" s="2"/>
      <c r="NNL1" s="2"/>
      <c r="NNM1" s="2"/>
      <c r="NNN1" s="2"/>
      <c r="NNO1" s="2"/>
      <c r="NNP1" s="2"/>
      <c r="NNQ1" s="2"/>
      <c r="NNR1" s="2"/>
      <c r="NNS1" s="2"/>
      <c r="NNT1" s="2"/>
      <c r="NNU1" s="2"/>
      <c r="NNV1" s="2"/>
      <c r="NNW1" s="2"/>
      <c r="NNX1" s="2"/>
      <c r="NNY1" s="2"/>
      <c r="NNZ1" s="2"/>
      <c r="NOA1" s="2"/>
      <c r="NOB1" s="2"/>
      <c r="NOC1" s="2"/>
      <c r="NOD1" s="2"/>
      <c r="NOE1" s="2"/>
      <c r="NOF1" s="2"/>
      <c r="NOG1" s="2"/>
      <c r="NOH1" s="2"/>
      <c r="NOI1" s="2"/>
      <c r="NOJ1" s="2"/>
      <c r="NOK1" s="2"/>
      <c r="NOL1" s="2"/>
      <c r="NOM1" s="2"/>
      <c r="NON1" s="2"/>
      <c r="NOO1" s="2"/>
      <c r="NOP1" s="2"/>
      <c r="NOQ1" s="2"/>
      <c r="NOR1" s="2"/>
      <c r="NOS1" s="2"/>
      <c r="NOT1" s="2"/>
      <c r="NOU1" s="2"/>
      <c r="NOV1" s="2"/>
      <c r="NOW1" s="2"/>
      <c r="NOX1" s="2"/>
      <c r="NOY1" s="2"/>
      <c r="NOZ1" s="2"/>
      <c r="NPA1" s="2"/>
      <c r="NPB1" s="2"/>
      <c r="NPC1" s="2"/>
      <c r="NPD1" s="2"/>
      <c r="NPE1" s="2"/>
      <c r="NPF1" s="2"/>
      <c r="NPG1" s="2"/>
      <c r="NPH1" s="2"/>
      <c r="NPI1" s="2"/>
      <c r="NPJ1" s="2"/>
      <c r="NPK1" s="2"/>
      <c r="NPL1" s="2"/>
      <c r="NPM1" s="2"/>
      <c r="NPN1" s="2"/>
      <c r="NPO1" s="2"/>
      <c r="NPP1" s="2"/>
      <c r="NPQ1" s="2"/>
      <c r="NPR1" s="2"/>
      <c r="NPS1" s="2"/>
      <c r="NPT1" s="2"/>
      <c r="NPU1" s="2"/>
      <c r="NPV1" s="2"/>
      <c r="NPW1" s="2"/>
      <c r="NPX1" s="2"/>
      <c r="NPY1" s="2"/>
      <c r="NPZ1" s="2"/>
      <c r="NQA1" s="2"/>
      <c r="NQB1" s="2"/>
      <c r="NQC1" s="2"/>
      <c r="NQD1" s="2"/>
      <c r="NQE1" s="2"/>
      <c r="NQF1" s="2"/>
      <c r="NQG1" s="2"/>
      <c r="NQH1" s="2"/>
      <c r="NQI1" s="2"/>
      <c r="NQJ1" s="2"/>
      <c r="NQK1" s="2"/>
      <c r="NQL1" s="2"/>
      <c r="NQM1" s="2"/>
      <c r="NQN1" s="2"/>
      <c r="NQO1" s="2"/>
      <c r="NQP1" s="2"/>
      <c r="NQQ1" s="2"/>
      <c r="NQR1" s="2"/>
      <c r="NQS1" s="2"/>
      <c r="NQT1" s="2"/>
      <c r="NQU1" s="2"/>
      <c r="NQV1" s="2"/>
      <c r="NQW1" s="2"/>
      <c r="NQX1" s="2"/>
      <c r="NQY1" s="2"/>
      <c r="NQZ1" s="2"/>
      <c r="NRA1" s="2"/>
      <c r="NRB1" s="2"/>
      <c r="NRC1" s="2"/>
      <c r="NRD1" s="2"/>
      <c r="NRE1" s="2"/>
      <c r="NRF1" s="2"/>
      <c r="NRG1" s="2"/>
      <c r="NRH1" s="2"/>
      <c r="NRI1" s="2"/>
      <c r="NRJ1" s="2"/>
      <c r="NRK1" s="2"/>
      <c r="NRL1" s="2"/>
      <c r="NRM1" s="2"/>
      <c r="NRN1" s="2"/>
      <c r="NRO1" s="2"/>
      <c r="NRP1" s="2"/>
      <c r="NRQ1" s="2"/>
      <c r="NRR1" s="2"/>
      <c r="NRS1" s="2"/>
      <c r="NRT1" s="2"/>
      <c r="NRU1" s="2"/>
      <c r="NRV1" s="2"/>
      <c r="NRW1" s="2"/>
      <c r="NRX1" s="2"/>
      <c r="NRY1" s="2"/>
      <c r="NRZ1" s="2"/>
      <c r="NSA1" s="2"/>
      <c r="NSB1" s="2"/>
      <c r="NSC1" s="2"/>
      <c r="NSD1" s="2"/>
      <c r="NSE1" s="2"/>
      <c r="NSF1" s="2"/>
      <c r="NSG1" s="2"/>
      <c r="NSH1" s="2"/>
      <c r="NSI1" s="2"/>
      <c r="NSJ1" s="2"/>
      <c r="NSK1" s="2"/>
      <c r="NSL1" s="2"/>
      <c r="NSM1" s="2"/>
      <c r="NSN1" s="2"/>
      <c r="NSO1" s="2"/>
      <c r="NSP1" s="2"/>
      <c r="NSQ1" s="2"/>
      <c r="NSR1" s="2"/>
      <c r="NSS1" s="2"/>
      <c r="NST1" s="2"/>
      <c r="NSU1" s="2"/>
      <c r="NSV1" s="2"/>
      <c r="NSW1" s="2"/>
      <c r="NSX1" s="2"/>
      <c r="NSY1" s="2"/>
      <c r="NSZ1" s="2"/>
      <c r="NTA1" s="2"/>
      <c r="NTB1" s="2"/>
      <c r="NTC1" s="2"/>
      <c r="NTD1" s="2"/>
      <c r="NTE1" s="2"/>
      <c r="NTF1" s="2"/>
      <c r="NTG1" s="2"/>
      <c r="NTH1" s="2"/>
      <c r="NTI1" s="2"/>
      <c r="NTJ1" s="2"/>
      <c r="NTK1" s="2"/>
      <c r="NTL1" s="2"/>
      <c r="NTM1" s="2"/>
      <c r="NTN1" s="2"/>
      <c r="NTO1" s="2"/>
      <c r="NTP1" s="2"/>
      <c r="NTQ1" s="2"/>
      <c r="NTR1" s="2"/>
      <c r="NTS1" s="2"/>
      <c r="NTT1" s="2"/>
      <c r="NTU1" s="2"/>
      <c r="NTV1" s="2"/>
      <c r="NTW1" s="2"/>
      <c r="NTX1" s="2"/>
      <c r="NTY1" s="2"/>
      <c r="NTZ1" s="2"/>
      <c r="NUA1" s="2"/>
      <c r="NUB1" s="2"/>
      <c r="NUC1" s="2"/>
      <c r="NUD1" s="2"/>
      <c r="NUE1" s="2"/>
      <c r="NUF1" s="2"/>
      <c r="NUG1" s="2"/>
      <c r="NUH1" s="2"/>
      <c r="NUI1" s="2"/>
      <c r="NUJ1" s="2"/>
      <c r="NUK1" s="2"/>
      <c r="NUL1" s="2"/>
      <c r="NUM1" s="2"/>
      <c r="NUN1" s="2"/>
      <c r="NUO1" s="2"/>
      <c r="NUP1" s="2"/>
      <c r="NUQ1" s="2"/>
      <c r="NUR1" s="2"/>
      <c r="NUS1" s="2"/>
      <c r="NUT1" s="2"/>
      <c r="NUU1" s="2"/>
      <c r="NUV1" s="2"/>
      <c r="NUW1" s="2"/>
      <c r="NUX1" s="2"/>
      <c r="NUY1" s="2"/>
      <c r="NUZ1" s="2"/>
      <c r="NVA1" s="2"/>
      <c r="NVB1" s="2"/>
      <c r="NVC1" s="2"/>
      <c r="NVD1" s="2"/>
      <c r="NVE1" s="2"/>
      <c r="NVF1" s="2"/>
      <c r="NVG1" s="2"/>
      <c r="NVH1" s="2"/>
      <c r="NVI1" s="2"/>
      <c r="NVJ1" s="2"/>
      <c r="NVK1" s="2"/>
      <c r="NVL1" s="2"/>
      <c r="NVM1" s="2"/>
      <c r="NVN1" s="2"/>
      <c r="NVO1" s="2"/>
      <c r="NVP1" s="2"/>
      <c r="NVQ1" s="2"/>
      <c r="NVR1" s="2"/>
      <c r="NVS1" s="2"/>
      <c r="NVT1" s="2"/>
      <c r="NVU1" s="2"/>
      <c r="NVV1" s="2"/>
      <c r="NVW1" s="2"/>
      <c r="NVX1" s="2"/>
      <c r="NVY1" s="2"/>
      <c r="NVZ1" s="2"/>
      <c r="NWA1" s="2"/>
      <c r="NWB1" s="2"/>
      <c r="NWC1" s="2"/>
      <c r="NWD1" s="2"/>
      <c r="NWE1" s="2"/>
      <c r="NWF1" s="2"/>
      <c r="NWG1" s="2"/>
      <c r="NWH1" s="2"/>
      <c r="NWI1" s="2"/>
      <c r="NWJ1" s="2"/>
      <c r="NWK1" s="2"/>
      <c r="NWL1" s="2"/>
      <c r="NWM1" s="2"/>
      <c r="NWN1" s="2"/>
      <c r="NWO1" s="2"/>
      <c r="NWP1" s="2"/>
      <c r="NWQ1" s="2"/>
      <c r="NWR1" s="2"/>
      <c r="NWS1" s="2"/>
      <c r="NWT1" s="2"/>
      <c r="NWU1" s="2"/>
      <c r="NWV1" s="2"/>
      <c r="NWW1" s="2"/>
      <c r="NWX1" s="2"/>
      <c r="NWY1" s="2"/>
      <c r="NWZ1" s="2"/>
      <c r="NXA1" s="2"/>
      <c r="NXB1" s="2"/>
      <c r="NXC1" s="2"/>
      <c r="NXD1" s="2"/>
      <c r="NXE1" s="2"/>
      <c r="NXF1" s="2"/>
      <c r="NXG1" s="2"/>
      <c r="NXH1" s="2"/>
      <c r="NXI1" s="2"/>
      <c r="NXJ1" s="2"/>
      <c r="NXK1" s="2"/>
      <c r="NXL1" s="2"/>
      <c r="NXM1" s="2"/>
      <c r="NXN1" s="2"/>
      <c r="NXO1" s="2"/>
      <c r="NXP1" s="2"/>
      <c r="NXQ1" s="2"/>
      <c r="NXR1" s="2"/>
      <c r="NXS1" s="2"/>
      <c r="NXT1" s="2"/>
      <c r="NXU1" s="2"/>
      <c r="NXV1" s="2"/>
      <c r="NXW1" s="2"/>
      <c r="NXX1" s="2"/>
      <c r="NXY1" s="2"/>
      <c r="NXZ1" s="2"/>
      <c r="NYA1" s="2"/>
      <c r="NYB1" s="2"/>
      <c r="NYC1" s="2"/>
      <c r="NYD1" s="2"/>
      <c r="NYE1" s="2"/>
      <c r="NYF1" s="2"/>
      <c r="NYG1" s="2"/>
      <c r="NYH1" s="2"/>
      <c r="NYI1" s="2"/>
      <c r="NYJ1" s="2"/>
      <c r="NYK1" s="2"/>
      <c r="NYL1" s="2"/>
      <c r="NYM1" s="2"/>
      <c r="NYN1" s="2"/>
      <c r="NYO1" s="2"/>
      <c r="NYP1" s="2"/>
      <c r="NYQ1" s="2"/>
      <c r="NYR1" s="2"/>
      <c r="NYS1" s="2"/>
      <c r="NYT1" s="2"/>
      <c r="NYU1" s="2"/>
      <c r="NYV1" s="2"/>
      <c r="NYW1" s="2"/>
      <c r="NYX1" s="2"/>
      <c r="NYY1" s="2"/>
      <c r="NYZ1" s="2"/>
      <c r="NZA1" s="2"/>
      <c r="NZB1" s="2"/>
      <c r="NZC1" s="2"/>
      <c r="NZD1" s="2"/>
      <c r="NZE1" s="2"/>
      <c r="NZF1" s="2"/>
      <c r="NZG1" s="2"/>
      <c r="NZH1" s="2"/>
      <c r="NZI1" s="2"/>
      <c r="NZJ1" s="2"/>
      <c r="NZK1" s="2"/>
      <c r="NZL1" s="2"/>
      <c r="NZM1" s="2"/>
      <c r="NZN1" s="2"/>
      <c r="NZO1" s="2"/>
      <c r="NZP1" s="2"/>
      <c r="NZQ1" s="2"/>
      <c r="NZR1" s="2"/>
      <c r="NZS1" s="2"/>
      <c r="NZT1" s="2"/>
      <c r="NZU1" s="2"/>
      <c r="NZV1" s="2"/>
      <c r="NZW1" s="2"/>
      <c r="NZX1" s="2"/>
      <c r="NZY1" s="2"/>
      <c r="NZZ1" s="2"/>
      <c r="OAA1" s="2"/>
      <c r="OAB1" s="2"/>
      <c r="OAC1" s="2"/>
      <c r="OAD1" s="2"/>
      <c r="OAE1" s="2"/>
      <c r="OAF1" s="2"/>
      <c r="OAG1" s="2"/>
      <c r="OAH1" s="2"/>
      <c r="OAI1" s="2"/>
      <c r="OAJ1" s="2"/>
      <c r="OAK1" s="2"/>
      <c r="OAL1" s="2"/>
      <c r="OAM1" s="2"/>
      <c r="OAN1" s="2"/>
      <c r="OAO1" s="2"/>
      <c r="OAP1" s="2"/>
      <c r="OAQ1" s="2"/>
      <c r="OAR1" s="2"/>
      <c r="OAS1" s="2"/>
      <c r="OAT1" s="2"/>
      <c r="OAU1" s="2"/>
      <c r="OAV1" s="2"/>
      <c r="OAW1" s="2"/>
      <c r="OAX1" s="2"/>
      <c r="OAY1" s="2"/>
      <c r="OAZ1" s="2"/>
      <c r="OBA1" s="2"/>
      <c r="OBB1" s="2"/>
      <c r="OBC1" s="2"/>
      <c r="OBD1" s="2"/>
      <c r="OBE1" s="2"/>
      <c r="OBF1" s="2"/>
      <c r="OBG1" s="2"/>
      <c r="OBH1" s="2"/>
      <c r="OBI1" s="2"/>
      <c r="OBJ1" s="2"/>
      <c r="OBK1" s="2"/>
      <c r="OBL1" s="2"/>
      <c r="OBM1" s="2"/>
      <c r="OBN1" s="2"/>
      <c r="OBO1" s="2"/>
      <c r="OBP1" s="2"/>
      <c r="OBQ1" s="2"/>
      <c r="OBR1" s="2"/>
      <c r="OBS1" s="2"/>
      <c r="OBT1" s="2"/>
      <c r="OBU1" s="2"/>
      <c r="OBV1" s="2"/>
      <c r="OBW1" s="2"/>
      <c r="OBX1" s="2"/>
      <c r="OBY1" s="2"/>
      <c r="OBZ1" s="2"/>
      <c r="OCA1" s="2"/>
      <c r="OCB1" s="2"/>
      <c r="OCC1" s="2"/>
      <c r="OCD1" s="2"/>
      <c r="OCE1" s="2"/>
      <c r="OCF1" s="2"/>
      <c r="OCG1" s="2"/>
      <c r="OCH1" s="2"/>
      <c r="OCI1" s="2"/>
      <c r="OCJ1" s="2"/>
      <c r="OCK1" s="2"/>
      <c r="OCL1" s="2"/>
      <c r="OCM1" s="2"/>
      <c r="OCN1" s="2"/>
      <c r="OCO1" s="2"/>
      <c r="OCP1" s="2"/>
      <c r="OCQ1" s="2"/>
      <c r="OCR1" s="2"/>
      <c r="OCS1" s="2"/>
      <c r="OCT1" s="2"/>
      <c r="OCU1" s="2"/>
      <c r="OCV1" s="2"/>
      <c r="OCW1" s="2"/>
      <c r="OCX1" s="2"/>
      <c r="OCY1" s="2"/>
      <c r="OCZ1" s="2"/>
      <c r="ODA1" s="2"/>
      <c r="ODB1" s="2"/>
      <c r="ODC1" s="2"/>
      <c r="ODD1" s="2"/>
      <c r="ODE1" s="2"/>
      <c r="ODF1" s="2"/>
      <c r="ODG1" s="2"/>
      <c r="ODH1" s="2"/>
      <c r="ODI1" s="2"/>
      <c r="ODJ1" s="2"/>
      <c r="ODK1" s="2"/>
      <c r="ODL1" s="2"/>
      <c r="ODM1" s="2"/>
      <c r="ODN1" s="2"/>
      <c r="ODO1" s="2"/>
      <c r="ODP1" s="2"/>
      <c r="ODQ1" s="2"/>
      <c r="ODR1" s="2"/>
      <c r="ODS1" s="2"/>
      <c r="ODT1" s="2"/>
      <c r="ODU1" s="2"/>
      <c r="ODV1" s="2"/>
      <c r="ODW1" s="2"/>
      <c r="ODX1" s="2"/>
      <c r="ODY1" s="2"/>
      <c r="ODZ1" s="2"/>
      <c r="OEA1" s="2"/>
      <c r="OEB1" s="2"/>
      <c r="OEC1" s="2"/>
      <c r="OED1" s="2"/>
      <c r="OEE1" s="2"/>
      <c r="OEF1" s="2"/>
      <c r="OEG1" s="2"/>
      <c r="OEH1" s="2"/>
      <c r="OEI1" s="2"/>
      <c r="OEJ1" s="2"/>
      <c r="OEK1" s="2"/>
      <c r="OEL1" s="2"/>
      <c r="OEM1" s="2"/>
      <c r="OEN1" s="2"/>
      <c r="OEO1" s="2"/>
      <c r="OEP1" s="2"/>
      <c r="OEQ1" s="2"/>
      <c r="OER1" s="2"/>
      <c r="OES1" s="2"/>
      <c r="OET1" s="2"/>
      <c r="OEU1" s="2"/>
      <c r="OEV1" s="2"/>
      <c r="OEW1" s="2"/>
      <c r="OEX1" s="2"/>
      <c r="OEY1" s="2"/>
      <c r="OEZ1" s="2"/>
      <c r="OFA1" s="2"/>
      <c r="OFB1" s="2"/>
      <c r="OFC1" s="2"/>
      <c r="OFD1" s="2"/>
      <c r="OFE1" s="2"/>
      <c r="OFF1" s="2"/>
      <c r="OFG1" s="2"/>
      <c r="OFH1" s="2"/>
      <c r="OFI1" s="2"/>
      <c r="OFJ1" s="2"/>
      <c r="OFK1" s="2"/>
      <c r="OFL1" s="2"/>
      <c r="OFM1" s="2"/>
      <c r="OFN1" s="2"/>
      <c r="OFO1" s="2"/>
      <c r="OFP1" s="2"/>
      <c r="OFQ1" s="2"/>
      <c r="OFR1" s="2"/>
      <c r="OFS1" s="2"/>
      <c r="OFT1" s="2"/>
      <c r="OFU1" s="2"/>
      <c r="OFV1" s="2"/>
      <c r="OFW1" s="2"/>
      <c r="OFX1" s="2"/>
      <c r="OFY1" s="2"/>
      <c r="OFZ1" s="2"/>
      <c r="OGA1" s="2"/>
      <c r="OGB1" s="2"/>
      <c r="OGC1" s="2"/>
      <c r="OGD1" s="2"/>
      <c r="OGE1" s="2"/>
      <c r="OGF1" s="2"/>
      <c r="OGG1" s="2"/>
      <c r="OGH1" s="2"/>
      <c r="OGI1" s="2"/>
      <c r="OGJ1" s="2"/>
      <c r="OGK1" s="2"/>
      <c r="OGL1" s="2"/>
      <c r="OGM1" s="2"/>
      <c r="OGN1" s="2"/>
      <c r="OGO1" s="2"/>
      <c r="OGP1" s="2"/>
      <c r="OGQ1" s="2"/>
      <c r="OGR1" s="2"/>
      <c r="OGS1" s="2"/>
      <c r="OGT1" s="2"/>
      <c r="OGU1" s="2"/>
      <c r="OGV1" s="2"/>
      <c r="OGW1" s="2"/>
      <c r="OGX1" s="2"/>
      <c r="OGY1" s="2"/>
      <c r="OGZ1" s="2"/>
      <c r="OHA1" s="2"/>
      <c r="OHB1" s="2"/>
      <c r="OHC1" s="2"/>
      <c r="OHD1" s="2"/>
      <c r="OHE1" s="2"/>
      <c r="OHF1" s="2"/>
      <c r="OHG1" s="2"/>
      <c r="OHH1" s="2"/>
      <c r="OHI1" s="2"/>
      <c r="OHJ1" s="2"/>
      <c r="OHK1" s="2"/>
      <c r="OHL1" s="2"/>
      <c r="OHM1" s="2"/>
      <c r="OHN1" s="2"/>
      <c r="OHO1" s="2"/>
      <c r="OHP1" s="2"/>
      <c r="OHQ1" s="2"/>
      <c r="OHR1" s="2"/>
      <c r="OHS1" s="2"/>
      <c r="OHT1" s="2"/>
      <c r="OHU1" s="2"/>
      <c r="OHV1" s="2"/>
      <c r="OHW1" s="2"/>
      <c r="OHX1" s="2"/>
      <c r="OHY1" s="2"/>
      <c r="OHZ1" s="2"/>
      <c r="OIA1" s="2"/>
      <c r="OIB1" s="2"/>
      <c r="OIC1" s="2"/>
      <c r="OID1" s="2"/>
      <c r="OIE1" s="2"/>
      <c r="OIF1" s="2"/>
      <c r="OIG1" s="2"/>
      <c r="OIH1" s="2"/>
      <c r="OII1" s="2"/>
      <c r="OIJ1" s="2"/>
      <c r="OIK1" s="2"/>
      <c r="OIL1" s="2"/>
      <c r="OIM1" s="2"/>
      <c r="OIN1" s="2"/>
      <c r="OIO1" s="2"/>
      <c r="OIP1" s="2"/>
      <c r="OIQ1" s="2"/>
      <c r="OIR1" s="2"/>
      <c r="OIS1" s="2"/>
      <c r="OIT1" s="2"/>
      <c r="OIU1" s="2"/>
      <c r="OIV1" s="2"/>
      <c r="OIW1" s="2"/>
      <c r="OIX1" s="2"/>
      <c r="OIY1" s="2"/>
      <c r="OIZ1" s="2"/>
      <c r="OJA1" s="2"/>
      <c r="OJB1" s="2"/>
      <c r="OJC1" s="2"/>
      <c r="OJD1" s="2"/>
      <c r="OJE1" s="2"/>
      <c r="OJF1" s="2"/>
      <c r="OJG1" s="2"/>
      <c r="OJH1" s="2"/>
      <c r="OJI1" s="2"/>
      <c r="OJJ1" s="2"/>
      <c r="OJK1" s="2"/>
      <c r="OJL1" s="2"/>
      <c r="OJM1" s="2"/>
      <c r="OJN1" s="2"/>
      <c r="OJO1" s="2"/>
      <c r="OJP1" s="2"/>
      <c r="OJQ1" s="2"/>
      <c r="OJR1" s="2"/>
      <c r="OJS1" s="2"/>
      <c r="OJT1" s="2"/>
      <c r="OJU1" s="2"/>
      <c r="OJV1" s="2"/>
      <c r="OJW1" s="2"/>
      <c r="OJX1" s="2"/>
      <c r="OJY1" s="2"/>
      <c r="OJZ1" s="2"/>
      <c r="OKA1" s="2"/>
      <c r="OKB1" s="2"/>
      <c r="OKC1" s="2"/>
      <c r="OKD1" s="2"/>
      <c r="OKE1" s="2"/>
      <c r="OKF1" s="2"/>
      <c r="OKG1" s="2"/>
      <c r="OKH1" s="2"/>
      <c r="OKI1" s="2"/>
      <c r="OKJ1" s="2"/>
      <c r="OKK1" s="2"/>
      <c r="OKL1" s="2"/>
      <c r="OKM1" s="2"/>
      <c r="OKN1" s="2"/>
      <c r="OKO1" s="2"/>
      <c r="OKP1" s="2"/>
      <c r="OKQ1" s="2"/>
      <c r="OKR1" s="2"/>
      <c r="OKS1" s="2"/>
      <c r="OKT1" s="2"/>
      <c r="OKU1" s="2"/>
      <c r="OKV1" s="2"/>
      <c r="OKW1" s="2"/>
      <c r="OKX1" s="2"/>
      <c r="OKY1" s="2"/>
      <c r="OKZ1" s="2"/>
      <c r="OLA1" s="2"/>
      <c r="OLB1" s="2"/>
      <c r="OLC1" s="2"/>
      <c r="OLD1" s="2"/>
      <c r="OLE1" s="2"/>
      <c r="OLF1" s="2"/>
      <c r="OLG1" s="2"/>
      <c r="OLH1" s="2"/>
      <c r="OLI1" s="2"/>
      <c r="OLJ1" s="2"/>
      <c r="OLK1" s="2"/>
      <c r="OLL1" s="2"/>
      <c r="OLM1" s="2"/>
      <c r="OLN1" s="2"/>
      <c r="OLO1" s="2"/>
      <c r="OLP1" s="2"/>
      <c r="OLQ1" s="2"/>
      <c r="OLR1" s="2"/>
      <c r="OLS1" s="2"/>
      <c r="OLT1" s="2"/>
      <c r="OLU1" s="2"/>
      <c r="OLV1" s="2"/>
      <c r="OLW1" s="2"/>
      <c r="OLX1" s="2"/>
      <c r="OLY1" s="2"/>
      <c r="OLZ1" s="2"/>
      <c r="OMA1" s="2"/>
      <c r="OMB1" s="2"/>
      <c r="OMC1" s="2"/>
      <c r="OMD1" s="2"/>
      <c r="OME1" s="2"/>
      <c r="OMF1" s="2"/>
      <c r="OMG1" s="2"/>
      <c r="OMH1" s="2"/>
      <c r="OMI1" s="2"/>
      <c r="OMJ1" s="2"/>
      <c r="OMK1" s="2"/>
      <c r="OML1" s="2"/>
      <c r="OMM1" s="2"/>
      <c r="OMN1" s="2"/>
      <c r="OMO1" s="2"/>
      <c r="OMP1" s="2"/>
      <c r="OMQ1" s="2"/>
      <c r="OMR1" s="2"/>
      <c r="OMS1" s="2"/>
      <c r="OMT1" s="2"/>
      <c r="OMU1" s="2"/>
      <c r="OMV1" s="2"/>
      <c r="OMW1" s="2"/>
      <c r="OMX1" s="2"/>
      <c r="OMY1" s="2"/>
      <c r="OMZ1" s="2"/>
      <c r="ONA1" s="2"/>
      <c r="ONB1" s="2"/>
      <c r="ONC1" s="2"/>
      <c r="OND1" s="2"/>
      <c r="ONE1" s="2"/>
      <c r="ONF1" s="2"/>
      <c r="ONG1" s="2"/>
      <c r="ONH1" s="2"/>
      <c r="ONI1" s="2"/>
      <c r="ONJ1" s="2"/>
      <c r="ONK1" s="2"/>
      <c r="ONL1" s="2"/>
      <c r="ONM1" s="2"/>
      <c r="ONN1" s="2"/>
      <c r="ONO1" s="2"/>
      <c r="ONP1" s="2"/>
      <c r="ONQ1" s="2"/>
      <c r="ONR1" s="2"/>
      <c r="ONS1" s="2"/>
      <c r="ONT1" s="2"/>
      <c r="ONU1" s="2"/>
      <c r="ONV1" s="2"/>
      <c r="ONW1" s="2"/>
      <c r="ONX1" s="2"/>
      <c r="ONY1" s="2"/>
      <c r="ONZ1" s="2"/>
      <c r="OOA1" s="2"/>
      <c r="OOB1" s="2"/>
      <c r="OOC1" s="2"/>
      <c r="OOD1" s="2"/>
      <c r="OOE1" s="2"/>
      <c r="OOF1" s="2"/>
      <c r="OOG1" s="2"/>
      <c r="OOH1" s="2"/>
      <c r="OOI1" s="2"/>
      <c r="OOJ1" s="2"/>
      <c r="OOK1" s="2"/>
      <c r="OOL1" s="2"/>
      <c r="OOM1" s="2"/>
      <c r="OON1" s="2"/>
      <c r="OOO1" s="2"/>
      <c r="OOP1" s="2"/>
      <c r="OOQ1" s="2"/>
      <c r="OOR1" s="2"/>
      <c r="OOS1" s="2"/>
      <c r="OOT1" s="2"/>
      <c r="OOU1" s="2"/>
      <c r="OOV1" s="2"/>
      <c r="OOW1" s="2"/>
      <c r="OOX1" s="2"/>
      <c r="OOY1" s="2"/>
      <c r="OOZ1" s="2"/>
      <c r="OPA1" s="2"/>
      <c r="OPB1" s="2"/>
      <c r="OPC1" s="2"/>
      <c r="OPD1" s="2"/>
      <c r="OPE1" s="2"/>
      <c r="OPF1" s="2"/>
      <c r="OPG1" s="2"/>
      <c r="OPH1" s="2"/>
      <c r="OPI1" s="2"/>
      <c r="OPJ1" s="2"/>
      <c r="OPK1" s="2"/>
      <c r="OPL1" s="2"/>
      <c r="OPM1" s="2"/>
      <c r="OPN1" s="2"/>
      <c r="OPO1" s="2"/>
      <c r="OPP1" s="2"/>
      <c r="OPQ1" s="2"/>
      <c r="OPR1" s="2"/>
      <c r="OPS1" s="2"/>
      <c r="OPT1" s="2"/>
      <c r="OPU1" s="2"/>
      <c r="OPV1" s="2"/>
      <c r="OPW1" s="2"/>
      <c r="OPX1" s="2"/>
      <c r="OPY1" s="2"/>
      <c r="OPZ1" s="2"/>
      <c r="OQA1" s="2"/>
      <c r="OQB1" s="2"/>
      <c r="OQC1" s="2"/>
      <c r="OQD1" s="2"/>
      <c r="OQE1" s="2"/>
      <c r="OQF1" s="2"/>
      <c r="OQG1" s="2"/>
      <c r="OQH1" s="2"/>
      <c r="OQI1" s="2"/>
      <c r="OQJ1" s="2"/>
      <c r="OQK1" s="2"/>
      <c r="OQL1" s="2"/>
      <c r="OQM1" s="2"/>
      <c r="OQN1" s="2"/>
      <c r="OQO1" s="2"/>
      <c r="OQP1" s="2"/>
      <c r="OQQ1" s="2"/>
      <c r="OQR1" s="2"/>
      <c r="OQS1" s="2"/>
      <c r="OQT1" s="2"/>
      <c r="OQU1" s="2"/>
      <c r="OQV1" s="2"/>
      <c r="OQW1" s="2"/>
      <c r="OQX1" s="2"/>
      <c r="OQY1" s="2"/>
      <c r="OQZ1" s="2"/>
      <c r="ORA1" s="2"/>
      <c r="ORB1" s="2"/>
      <c r="ORC1" s="2"/>
      <c r="ORD1" s="2"/>
      <c r="ORE1" s="2"/>
      <c r="ORF1" s="2"/>
      <c r="ORG1" s="2"/>
      <c r="ORH1" s="2"/>
      <c r="ORI1" s="2"/>
      <c r="ORJ1" s="2"/>
      <c r="ORK1" s="2"/>
      <c r="ORL1" s="2"/>
      <c r="ORM1" s="2"/>
      <c r="ORN1" s="2"/>
      <c r="ORO1" s="2"/>
      <c r="ORP1" s="2"/>
      <c r="ORQ1" s="2"/>
      <c r="ORR1" s="2"/>
      <c r="ORS1" s="2"/>
      <c r="ORT1" s="2"/>
      <c r="ORU1" s="2"/>
      <c r="ORV1" s="2"/>
      <c r="ORW1" s="2"/>
      <c r="ORX1" s="2"/>
      <c r="ORY1" s="2"/>
      <c r="ORZ1" s="2"/>
      <c r="OSA1" s="2"/>
      <c r="OSB1" s="2"/>
      <c r="OSC1" s="2"/>
      <c r="OSD1" s="2"/>
      <c r="OSE1" s="2"/>
      <c r="OSF1" s="2"/>
      <c r="OSG1" s="2"/>
      <c r="OSH1" s="2"/>
      <c r="OSI1" s="2"/>
      <c r="OSJ1" s="2"/>
      <c r="OSK1" s="2"/>
      <c r="OSL1" s="2"/>
      <c r="OSM1" s="2"/>
      <c r="OSN1" s="2"/>
      <c r="OSO1" s="2"/>
      <c r="OSP1" s="2"/>
      <c r="OSQ1" s="2"/>
      <c r="OSR1" s="2"/>
      <c r="OSS1" s="2"/>
      <c r="OST1" s="2"/>
      <c r="OSU1" s="2"/>
      <c r="OSV1" s="2"/>
      <c r="OSW1" s="2"/>
      <c r="OSX1" s="2"/>
      <c r="OSY1" s="2"/>
      <c r="OSZ1" s="2"/>
      <c r="OTA1" s="2"/>
      <c r="OTB1" s="2"/>
      <c r="OTC1" s="2"/>
      <c r="OTD1" s="2"/>
      <c r="OTE1" s="2"/>
      <c r="OTF1" s="2"/>
      <c r="OTG1" s="2"/>
      <c r="OTH1" s="2"/>
      <c r="OTI1" s="2"/>
      <c r="OTJ1" s="2"/>
      <c r="OTK1" s="2"/>
      <c r="OTL1" s="2"/>
      <c r="OTM1" s="2"/>
      <c r="OTN1" s="2"/>
      <c r="OTO1" s="2"/>
      <c r="OTP1" s="2"/>
      <c r="OTQ1" s="2"/>
      <c r="OTR1" s="2"/>
      <c r="OTS1" s="2"/>
      <c r="OTT1" s="2"/>
      <c r="OTU1" s="2"/>
      <c r="OTV1" s="2"/>
      <c r="OTW1" s="2"/>
      <c r="OTX1" s="2"/>
      <c r="OTY1" s="2"/>
      <c r="OTZ1" s="2"/>
      <c r="OUA1" s="2"/>
      <c r="OUB1" s="2"/>
      <c r="OUC1" s="2"/>
      <c r="OUD1" s="2"/>
      <c r="OUE1" s="2"/>
      <c r="OUF1" s="2"/>
      <c r="OUG1" s="2"/>
      <c r="OUH1" s="2"/>
      <c r="OUI1" s="2"/>
      <c r="OUJ1" s="2"/>
      <c r="OUK1" s="2"/>
      <c r="OUL1" s="2"/>
      <c r="OUM1" s="2"/>
      <c r="OUN1" s="2"/>
      <c r="OUO1" s="2"/>
      <c r="OUP1" s="2"/>
      <c r="OUQ1" s="2"/>
      <c r="OUR1" s="2"/>
      <c r="OUS1" s="2"/>
      <c r="OUT1" s="2"/>
      <c r="OUU1" s="2"/>
      <c r="OUV1" s="2"/>
      <c r="OUW1" s="2"/>
      <c r="OUX1" s="2"/>
      <c r="OUY1" s="2"/>
      <c r="OUZ1" s="2"/>
      <c r="OVA1" s="2"/>
      <c r="OVB1" s="2"/>
      <c r="OVC1" s="2"/>
      <c r="OVD1" s="2"/>
      <c r="OVE1" s="2"/>
      <c r="OVF1" s="2"/>
      <c r="OVG1" s="2"/>
      <c r="OVH1" s="2"/>
      <c r="OVI1" s="2"/>
      <c r="OVJ1" s="2"/>
      <c r="OVK1" s="2"/>
      <c r="OVL1" s="2"/>
      <c r="OVM1" s="2"/>
      <c r="OVN1" s="2"/>
      <c r="OVO1" s="2"/>
      <c r="OVP1" s="2"/>
      <c r="OVQ1" s="2"/>
      <c r="OVR1" s="2"/>
      <c r="OVS1" s="2"/>
      <c r="OVT1" s="2"/>
      <c r="OVU1" s="2"/>
      <c r="OVV1" s="2"/>
      <c r="OVW1" s="2"/>
      <c r="OVX1" s="2"/>
      <c r="OVY1" s="2"/>
      <c r="OVZ1" s="2"/>
      <c r="OWA1" s="2"/>
      <c r="OWB1" s="2"/>
      <c r="OWC1" s="2"/>
      <c r="OWD1" s="2"/>
      <c r="OWE1" s="2"/>
      <c r="OWF1" s="2"/>
      <c r="OWG1" s="2"/>
      <c r="OWH1" s="2"/>
      <c r="OWI1" s="2"/>
      <c r="OWJ1" s="2"/>
      <c r="OWK1" s="2"/>
      <c r="OWL1" s="2"/>
      <c r="OWM1" s="2"/>
      <c r="OWN1" s="2"/>
      <c r="OWO1" s="2"/>
      <c r="OWP1" s="2"/>
      <c r="OWQ1" s="2"/>
      <c r="OWR1" s="2"/>
      <c r="OWS1" s="2"/>
      <c r="OWT1" s="2"/>
      <c r="OWU1" s="2"/>
      <c r="OWV1" s="2"/>
      <c r="OWW1" s="2"/>
      <c r="OWX1" s="2"/>
      <c r="OWY1" s="2"/>
      <c r="OWZ1" s="2"/>
      <c r="OXA1" s="2"/>
      <c r="OXB1" s="2"/>
      <c r="OXC1" s="2"/>
      <c r="OXD1" s="2"/>
      <c r="OXE1" s="2"/>
      <c r="OXF1" s="2"/>
      <c r="OXG1" s="2"/>
      <c r="OXH1" s="2"/>
      <c r="OXI1" s="2"/>
      <c r="OXJ1" s="2"/>
      <c r="OXK1" s="2"/>
      <c r="OXL1" s="2"/>
      <c r="OXM1" s="2"/>
      <c r="OXN1" s="2"/>
      <c r="OXO1" s="2"/>
      <c r="OXP1" s="2"/>
      <c r="OXQ1" s="2"/>
      <c r="OXR1" s="2"/>
      <c r="OXS1" s="2"/>
      <c r="OXT1" s="2"/>
      <c r="OXU1" s="2"/>
      <c r="OXV1" s="2"/>
      <c r="OXW1" s="2"/>
      <c r="OXX1" s="2"/>
      <c r="OXY1" s="2"/>
      <c r="OXZ1" s="2"/>
      <c r="OYA1" s="2"/>
      <c r="OYB1" s="2"/>
      <c r="OYC1" s="2"/>
      <c r="OYD1" s="2"/>
      <c r="OYE1" s="2"/>
      <c r="OYF1" s="2"/>
      <c r="OYG1" s="2"/>
      <c r="OYH1" s="2"/>
      <c r="OYI1" s="2"/>
      <c r="OYJ1" s="2"/>
      <c r="OYK1" s="2"/>
      <c r="OYL1" s="2"/>
      <c r="OYM1" s="2"/>
      <c r="OYN1" s="2"/>
      <c r="OYO1" s="2"/>
      <c r="OYP1" s="2"/>
      <c r="OYQ1" s="2"/>
      <c r="OYR1" s="2"/>
      <c r="OYS1" s="2"/>
      <c r="OYT1" s="2"/>
      <c r="OYU1" s="2"/>
      <c r="OYV1" s="2"/>
      <c r="OYW1" s="2"/>
      <c r="OYX1" s="2"/>
      <c r="OYY1" s="2"/>
      <c r="OYZ1" s="2"/>
      <c r="OZA1" s="2"/>
      <c r="OZB1" s="2"/>
      <c r="OZC1" s="2"/>
      <c r="OZD1" s="2"/>
      <c r="OZE1" s="2"/>
      <c r="OZF1" s="2"/>
      <c r="OZG1" s="2"/>
      <c r="OZH1" s="2"/>
      <c r="OZI1" s="2"/>
      <c r="OZJ1" s="2"/>
      <c r="OZK1" s="2"/>
      <c r="OZL1" s="2"/>
      <c r="OZM1" s="2"/>
      <c r="OZN1" s="2"/>
      <c r="OZO1" s="2"/>
      <c r="OZP1" s="2"/>
      <c r="OZQ1" s="2"/>
      <c r="OZR1" s="2"/>
      <c r="OZS1" s="2"/>
      <c r="OZT1" s="2"/>
      <c r="OZU1" s="2"/>
      <c r="OZV1" s="2"/>
      <c r="OZW1" s="2"/>
      <c r="OZX1" s="2"/>
      <c r="OZY1" s="2"/>
      <c r="OZZ1" s="2"/>
      <c r="PAA1" s="2"/>
      <c r="PAB1" s="2"/>
      <c r="PAC1" s="2"/>
      <c r="PAD1" s="2"/>
      <c r="PAE1" s="2"/>
      <c r="PAF1" s="2"/>
      <c r="PAG1" s="2"/>
      <c r="PAH1" s="2"/>
      <c r="PAI1" s="2"/>
      <c r="PAJ1" s="2"/>
      <c r="PAK1" s="2"/>
      <c r="PAL1" s="2"/>
      <c r="PAM1" s="2"/>
      <c r="PAN1" s="2"/>
      <c r="PAO1" s="2"/>
      <c r="PAP1" s="2"/>
      <c r="PAQ1" s="2"/>
      <c r="PAR1" s="2"/>
      <c r="PAS1" s="2"/>
      <c r="PAT1" s="2"/>
      <c r="PAU1" s="2"/>
      <c r="PAV1" s="2"/>
      <c r="PAW1" s="2"/>
      <c r="PAX1" s="2"/>
      <c r="PAY1" s="2"/>
      <c r="PAZ1" s="2"/>
      <c r="PBA1" s="2"/>
      <c r="PBB1" s="2"/>
      <c r="PBC1" s="2"/>
      <c r="PBD1" s="2"/>
      <c r="PBE1" s="2"/>
      <c r="PBF1" s="2"/>
      <c r="PBG1" s="2"/>
      <c r="PBH1" s="2"/>
      <c r="PBI1" s="2"/>
      <c r="PBJ1" s="2"/>
      <c r="PBK1" s="2"/>
      <c r="PBL1" s="2"/>
      <c r="PBM1" s="2"/>
      <c r="PBN1" s="2"/>
      <c r="PBO1" s="2"/>
      <c r="PBP1" s="2"/>
      <c r="PBQ1" s="2"/>
      <c r="PBR1" s="2"/>
      <c r="PBS1" s="2"/>
      <c r="PBT1" s="2"/>
      <c r="PBU1" s="2"/>
      <c r="PBV1" s="2"/>
      <c r="PBW1" s="2"/>
      <c r="PBX1" s="2"/>
      <c r="PBY1" s="2"/>
      <c r="PBZ1" s="2"/>
      <c r="PCA1" s="2"/>
      <c r="PCB1" s="2"/>
      <c r="PCC1" s="2"/>
      <c r="PCD1" s="2"/>
      <c r="PCE1" s="2"/>
      <c r="PCF1" s="2"/>
      <c r="PCG1" s="2"/>
      <c r="PCH1" s="2"/>
      <c r="PCI1" s="2"/>
      <c r="PCJ1" s="2"/>
      <c r="PCK1" s="2"/>
      <c r="PCL1" s="2"/>
      <c r="PCM1" s="2"/>
      <c r="PCN1" s="2"/>
      <c r="PCO1" s="2"/>
      <c r="PCP1" s="2"/>
      <c r="PCQ1" s="2"/>
      <c r="PCR1" s="2"/>
      <c r="PCS1" s="2"/>
      <c r="PCT1" s="2"/>
      <c r="PCU1" s="2"/>
      <c r="PCV1" s="2"/>
      <c r="PCW1" s="2"/>
      <c r="PCX1" s="2"/>
      <c r="PCY1" s="2"/>
      <c r="PCZ1" s="2"/>
      <c r="PDA1" s="2"/>
      <c r="PDB1" s="2"/>
      <c r="PDC1" s="2"/>
      <c r="PDD1" s="2"/>
      <c r="PDE1" s="2"/>
      <c r="PDF1" s="2"/>
      <c r="PDG1" s="2"/>
      <c r="PDH1" s="2"/>
      <c r="PDI1" s="2"/>
      <c r="PDJ1" s="2"/>
      <c r="PDK1" s="2"/>
      <c r="PDL1" s="2"/>
      <c r="PDM1" s="2"/>
      <c r="PDN1" s="2"/>
      <c r="PDO1" s="2"/>
      <c r="PDP1" s="2"/>
      <c r="PDQ1" s="2"/>
      <c r="PDR1" s="2"/>
      <c r="PDS1" s="2"/>
      <c r="PDT1" s="2"/>
      <c r="PDU1" s="2"/>
      <c r="PDV1" s="2"/>
      <c r="PDW1" s="2"/>
      <c r="PDX1" s="2"/>
      <c r="PDY1" s="2"/>
      <c r="PDZ1" s="2"/>
      <c r="PEA1" s="2"/>
      <c r="PEB1" s="2"/>
      <c r="PEC1" s="2"/>
      <c r="PED1" s="2"/>
      <c r="PEE1" s="2"/>
      <c r="PEF1" s="2"/>
      <c r="PEG1" s="2"/>
      <c r="PEH1" s="2"/>
      <c r="PEI1" s="2"/>
      <c r="PEJ1" s="2"/>
      <c r="PEK1" s="2"/>
      <c r="PEL1" s="2"/>
      <c r="PEM1" s="2"/>
      <c r="PEN1" s="2"/>
      <c r="PEO1" s="2"/>
      <c r="PEP1" s="2"/>
      <c r="PEQ1" s="2"/>
      <c r="PER1" s="2"/>
      <c r="PES1" s="2"/>
      <c r="PET1" s="2"/>
      <c r="PEU1" s="2"/>
      <c r="PEV1" s="2"/>
      <c r="PEW1" s="2"/>
      <c r="PEX1" s="2"/>
      <c r="PEY1" s="2"/>
      <c r="PEZ1" s="2"/>
      <c r="PFA1" s="2"/>
      <c r="PFB1" s="2"/>
      <c r="PFC1" s="2"/>
      <c r="PFD1" s="2"/>
      <c r="PFE1" s="2"/>
      <c r="PFF1" s="2"/>
      <c r="PFG1" s="2"/>
      <c r="PFH1" s="2"/>
      <c r="PFI1" s="2"/>
      <c r="PFJ1" s="2"/>
      <c r="PFK1" s="2"/>
      <c r="PFL1" s="2"/>
      <c r="PFM1" s="2"/>
      <c r="PFN1" s="2"/>
      <c r="PFO1" s="2"/>
      <c r="PFP1" s="2"/>
      <c r="PFQ1" s="2"/>
      <c r="PFR1" s="2"/>
      <c r="PFS1" s="2"/>
      <c r="PFT1" s="2"/>
      <c r="PFU1" s="2"/>
      <c r="PFV1" s="2"/>
      <c r="PFW1" s="2"/>
      <c r="PFX1" s="2"/>
      <c r="PFY1" s="2"/>
      <c r="PFZ1" s="2"/>
      <c r="PGA1" s="2"/>
      <c r="PGB1" s="2"/>
      <c r="PGC1" s="2"/>
      <c r="PGD1" s="2"/>
      <c r="PGE1" s="2"/>
      <c r="PGF1" s="2"/>
      <c r="PGG1" s="2"/>
      <c r="PGH1" s="2"/>
      <c r="PGI1" s="2"/>
      <c r="PGJ1" s="2"/>
      <c r="PGK1" s="2"/>
      <c r="PGL1" s="2"/>
      <c r="PGM1" s="2"/>
      <c r="PGN1" s="2"/>
      <c r="PGO1" s="2"/>
      <c r="PGP1" s="2"/>
      <c r="PGQ1" s="2"/>
      <c r="PGR1" s="2"/>
      <c r="PGS1" s="2"/>
      <c r="PGT1" s="2"/>
      <c r="PGU1" s="2"/>
      <c r="PGV1" s="2"/>
      <c r="PGW1" s="2"/>
      <c r="PGX1" s="2"/>
      <c r="PGY1" s="2"/>
      <c r="PGZ1" s="2"/>
      <c r="PHA1" s="2"/>
      <c r="PHB1" s="2"/>
      <c r="PHC1" s="2"/>
      <c r="PHD1" s="2"/>
      <c r="PHE1" s="2"/>
      <c r="PHF1" s="2"/>
      <c r="PHG1" s="2"/>
      <c r="PHH1" s="2"/>
      <c r="PHI1" s="2"/>
      <c r="PHJ1" s="2"/>
      <c r="PHK1" s="2"/>
      <c r="PHL1" s="2"/>
      <c r="PHM1" s="2"/>
      <c r="PHN1" s="2"/>
      <c r="PHO1" s="2"/>
      <c r="PHP1" s="2"/>
      <c r="PHQ1" s="2"/>
      <c r="PHR1" s="2"/>
      <c r="PHS1" s="2"/>
      <c r="PHT1" s="2"/>
      <c r="PHU1" s="2"/>
      <c r="PHV1" s="2"/>
      <c r="PHW1" s="2"/>
      <c r="PHX1" s="2"/>
      <c r="PHY1" s="2"/>
      <c r="PHZ1" s="2"/>
      <c r="PIA1" s="2"/>
      <c r="PIB1" s="2"/>
      <c r="PIC1" s="2"/>
      <c r="PID1" s="2"/>
      <c r="PIE1" s="2"/>
      <c r="PIF1" s="2"/>
      <c r="PIG1" s="2"/>
      <c r="PIH1" s="2"/>
      <c r="PII1" s="2"/>
      <c r="PIJ1" s="2"/>
      <c r="PIK1" s="2"/>
      <c r="PIL1" s="2"/>
      <c r="PIM1" s="2"/>
      <c r="PIN1" s="2"/>
      <c r="PIO1" s="2"/>
      <c r="PIP1" s="2"/>
      <c r="PIQ1" s="2"/>
      <c r="PIR1" s="2"/>
      <c r="PIS1" s="2"/>
      <c r="PIT1" s="2"/>
      <c r="PIU1" s="2"/>
      <c r="PIV1" s="2"/>
      <c r="PIW1" s="2"/>
      <c r="PIX1" s="2"/>
      <c r="PIY1" s="2"/>
      <c r="PIZ1" s="2"/>
      <c r="PJA1" s="2"/>
      <c r="PJB1" s="2"/>
      <c r="PJC1" s="2"/>
      <c r="PJD1" s="2"/>
      <c r="PJE1" s="2"/>
      <c r="PJF1" s="2"/>
      <c r="PJG1" s="2"/>
      <c r="PJH1" s="2"/>
      <c r="PJI1" s="2"/>
      <c r="PJJ1" s="2"/>
      <c r="PJK1" s="2"/>
      <c r="PJL1" s="2"/>
      <c r="PJM1" s="2"/>
      <c r="PJN1" s="2"/>
      <c r="PJO1" s="2"/>
      <c r="PJP1" s="2"/>
      <c r="PJQ1" s="2"/>
      <c r="PJR1" s="2"/>
      <c r="PJS1" s="2"/>
      <c r="PJT1" s="2"/>
      <c r="PJU1" s="2"/>
      <c r="PJV1" s="2"/>
      <c r="PJW1" s="2"/>
      <c r="PJX1" s="2"/>
      <c r="PJY1" s="2"/>
      <c r="PJZ1" s="2"/>
      <c r="PKA1" s="2"/>
      <c r="PKB1" s="2"/>
      <c r="PKC1" s="2"/>
      <c r="PKD1" s="2"/>
      <c r="PKE1" s="2"/>
      <c r="PKF1" s="2"/>
      <c r="PKG1" s="2"/>
      <c r="PKH1" s="2"/>
      <c r="PKI1" s="2"/>
      <c r="PKJ1" s="2"/>
      <c r="PKK1" s="2"/>
      <c r="PKL1" s="2"/>
      <c r="PKM1" s="2"/>
      <c r="PKN1" s="2"/>
      <c r="PKO1" s="2"/>
      <c r="PKP1" s="2"/>
      <c r="PKQ1" s="2"/>
      <c r="PKR1" s="2"/>
      <c r="PKS1" s="2"/>
      <c r="PKT1" s="2"/>
      <c r="PKU1" s="2"/>
      <c r="PKV1" s="2"/>
      <c r="PKW1" s="2"/>
      <c r="PKX1" s="2"/>
      <c r="PKY1" s="2"/>
      <c r="PKZ1" s="2"/>
      <c r="PLA1" s="2"/>
      <c r="PLB1" s="2"/>
      <c r="PLC1" s="2"/>
      <c r="PLD1" s="2"/>
      <c r="PLE1" s="2"/>
      <c r="PLF1" s="2"/>
      <c r="PLG1" s="2"/>
      <c r="PLH1" s="2"/>
      <c r="PLI1" s="2"/>
      <c r="PLJ1" s="2"/>
      <c r="PLK1" s="2"/>
      <c r="PLL1" s="2"/>
      <c r="PLM1" s="2"/>
      <c r="PLN1" s="2"/>
      <c r="PLO1" s="2"/>
      <c r="PLP1" s="2"/>
      <c r="PLQ1" s="2"/>
      <c r="PLR1" s="2"/>
      <c r="PLS1" s="2"/>
      <c r="PLT1" s="2"/>
      <c r="PLU1" s="2"/>
      <c r="PLV1" s="2"/>
      <c r="PLW1" s="2"/>
      <c r="PLX1" s="2"/>
      <c r="PLY1" s="2"/>
      <c r="PLZ1" s="2"/>
      <c r="PMA1" s="2"/>
      <c r="PMB1" s="2"/>
      <c r="PMC1" s="2"/>
      <c r="PMD1" s="2"/>
      <c r="PME1" s="2"/>
      <c r="PMF1" s="2"/>
      <c r="PMG1" s="2"/>
      <c r="PMH1" s="2"/>
      <c r="PMI1" s="2"/>
      <c r="PMJ1" s="2"/>
      <c r="PMK1" s="2"/>
      <c r="PML1" s="2"/>
      <c r="PMM1" s="2"/>
      <c r="PMN1" s="2"/>
      <c r="PMO1" s="2"/>
      <c r="PMP1" s="2"/>
      <c r="PMQ1" s="2"/>
      <c r="PMR1" s="2"/>
      <c r="PMS1" s="2"/>
      <c r="PMT1" s="2"/>
      <c r="PMU1" s="2"/>
      <c r="PMV1" s="2"/>
      <c r="PMW1" s="2"/>
      <c r="PMX1" s="2"/>
      <c r="PMY1" s="2"/>
      <c r="PMZ1" s="2"/>
      <c r="PNA1" s="2"/>
      <c r="PNB1" s="2"/>
      <c r="PNC1" s="2"/>
      <c r="PND1" s="2"/>
      <c r="PNE1" s="2"/>
      <c r="PNF1" s="2"/>
      <c r="PNG1" s="2"/>
      <c r="PNH1" s="2"/>
      <c r="PNI1" s="2"/>
      <c r="PNJ1" s="2"/>
      <c r="PNK1" s="2"/>
      <c r="PNL1" s="2"/>
      <c r="PNM1" s="2"/>
      <c r="PNN1" s="2"/>
      <c r="PNO1" s="2"/>
      <c r="PNP1" s="2"/>
      <c r="PNQ1" s="2"/>
      <c r="PNR1" s="2"/>
      <c r="PNS1" s="2"/>
      <c r="PNT1" s="2"/>
      <c r="PNU1" s="2"/>
      <c r="PNV1" s="2"/>
      <c r="PNW1" s="2"/>
      <c r="PNX1" s="2"/>
      <c r="PNY1" s="2"/>
      <c r="PNZ1" s="2"/>
      <c r="POA1" s="2"/>
      <c r="POB1" s="2"/>
      <c r="POC1" s="2"/>
      <c r="POD1" s="2"/>
      <c r="POE1" s="2"/>
      <c r="POF1" s="2"/>
      <c r="POG1" s="2"/>
      <c r="POH1" s="2"/>
      <c r="POI1" s="2"/>
      <c r="POJ1" s="2"/>
      <c r="POK1" s="2"/>
      <c r="POL1" s="2"/>
      <c r="POM1" s="2"/>
      <c r="PON1" s="2"/>
      <c r="POO1" s="2"/>
      <c r="POP1" s="2"/>
      <c r="POQ1" s="2"/>
      <c r="POR1" s="2"/>
      <c r="POS1" s="2"/>
      <c r="POT1" s="2"/>
      <c r="POU1" s="2"/>
      <c r="POV1" s="2"/>
      <c r="POW1" s="2"/>
      <c r="POX1" s="2"/>
      <c r="POY1" s="2"/>
      <c r="POZ1" s="2"/>
      <c r="PPA1" s="2"/>
      <c r="PPB1" s="2"/>
      <c r="PPC1" s="2"/>
      <c r="PPD1" s="2"/>
      <c r="PPE1" s="2"/>
      <c r="PPF1" s="2"/>
      <c r="PPG1" s="2"/>
      <c r="PPH1" s="2"/>
      <c r="PPI1" s="2"/>
      <c r="PPJ1" s="2"/>
      <c r="PPK1" s="2"/>
      <c r="PPL1" s="2"/>
      <c r="PPM1" s="2"/>
      <c r="PPN1" s="2"/>
      <c r="PPO1" s="2"/>
      <c r="PPP1" s="2"/>
      <c r="PPQ1" s="2"/>
      <c r="PPR1" s="2"/>
      <c r="PPS1" s="2"/>
      <c r="PPT1" s="2"/>
      <c r="PPU1" s="2"/>
      <c r="PPV1" s="2"/>
      <c r="PPW1" s="2"/>
      <c r="PPX1" s="2"/>
      <c r="PPY1" s="2"/>
      <c r="PPZ1" s="2"/>
      <c r="PQA1" s="2"/>
      <c r="PQB1" s="2"/>
      <c r="PQC1" s="2"/>
      <c r="PQD1" s="2"/>
      <c r="PQE1" s="2"/>
      <c r="PQF1" s="2"/>
      <c r="PQG1" s="2"/>
      <c r="PQH1" s="2"/>
      <c r="PQI1" s="2"/>
      <c r="PQJ1" s="2"/>
      <c r="PQK1" s="2"/>
      <c r="PQL1" s="2"/>
      <c r="PQM1" s="2"/>
      <c r="PQN1" s="2"/>
      <c r="PQO1" s="2"/>
      <c r="PQP1" s="2"/>
      <c r="PQQ1" s="2"/>
      <c r="PQR1" s="2"/>
      <c r="PQS1" s="2"/>
      <c r="PQT1" s="2"/>
      <c r="PQU1" s="2"/>
      <c r="PQV1" s="2"/>
      <c r="PQW1" s="2"/>
      <c r="PQX1" s="2"/>
      <c r="PQY1" s="2"/>
      <c r="PQZ1" s="2"/>
      <c r="PRA1" s="2"/>
      <c r="PRB1" s="2"/>
      <c r="PRC1" s="2"/>
      <c r="PRD1" s="2"/>
      <c r="PRE1" s="2"/>
      <c r="PRF1" s="2"/>
      <c r="PRG1" s="2"/>
      <c r="PRH1" s="2"/>
      <c r="PRI1" s="2"/>
      <c r="PRJ1" s="2"/>
      <c r="PRK1" s="2"/>
      <c r="PRL1" s="2"/>
      <c r="PRM1" s="2"/>
      <c r="PRN1" s="2"/>
      <c r="PRO1" s="2"/>
      <c r="PRP1" s="2"/>
      <c r="PRQ1" s="2"/>
      <c r="PRR1" s="2"/>
      <c r="PRS1" s="2"/>
      <c r="PRT1" s="2"/>
      <c r="PRU1" s="2"/>
      <c r="PRV1" s="2"/>
      <c r="PRW1" s="2"/>
      <c r="PRX1" s="2"/>
      <c r="PRY1" s="2"/>
      <c r="PRZ1" s="2"/>
      <c r="PSA1" s="2"/>
      <c r="PSB1" s="2"/>
      <c r="PSC1" s="2"/>
      <c r="PSD1" s="2"/>
      <c r="PSE1" s="2"/>
      <c r="PSF1" s="2"/>
      <c r="PSG1" s="2"/>
      <c r="PSH1" s="2"/>
      <c r="PSI1" s="2"/>
      <c r="PSJ1" s="2"/>
      <c r="PSK1" s="2"/>
      <c r="PSL1" s="2"/>
      <c r="PSM1" s="2"/>
      <c r="PSN1" s="2"/>
      <c r="PSO1" s="2"/>
      <c r="PSP1" s="2"/>
      <c r="PSQ1" s="2"/>
      <c r="PSR1" s="2"/>
      <c r="PSS1" s="2"/>
      <c r="PST1" s="2"/>
      <c r="PSU1" s="2"/>
      <c r="PSV1" s="2"/>
      <c r="PSW1" s="2"/>
      <c r="PSX1" s="2"/>
      <c r="PSY1" s="2"/>
      <c r="PSZ1" s="2"/>
      <c r="PTA1" s="2"/>
      <c r="PTB1" s="2"/>
      <c r="PTC1" s="2"/>
      <c r="PTD1" s="2"/>
      <c r="PTE1" s="2"/>
      <c r="PTF1" s="2"/>
      <c r="PTG1" s="2"/>
      <c r="PTH1" s="2"/>
      <c r="PTI1" s="2"/>
      <c r="PTJ1" s="2"/>
      <c r="PTK1" s="2"/>
      <c r="PTL1" s="2"/>
      <c r="PTM1" s="2"/>
      <c r="PTN1" s="2"/>
      <c r="PTO1" s="2"/>
      <c r="PTP1" s="2"/>
      <c r="PTQ1" s="2"/>
      <c r="PTR1" s="2"/>
      <c r="PTS1" s="2"/>
      <c r="PTT1" s="2"/>
      <c r="PTU1" s="2"/>
      <c r="PTV1" s="2"/>
      <c r="PTW1" s="2"/>
      <c r="PTX1" s="2"/>
      <c r="PTY1" s="2"/>
      <c r="PTZ1" s="2"/>
      <c r="PUA1" s="2"/>
      <c r="PUB1" s="2"/>
      <c r="PUC1" s="2"/>
      <c r="PUD1" s="2"/>
      <c r="PUE1" s="2"/>
      <c r="PUF1" s="2"/>
      <c r="PUG1" s="2"/>
      <c r="PUH1" s="2"/>
      <c r="PUI1" s="2"/>
      <c r="PUJ1" s="2"/>
      <c r="PUK1" s="2"/>
      <c r="PUL1" s="2"/>
      <c r="PUM1" s="2"/>
      <c r="PUN1" s="2"/>
      <c r="PUO1" s="2"/>
      <c r="PUP1" s="2"/>
      <c r="PUQ1" s="2"/>
      <c r="PUR1" s="2"/>
      <c r="PUS1" s="2"/>
      <c r="PUT1" s="2"/>
      <c r="PUU1" s="2"/>
      <c r="PUV1" s="2"/>
      <c r="PUW1" s="2"/>
      <c r="PUX1" s="2"/>
      <c r="PUY1" s="2"/>
      <c r="PUZ1" s="2"/>
      <c r="PVA1" s="2"/>
      <c r="PVB1" s="2"/>
      <c r="PVC1" s="2"/>
      <c r="PVD1" s="2"/>
      <c r="PVE1" s="2"/>
      <c r="PVF1" s="2"/>
      <c r="PVG1" s="2"/>
      <c r="PVH1" s="2"/>
      <c r="PVI1" s="2"/>
      <c r="PVJ1" s="2"/>
      <c r="PVK1" s="2"/>
      <c r="PVL1" s="2"/>
      <c r="PVM1" s="2"/>
      <c r="PVN1" s="2"/>
      <c r="PVO1" s="2"/>
      <c r="PVP1" s="2"/>
      <c r="PVQ1" s="2"/>
      <c r="PVR1" s="2"/>
      <c r="PVS1" s="2"/>
      <c r="PVT1" s="2"/>
      <c r="PVU1" s="2"/>
      <c r="PVV1" s="2"/>
      <c r="PVW1" s="2"/>
      <c r="PVX1" s="2"/>
      <c r="PVY1" s="2"/>
      <c r="PVZ1" s="2"/>
      <c r="PWA1" s="2"/>
      <c r="PWB1" s="2"/>
      <c r="PWC1" s="2"/>
      <c r="PWD1" s="2"/>
      <c r="PWE1" s="2"/>
      <c r="PWF1" s="2"/>
      <c r="PWG1" s="2"/>
      <c r="PWH1" s="2"/>
      <c r="PWI1" s="2"/>
      <c r="PWJ1" s="2"/>
      <c r="PWK1" s="2"/>
      <c r="PWL1" s="2"/>
      <c r="PWM1" s="2"/>
      <c r="PWN1" s="2"/>
      <c r="PWO1" s="2"/>
      <c r="PWP1" s="2"/>
      <c r="PWQ1" s="2"/>
      <c r="PWR1" s="2"/>
      <c r="PWS1" s="2"/>
      <c r="PWT1" s="2"/>
      <c r="PWU1" s="2"/>
      <c r="PWV1" s="2"/>
      <c r="PWW1" s="2"/>
      <c r="PWX1" s="2"/>
      <c r="PWY1" s="2"/>
      <c r="PWZ1" s="2"/>
      <c r="PXA1" s="2"/>
      <c r="PXB1" s="2"/>
      <c r="PXC1" s="2"/>
      <c r="PXD1" s="2"/>
      <c r="PXE1" s="2"/>
      <c r="PXF1" s="2"/>
      <c r="PXG1" s="2"/>
      <c r="PXH1" s="2"/>
      <c r="PXI1" s="2"/>
      <c r="PXJ1" s="2"/>
      <c r="PXK1" s="2"/>
      <c r="PXL1" s="2"/>
      <c r="PXM1" s="2"/>
      <c r="PXN1" s="2"/>
      <c r="PXO1" s="2"/>
      <c r="PXP1" s="2"/>
      <c r="PXQ1" s="2"/>
      <c r="PXR1" s="2"/>
      <c r="PXS1" s="2"/>
      <c r="PXT1" s="2"/>
      <c r="PXU1" s="2"/>
      <c r="PXV1" s="2"/>
      <c r="PXW1" s="2"/>
      <c r="PXX1" s="2"/>
      <c r="PXY1" s="2"/>
      <c r="PXZ1" s="2"/>
      <c r="PYA1" s="2"/>
      <c r="PYB1" s="2"/>
      <c r="PYC1" s="2"/>
      <c r="PYD1" s="2"/>
      <c r="PYE1" s="2"/>
      <c r="PYF1" s="2"/>
      <c r="PYG1" s="2"/>
      <c r="PYH1" s="2"/>
      <c r="PYI1" s="2"/>
      <c r="PYJ1" s="2"/>
      <c r="PYK1" s="2"/>
      <c r="PYL1" s="2"/>
      <c r="PYM1" s="2"/>
      <c r="PYN1" s="2"/>
      <c r="PYO1" s="2"/>
      <c r="PYP1" s="2"/>
      <c r="PYQ1" s="2"/>
      <c r="PYR1" s="2"/>
      <c r="PYS1" s="2"/>
      <c r="PYT1" s="2"/>
      <c r="PYU1" s="2"/>
      <c r="PYV1" s="2"/>
      <c r="PYW1" s="2"/>
      <c r="PYX1" s="2"/>
      <c r="PYY1" s="2"/>
      <c r="PYZ1" s="2"/>
      <c r="PZA1" s="2"/>
      <c r="PZB1" s="2"/>
      <c r="PZC1" s="2"/>
      <c r="PZD1" s="2"/>
      <c r="PZE1" s="2"/>
      <c r="PZF1" s="2"/>
      <c r="PZG1" s="2"/>
      <c r="PZH1" s="2"/>
      <c r="PZI1" s="2"/>
      <c r="PZJ1" s="2"/>
      <c r="PZK1" s="2"/>
      <c r="PZL1" s="2"/>
      <c r="PZM1" s="2"/>
      <c r="PZN1" s="2"/>
      <c r="PZO1" s="2"/>
      <c r="PZP1" s="2"/>
      <c r="PZQ1" s="2"/>
      <c r="PZR1" s="2"/>
      <c r="PZS1" s="2"/>
      <c r="PZT1" s="2"/>
      <c r="PZU1" s="2"/>
      <c r="PZV1" s="2"/>
      <c r="PZW1" s="2"/>
      <c r="PZX1" s="2"/>
      <c r="PZY1" s="2"/>
      <c r="PZZ1" s="2"/>
      <c r="QAA1" s="2"/>
      <c r="QAB1" s="2"/>
      <c r="QAC1" s="2"/>
      <c r="QAD1" s="2"/>
      <c r="QAE1" s="2"/>
      <c r="QAF1" s="2"/>
      <c r="QAG1" s="2"/>
      <c r="QAH1" s="2"/>
      <c r="QAI1" s="2"/>
      <c r="QAJ1" s="2"/>
      <c r="QAK1" s="2"/>
      <c r="QAL1" s="2"/>
      <c r="QAM1" s="2"/>
      <c r="QAN1" s="2"/>
      <c r="QAO1" s="2"/>
      <c r="QAP1" s="2"/>
      <c r="QAQ1" s="2"/>
      <c r="QAR1" s="2"/>
      <c r="QAS1" s="2"/>
      <c r="QAT1" s="2"/>
      <c r="QAU1" s="2"/>
      <c r="QAV1" s="2"/>
      <c r="QAW1" s="2"/>
      <c r="QAX1" s="2"/>
      <c r="QAY1" s="2"/>
      <c r="QAZ1" s="2"/>
      <c r="QBA1" s="2"/>
      <c r="QBB1" s="2"/>
      <c r="QBC1" s="2"/>
      <c r="QBD1" s="2"/>
      <c r="QBE1" s="2"/>
      <c r="QBF1" s="2"/>
      <c r="QBG1" s="2"/>
      <c r="QBH1" s="2"/>
      <c r="QBI1" s="2"/>
      <c r="QBJ1" s="2"/>
      <c r="QBK1" s="2"/>
      <c r="QBL1" s="2"/>
      <c r="QBM1" s="2"/>
      <c r="QBN1" s="2"/>
      <c r="QBO1" s="2"/>
      <c r="QBP1" s="2"/>
      <c r="QBQ1" s="2"/>
      <c r="QBR1" s="2"/>
      <c r="QBS1" s="2"/>
      <c r="QBT1" s="2"/>
      <c r="QBU1" s="2"/>
      <c r="QBV1" s="2"/>
      <c r="QBW1" s="2"/>
      <c r="QBX1" s="2"/>
      <c r="QBY1" s="2"/>
      <c r="QBZ1" s="2"/>
      <c r="QCA1" s="2"/>
      <c r="QCB1" s="2"/>
      <c r="QCC1" s="2"/>
      <c r="QCD1" s="2"/>
      <c r="QCE1" s="2"/>
      <c r="QCF1" s="2"/>
      <c r="QCG1" s="2"/>
      <c r="QCH1" s="2"/>
      <c r="QCI1" s="2"/>
      <c r="QCJ1" s="2"/>
      <c r="QCK1" s="2"/>
      <c r="QCL1" s="2"/>
      <c r="QCM1" s="2"/>
      <c r="QCN1" s="2"/>
      <c r="QCO1" s="2"/>
      <c r="QCP1" s="2"/>
      <c r="QCQ1" s="2"/>
      <c r="QCR1" s="2"/>
      <c r="QCS1" s="2"/>
      <c r="QCT1" s="2"/>
      <c r="QCU1" s="2"/>
      <c r="QCV1" s="2"/>
      <c r="QCW1" s="2"/>
      <c r="QCX1" s="2"/>
      <c r="QCY1" s="2"/>
      <c r="QCZ1" s="2"/>
      <c r="QDA1" s="2"/>
      <c r="QDB1" s="2"/>
      <c r="QDC1" s="2"/>
      <c r="QDD1" s="2"/>
      <c r="QDE1" s="2"/>
      <c r="QDF1" s="2"/>
      <c r="QDG1" s="2"/>
      <c r="QDH1" s="2"/>
      <c r="QDI1" s="2"/>
      <c r="QDJ1" s="2"/>
      <c r="QDK1" s="2"/>
      <c r="QDL1" s="2"/>
      <c r="QDM1" s="2"/>
      <c r="QDN1" s="2"/>
      <c r="QDO1" s="2"/>
      <c r="QDP1" s="2"/>
      <c r="QDQ1" s="2"/>
      <c r="QDR1" s="2"/>
      <c r="QDS1" s="2"/>
      <c r="QDT1" s="2"/>
      <c r="QDU1" s="2"/>
      <c r="QDV1" s="2"/>
      <c r="QDW1" s="2"/>
      <c r="QDX1" s="2"/>
      <c r="QDY1" s="2"/>
      <c r="QDZ1" s="2"/>
      <c r="QEA1" s="2"/>
      <c r="QEB1" s="2"/>
      <c r="QEC1" s="2"/>
      <c r="QED1" s="2"/>
      <c r="QEE1" s="2"/>
      <c r="QEF1" s="2"/>
      <c r="QEG1" s="2"/>
      <c r="QEH1" s="2"/>
      <c r="QEI1" s="2"/>
      <c r="QEJ1" s="2"/>
      <c r="QEK1" s="2"/>
      <c r="QEL1" s="2"/>
      <c r="QEM1" s="2"/>
      <c r="QEN1" s="2"/>
      <c r="QEO1" s="2"/>
      <c r="QEP1" s="2"/>
      <c r="QEQ1" s="2"/>
      <c r="QER1" s="2"/>
      <c r="QES1" s="2"/>
      <c r="QET1" s="2"/>
      <c r="QEU1" s="2"/>
      <c r="QEV1" s="2"/>
      <c r="QEW1" s="2"/>
      <c r="QEX1" s="2"/>
      <c r="QEY1" s="2"/>
      <c r="QEZ1" s="2"/>
      <c r="QFA1" s="2"/>
      <c r="QFB1" s="2"/>
      <c r="QFC1" s="2"/>
      <c r="QFD1" s="2"/>
      <c r="QFE1" s="2"/>
      <c r="QFF1" s="2"/>
      <c r="QFG1" s="2"/>
      <c r="QFH1" s="2"/>
      <c r="QFI1" s="2"/>
      <c r="QFJ1" s="2"/>
      <c r="QFK1" s="2"/>
      <c r="QFL1" s="2"/>
      <c r="QFM1" s="2"/>
      <c r="QFN1" s="2"/>
      <c r="QFO1" s="2"/>
      <c r="QFP1" s="2"/>
      <c r="QFQ1" s="2"/>
      <c r="QFR1" s="2"/>
      <c r="QFS1" s="2"/>
      <c r="QFT1" s="2"/>
      <c r="QFU1" s="2"/>
      <c r="QFV1" s="2"/>
      <c r="QFW1" s="2"/>
      <c r="QFX1" s="2"/>
      <c r="QFY1" s="2"/>
      <c r="QFZ1" s="2"/>
      <c r="QGA1" s="2"/>
      <c r="QGB1" s="2"/>
      <c r="QGC1" s="2"/>
      <c r="QGD1" s="2"/>
      <c r="QGE1" s="2"/>
      <c r="QGF1" s="2"/>
      <c r="QGG1" s="2"/>
      <c r="QGH1" s="2"/>
      <c r="QGI1" s="2"/>
      <c r="QGJ1" s="2"/>
      <c r="QGK1" s="2"/>
      <c r="QGL1" s="2"/>
      <c r="QGM1" s="2"/>
      <c r="QGN1" s="2"/>
      <c r="QGO1" s="2"/>
      <c r="QGP1" s="2"/>
      <c r="QGQ1" s="2"/>
      <c r="QGR1" s="2"/>
      <c r="QGS1" s="2"/>
      <c r="QGT1" s="2"/>
      <c r="QGU1" s="2"/>
      <c r="QGV1" s="2"/>
      <c r="QGW1" s="2"/>
      <c r="QGX1" s="2"/>
      <c r="QGY1" s="2"/>
      <c r="QGZ1" s="2"/>
      <c r="QHA1" s="2"/>
      <c r="QHB1" s="2"/>
      <c r="QHC1" s="2"/>
      <c r="QHD1" s="2"/>
      <c r="QHE1" s="2"/>
      <c r="QHF1" s="2"/>
      <c r="QHG1" s="2"/>
      <c r="QHH1" s="2"/>
      <c r="QHI1" s="2"/>
      <c r="QHJ1" s="2"/>
      <c r="QHK1" s="2"/>
      <c r="QHL1" s="2"/>
      <c r="QHM1" s="2"/>
      <c r="QHN1" s="2"/>
      <c r="QHO1" s="2"/>
      <c r="QHP1" s="2"/>
      <c r="QHQ1" s="2"/>
      <c r="QHR1" s="2"/>
      <c r="QHS1" s="2"/>
      <c r="QHT1" s="2"/>
      <c r="QHU1" s="2"/>
      <c r="QHV1" s="2"/>
      <c r="QHW1" s="2"/>
      <c r="QHX1" s="2"/>
      <c r="QHY1" s="2"/>
      <c r="QHZ1" s="2"/>
      <c r="QIA1" s="2"/>
      <c r="QIB1" s="2"/>
      <c r="QIC1" s="2"/>
      <c r="QID1" s="2"/>
      <c r="QIE1" s="2"/>
      <c r="QIF1" s="2"/>
      <c r="QIG1" s="2"/>
      <c r="QIH1" s="2"/>
      <c r="QII1" s="2"/>
      <c r="QIJ1" s="2"/>
      <c r="QIK1" s="2"/>
      <c r="QIL1" s="2"/>
      <c r="QIM1" s="2"/>
      <c r="QIN1" s="2"/>
      <c r="QIO1" s="2"/>
      <c r="QIP1" s="2"/>
      <c r="QIQ1" s="2"/>
      <c r="QIR1" s="2"/>
      <c r="QIS1" s="2"/>
      <c r="QIT1" s="2"/>
      <c r="QIU1" s="2"/>
      <c r="QIV1" s="2"/>
      <c r="QIW1" s="2"/>
      <c r="QIX1" s="2"/>
      <c r="QIY1" s="2"/>
      <c r="QIZ1" s="2"/>
      <c r="QJA1" s="2"/>
      <c r="QJB1" s="2"/>
      <c r="QJC1" s="2"/>
      <c r="QJD1" s="2"/>
      <c r="QJE1" s="2"/>
      <c r="QJF1" s="2"/>
      <c r="QJG1" s="2"/>
      <c r="QJH1" s="2"/>
      <c r="QJI1" s="2"/>
      <c r="QJJ1" s="2"/>
      <c r="QJK1" s="2"/>
      <c r="QJL1" s="2"/>
      <c r="QJM1" s="2"/>
      <c r="QJN1" s="2"/>
      <c r="QJO1" s="2"/>
      <c r="QJP1" s="2"/>
      <c r="QJQ1" s="2"/>
      <c r="QJR1" s="2"/>
      <c r="QJS1" s="2"/>
      <c r="QJT1" s="2"/>
      <c r="QJU1" s="2"/>
      <c r="QJV1" s="2"/>
      <c r="QJW1" s="2"/>
      <c r="QJX1" s="2"/>
      <c r="QJY1" s="2"/>
      <c r="QJZ1" s="2"/>
      <c r="QKA1" s="2"/>
      <c r="QKB1" s="2"/>
      <c r="QKC1" s="2"/>
      <c r="QKD1" s="2"/>
      <c r="QKE1" s="2"/>
      <c r="QKF1" s="2"/>
      <c r="QKG1" s="2"/>
      <c r="QKH1" s="2"/>
      <c r="QKI1" s="2"/>
      <c r="QKJ1" s="2"/>
      <c r="QKK1" s="2"/>
      <c r="QKL1" s="2"/>
      <c r="QKM1" s="2"/>
      <c r="QKN1" s="2"/>
      <c r="QKO1" s="2"/>
      <c r="QKP1" s="2"/>
      <c r="QKQ1" s="2"/>
      <c r="QKR1" s="2"/>
      <c r="QKS1" s="2"/>
      <c r="QKT1" s="2"/>
      <c r="QKU1" s="2"/>
      <c r="QKV1" s="2"/>
      <c r="QKW1" s="2"/>
      <c r="QKX1" s="2"/>
      <c r="QKY1" s="2"/>
      <c r="QKZ1" s="2"/>
      <c r="QLA1" s="2"/>
      <c r="QLB1" s="2"/>
      <c r="QLC1" s="2"/>
      <c r="QLD1" s="2"/>
      <c r="QLE1" s="2"/>
      <c r="QLF1" s="2"/>
      <c r="QLG1" s="2"/>
      <c r="QLH1" s="2"/>
      <c r="QLI1" s="2"/>
      <c r="QLJ1" s="2"/>
      <c r="QLK1" s="2"/>
      <c r="QLL1" s="2"/>
      <c r="QLM1" s="2"/>
      <c r="QLN1" s="2"/>
      <c r="QLO1" s="2"/>
      <c r="QLP1" s="2"/>
      <c r="QLQ1" s="2"/>
      <c r="QLR1" s="2"/>
      <c r="QLS1" s="2"/>
      <c r="QLT1" s="2"/>
      <c r="QLU1" s="2"/>
      <c r="QLV1" s="2"/>
      <c r="QLW1" s="2"/>
      <c r="QLX1" s="2"/>
      <c r="QLY1" s="2"/>
      <c r="QLZ1" s="2"/>
      <c r="QMA1" s="2"/>
      <c r="QMB1" s="2"/>
      <c r="QMC1" s="2"/>
      <c r="QMD1" s="2"/>
      <c r="QME1" s="2"/>
      <c r="QMF1" s="2"/>
      <c r="QMG1" s="2"/>
      <c r="QMH1" s="2"/>
      <c r="QMI1" s="2"/>
      <c r="QMJ1" s="2"/>
      <c r="QMK1" s="2"/>
      <c r="QML1" s="2"/>
      <c r="QMM1" s="2"/>
      <c r="QMN1" s="2"/>
      <c r="QMO1" s="2"/>
      <c r="QMP1" s="2"/>
      <c r="QMQ1" s="2"/>
      <c r="QMR1" s="2"/>
      <c r="QMS1" s="2"/>
      <c r="QMT1" s="2"/>
      <c r="QMU1" s="2"/>
      <c r="QMV1" s="2"/>
      <c r="QMW1" s="2"/>
      <c r="QMX1" s="2"/>
      <c r="QMY1" s="2"/>
      <c r="QMZ1" s="2"/>
      <c r="QNA1" s="2"/>
      <c r="QNB1" s="2"/>
      <c r="QNC1" s="2"/>
      <c r="QND1" s="2"/>
      <c r="QNE1" s="2"/>
      <c r="QNF1" s="2"/>
      <c r="QNG1" s="2"/>
      <c r="QNH1" s="2"/>
      <c r="QNI1" s="2"/>
      <c r="QNJ1" s="2"/>
      <c r="QNK1" s="2"/>
      <c r="QNL1" s="2"/>
      <c r="QNM1" s="2"/>
      <c r="QNN1" s="2"/>
      <c r="QNO1" s="2"/>
      <c r="QNP1" s="2"/>
      <c r="QNQ1" s="2"/>
      <c r="QNR1" s="2"/>
      <c r="QNS1" s="2"/>
      <c r="QNT1" s="2"/>
      <c r="QNU1" s="2"/>
      <c r="QNV1" s="2"/>
      <c r="QNW1" s="2"/>
      <c r="QNX1" s="2"/>
      <c r="QNY1" s="2"/>
      <c r="QNZ1" s="2"/>
      <c r="QOA1" s="2"/>
      <c r="QOB1" s="2"/>
      <c r="QOC1" s="2"/>
      <c r="QOD1" s="2"/>
      <c r="QOE1" s="2"/>
      <c r="QOF1" s="2"/>
      <c r="QOG1" s="2"/>
      <c r="QOH1" s="2"/>
      <c r="QOI1" s="2"/>
      <c r="QOJ1" s="2"/>
      <c r="QOK1" s="2"/>
      <c r="QOL1" s="2"/>
      <c r="QOM1" s="2"/>
      <c r="QON1" s="2"/>
      <c r="QOO1" s="2"/>
      <c r="QOP1" s="2"/>
      <c r="QOQ1" s="2"/>
      <c r="QOR1" s="2"/>
      <c r="QOS1" s="2"/>
      <c r="QOT1" s="2"/>
      <c r="QOU1" s="2"/>
      <c r="QOV1" s="2"/>
      <c r="QOW1" s="2"/>
      <c r="QOX1" s="2"/>
      <c r="QOY1" s="2"/>
      <c r="QOZ1" s="2"/>
      <c r="QPA1" s="2"/>
      <c r="QPB1" s="2"/>
      <c r="QPC1" s="2"/>
      <c r="QPD1" s="2"/>
      <c r="QPE1" s="2"/>
      <c r="QPF1" s="2"/>
      <c r="QPG1" s="2"/>
      <c r="QPH1" s="2"/>
      <c r="QPI1" s="2"/>
      <c r="QPJ1" s="2"/>
      <c r="QPK1" s="2"/>
      <c r="QPL1" s="2"/>
      <c r="QPM1" s="2"/>
      <c r="QPN1" s="2"/>
      <c r="QPO1" s="2"/>
      <c r="QPP1" s="2"/>
      <c r="QPQ1" s="2"/>
      <c r="QPR1" s="2"/>
      <c r="QPS1" s="2"/>
      <c r="QPT1" s="2"/>
      <c r="QPU1" s="2"/>
      <c r="QPV1" s="2"/>
      <c r="QPW1" s="2"/>
      <c r="QPX1" s="2"/>
      <c r="QPY1" s="2"/>
      <c r="QPZ1" s="2"/>
      <c r="QQA1" s="2"/>
      <c r="QQB1" s="2"/>
      <c r="QQC1" s="2"/>
      <c r="QQD1" s="2"/>
      <c r="QQE1" s="2"/>
      <c r="QQF1" s="2"/>
      <c r="QQG1" s="2"/>
      <c r="QQH1" s="2"/>
      <c r="QQI1" s="2"/>
      <c r="QQJ1" s="2"/>
      <c r="QQK1" s="2"/>
      <c r="QQL1" s="2"/>
      <c r="QQM1" s="2"/>
      <c r="QQN1" s="2"/>
      <c r="QQO1" s="2"/>
      <c r="QQP1" s="2"/>
      <c r="QQQ1" s="2"/>
      <c r="QQR1" s="2"/>
      <c r="QQS1" s="2"/>
      <c r="QQT1" s="2"/>
      <c r="QQU1" s="2"/>
      <c r="QQV1" s="2"/>
      <c r="QQW1" s="2"/>
      <c r="QQX1" s="2"/>
      <c r="QQY1" s="2"/>
      <c r="QQZ1" s="2"/>
      <c r="QRA1" s="2"/>
      <c r="QRB1" s="2"/>
      <c r="QRC1" s="2"/>
      <c r="QRD1" s="2"/>
      <c r="QRE1" s="2"/>
      <c r="QRF1" s="2"/>
      <c r="QRG1" s="2"/>
      <c r="QRH1" s="2"/>
      <c r="QRI1" s="2"/>
      <c r="QRJ1" s="2"/>
      <c r="QRK1" s="2"/>
      <c r="QRL1" s="2"/>
      <c r="QRM1" s="2"/>
      <c r="QRN1" s="2"/>
      <c r="QRO1" s="2"/>
      <c r="QRP1" s="2"/>
      <c r="QRQ1" s="2"/>
      <c r="QRR1" s="2"/>
      <c r="QRS1" s="2"/>
      <c r="QRT1" s="2"/>
      <c r="QRU1" s="2"/>
      <c r="QRV1" s="2"/>
      <c r="QRW1" s="2"/>
      <c r="QRX1" s="2"/>
      <c r="QRY1" s="2"/>
      <c r="QRZ1" s="2"/>
      <c r="QSA1" s="2"/>
      <c r="QSB1" s="2"/>
      <c r="QSC1" s="2"/>
      <c r="QSD1" s="2"/>
      <c r="QSE1" s="2"/>
      <c r="QSF1" s="2"/>
      <c r="QSG1" s="2"/>
      <c r="QSH1" s="2"/>
      <c r="QSI1" s="2"/>
      <c r="QSJ1" s="2"/>
      <c r="QSK1" s="2"/>
      <c r="QSL1" s="2"/>
      <c r="QSM1" s="2"/>
      <c r="QSN1" s="2"/>
      <c r="QSO1" s="2"/>
      <c r="QSP1" s="2"/>
      <c r="QSQ1" s="2"/>
      <c r="QSR1" s="2"/>
      <c r="QSS1" s="2"/>
      <c r="QST1" s="2"/>
      <c r="QSU1" s="2"/>
      <c r="QSV1" s="2"/>
      <c r="QSW1" s="2"/>
      <c r="QSX1" s="2"/>
      <c r="QSY1" s="2"/>
      <c r="QSZ1" s="2"/>
      <c r="QTA1" s="2"/>
      <c r="QTB1" s="2"/>
      <c r="QTC1" s="2"/>
      <c r="QTD1" s="2"/>
      <c r="QTE1" s="2"/>
      <c r="QTF1" s="2"/>
      <c r="QTG1" s="2"/>
      <c r="QTH1" s="2"/>
      <c r="QTI1" s="2"/>
      <c r="QTJ1" s="2"/>
      <c r="QTK1" s="2"/>
      <c r="QTL1" s="2"/>
      <c r="QTM1" s="2"/>
      <c r="QTN1" s="2"/>
      <c r="QTO1" s="2"/>
      <c r="QTP1" s="2"/>
      <c r="QTQ1" s="2"/>
      <c r="QTR1" s="2"/>
      <c r="QTS1" s="2"/>
      <c r="QTT1" s="2"/>
      <c r="QTU1" s="2"/>
      <c r="QTV1" s="2"/>
      <c r="QTW1" s="2"/>
      <c r="QTX1" s="2"/>
      <c r="QTY1" s="2"/>
      <c r="QTZ1" s="2"/>
      <c r="QUA1" s="2"/>
      <c r="QUB1" s="2"/>
      <c r="QUC1" s="2"/>
      <c r="QUD1" s="2"/>
      <c r="QUE1" s="2"/>
      <c r="QUF1" s="2"/>
      <c r="QUG1" s="2"/>
      <c r="QUH1" s="2"/>
      <c r="QUI1" s="2"/>
      <c r="QUJ1" s="2"/>
      <c r="QUK1" s="2"/>
      <c r="QUL1" s="2"/>
      <c r="QUM1" s="2"/>
      <c r="QUN1" s="2"/>
      <c r="QUO1" s="2"/>
      <c r="QUP1" s="2"/>
      <c r="QUQ1" s="2"/>
      <c r="QUR1" s="2"/>
      <c r="QUS1" s="2"/>
      <c r="QUT1" s="2"/>
      <c r="QUU1" s="2"/>
      <c r="QUV1" s="2"/>
      <c r="QUW1" s="2"/>
      <c r="QUX1" s="2"/>
      <c r="QUY1" s="2"/>
      <c r="QUZ1" s="2"/>
      <c r="QVA1" s="2"/>
      <c r="QVB1" s="2"/>
      <c r="QVC1" s="2"/>
      <c r="QVD1" s="2"/>
      <c r="QVE1" s="2"/>
      <c r="QVF1" s="2"/>
      <c r="QVG1" s="2"/>
      <c r="QVH1" s="2"/>
      <c r="QVI1" s="2"/>
      <c r="QVJ1" s="2"/>
      <c r="QVK1" s="2"/>
      <c r="QVL1" s="2"/>
      <c r="QVM1" s="2"/>
      <c r="QVN1" s="2"/>
      <c r="QVO1" s="2"/>
      <c r="QVP1" s="2"/>
      <c r="QVQ1" s="2"/>
      <c r="QVR1" s="2"/>
      <c r="QVS1" s="2"/>
      <c r="QVT1" s="2"/>
      <c r="QVU1" s="2"/>
      <c r="QVV1" s="2"/>
      <c r="QVW1" s="2"/>
      <c r="QVX1" s="2"/>
      <c r="QVY1" s="2"/>
      <c r="QVZ1" s="2"/>
      <c r="QWA1" s="2"/>
      <c r="QWB1" s="2"/>
      <c r="QWC1" s="2"/>
      <c r="QWD1" s="2"/>
      <c r="QWE1" s="2"/>
      <c r="QWF1" s="2"/>
      <c r="QWG1" s="2"/>
      <c r="QWH1" s="2"/>
      <c r="QWI1" s="2"/>
      <c r="QWJ1" s="2"/>
      <c r="QWK1" s="2"/>
      <c r="QWL1" s="2"/>
      <c r="QWM1" s="2"/>
      <c r="QWN1" s="2"/>
      <c r="QWO1" s="2"/>
      <c r="QWP1" s="2"/>
      <c r="QWQ1" s="2"/>
      <c r="QWR1" s="2"/>
      <c r="QWS1" s="2"/>
      <c r="QWT1" s="2"/>
      <c r="QWU1" s="2"/>
      <c r="QWV1" s="2"/>
      <c r="QWW1" s="2"/>
      <c r="QWX1" s="2"/>
      <c r="QWY1" s="2"/>
      <c r="QWZ1" s="2"/>
      <c r="QXA1" s="2"/>
      <c r="QXB1" s="2"/>
      <c r="QXC1" s="2"/>
      <c r="QXD1" s="2"/>
      <c r="QXE1" s="2"/>
      <c r="QXF1" s="2"/>
      <c r="QXG1" s="2"/>
      <c r="QXH1" s="2"/>
      <c r="QXI1" s="2"/>
      <c r="QXJ1" s="2"/>
      <c r="QXK1" s="2"/>
      <c r="QXL1" s="2"/>
      <c r="QXM1" s="2"/>
      <c r="QXN1" s="2"/>
      <c r="QXO1" s="2"/>
      <c r="QXP1" s="2"/>
      <c r="QXQ1" s="2"/>
      <c r="QXR1" s="2"/>
      <c r="QXS1" s="2"/>
      <c r="QXT1" s="2"/>
      <c r="QXU1" s="2"/>
      <c r="QXV1" s="2"/>
      <c r="QXW1" s="2"/>
      <c r="QXX1" s="2"/>
      <c r="QXY1" s="2"/>
      <c r="QXZ1" s="2"/>
      <c r="QYA1" s="2"/>
      <c r="QYB1" s="2"/>
      <c r="QYC1" s="2"/>
      <c r="QYD1" s="2"/>
      <c r="QYE1" s="2"/>
      <c r="QYF1" s="2"/>
      <c r="QYG1" s="2"/>
      <c r="QYH1" s="2"/>
      <c r="QYI1" s="2"/>
      <c r="QYJ1" s="2"/>
      <c r="QYK1" s="2"/>
      <c r="QYL1" s="2"/>
      <c r="QYM1" s="2"/>
      <c r="QYN1" s="2"/>
      <c r="QYO1" s="2"/>
      <c r="QYP1" s="2"/>
      <c r="QYQ1" s="2"/>
      <c r="QYR1" s="2"/>
      <c r="QYS1" s="2"/>
      <c r="QYT1" s="2"/>
      <c r="QYU1" s="2"/>
      <c r="QYV1" s="2"/>
      <c r="QYW1" s="2"/>
      <c r="QYX1" s="2"/>
      <c r="QYY1" s="2"/>
      <c r="QYZ1" s="2"/>
      <c r="QZA1" s="2"/>
      <c r="QZB1" s="2"/>
      <c r="QZC1" s="2"/>
      <c r="QZD1" s="2"/>
      <c r="QZE1" s="2"/>
      <c r="QZF1" s="2"/>
      <c r="QZG1" s="2"/>
      <c r="QZH1" s="2"/>
      <c r="QZI1" s="2"/>
      <c r="QZJ1" s="2"/>
      <c r="QZK1" s="2"/>
      <c r="QZL1" s="2"/>
      <c r="QZM1" s="2"/>
      <c r="QZN1" s="2"/>
      <c r="QZO1" s="2"/>
      <c r="QZP1" s="2"/>
      <c r="QZQ1" s="2"/>
      <c r="QZR1" s="2"/>
      <c r="QZS1" s="2"/>
      <c r="QZT1" s="2"/>
      <c r="QZU1" s="2"/>
      <c r="QZV1" s="2"/>
      <c r="QZW1" s="2"/>
      <c r="QZX1" s="2"/>
      <c r="QZY1" s="2"/>
      <c r="QZZ1" s="2"/>
      <c r="RAA1" s="2"/>
      <c r="RAB1" s="2"/>
      <c r="RAC1" s="2"/>
      <c r="RAD1" s="2"/>
      <c r="RAE1" s="2"/>
      <c r="RAF1" s="2"/>
      <c r="RAG1" s="2"/>
      <c r="RAH1" s="2"/>
      <c r="RAI1" s="2"/>
      <c r="RAJ1" s="2"/>
      <c r="RAK1" s="2"/>
      <c r="RAL1" s="2"/>
      <c r="RAM1" s="2"/>
      <c r="RAN1" s="2"/>
      <c r="RAO1" s="2"/>
      <c r="RAP1" s="2"/>
      <c r="RAQ1" s="2"/>
      <c r="RAR1" s="2"/>
      <c r="RAS1" s="2"/>
      <c r="RAT1" s="2"/>
      <c r="RAU1" s="2"/>
      <c r="RAV1" s="2"/>
      <c r="RAW1" s="2"/>
      <c r="RAX1" s="2"/>
      <c r="RAY1" s="2"/>
      <c r="RAZ1" s="2"/>
      <c r="RBA1" s="2"/>
      <c r="RBB1" s="2"/>
      <c r="RBC1" s="2"/>
      <c r="RBD1" s="2"/>
      <c r="RBE1" s="2"/>
      <c r="RBF1" s="2"/>
      <c r="RBG1" s="2"/>
      <c r="RBH1" s="2"/>
      <c r="RBI1" s="2"/>
      <c r="RBJ1" s="2"/>
      <c r="RBK1" s="2"/>
      <c r="RBL1" s="2"/>
      <c r="RBM1" s="2"/>
      <c r="RBN1" s="2"/>
      <c r="RBO1" s="2"/>
      <c r="RBP1" s="2"/>
      <c r="RBQ1" s="2"/>
      <c r="RBR1" s="2"/>
      <c r="RBS1" s="2"/>
      <c r="RBT1" s="2"/>
      <c r="RBU1" s="2"/>
      <c r="RBV1" s="2"/>
      <c r="RBW1" s="2"/>
      <c r="RBX1" s="2"/>
      <c r="RBY1" s="2"/>
      <c r="RBZ1" s="2"/>
      <c r="RCA1" s="2"/>
      <c r="RCB1" s="2"/>
      <c r="RCC1" s="2"/>
      <c r="RCD1" s="2"/>
      <c r="RCE1" s="2"/>
      <c r="RCF1" s="2"/>
      <c r="RCG1" s="2"/>
      <c r="RCH1" s="2"/>
      <c r="RCI1" s="2"/>
      <c r="RCJ1" s="2"/>
      <c r="RCK1" s="2"/>
      <c r="RCL1" s="2"/>
      <c r="RCM1" s="2"/>
      <c r="RCN1" s="2"/>
      <c r="RCO1" s="2"/>
      <c r="RCP1" s="2"/>
      <c r="RCQ1" s="2"/>
      <c r="RCR1" s="2"/>
      <c r="RCS1" s="2"/>
      <c r="RCT1" s="2"/>
      <c r="RCU1" s="2"/>
      <c r="RCV1" s="2"/>
      <c r="RCW1" s="2"/>
      <c r="RCX1" s="2"/>
      <c r="RCY1" s="2"/>
      <c r="RCZ1" s="2"/>
      <c r="RDA1" s="2"/>
      <c r="RDB1" s="2"/>
      <c r="RDC1" s="2"/>
      <c r="RDD1" s="2"/>
      <c r="RDE1" s="2"/>
      <c r="RDF1" s="2"/>
      <c r="RDG1" s="2"/>
      <c r="RDH1" s="2"/>
      <c r="RDI1" s="2"/>
      <c r="RDJ1" s="2"/>
      <c r="RDK1" s="2"/>
      <c r="RDL1" s="2"/>
      <c r="RDM1" s="2"/>
      <c r="RDN1" s="2"/>
      <c r="RDO1" s="2"/>
      <c r="RDP1" s="2"/>
      <c r="RDQ1" s="2"/>
      <c r="RDR1" s="2"/>
      <c r="RDS1" s="2"/>
      <c r="RDT1" s="2"/>
      <c r="RDU1" s="2"/>
      <c r="RDV1" s="2"/>
      <c r="RDW1" s="2"/>
      <c r="RDX1" s="2"/>
      <c r="RDY1" s="2"/>
      <c r="RDZ1" s="2"/>
      <c r="REA1" s="2"/>
      <c r="REB1" s="2"/>
      <c r="REC1" s="2"/>
      <c r="RED1" s="2"/>
      <c r="REE1" s="2"/>
      <c r="REF1" s="2"/>
      <c r="REG1" s="2"/>
      <c r="REH1" s="2"/>
      <c r="REI1" s="2"/>
      <c r="REJ1" s="2"/>
      <c r="REK1" s="2"/>
      <c r="REL1" s="2"/>
      <c r="REM1" s="2"/>
      <c r="REN1" s="2"/>
      <c r="REO1" s="2"/>
      <c r="REP1" s="2"/>
      <c r="REQ1" s="2"/>
      <c r="RER1" s="2"/>
      <c r="RES1" s="2"/>
      <c r="RET1" s="2"/>
      <c r="REU1" s="2"/>
      <c r="REV1" s="2"/>
      <c r="REW1" s="2"/>
      <c r="REX1" s="2"/>
      <c r="REY1" s="2"/>
      <c r="REZ1" s="2"/>
      <c r="RFA1" s="2"/>
      <c r="RFB1" s="2"/>
      <c r="RFC1" s="2"/>
      <c r="RFD1" s="2"/>
      <c r="RFE1" s="2"/>
      <c r="RFF1" s="2"/>
      <c r="RFG1" s="2"/>
      <c r="RFH1" s="2"/>
      <c r="RFI1" s="2"/>
      <c r="RFJ1" s="2"/>
      <c r="RFK1" s="2"/>
      <c r="RFL1" s="2"/>
      <c r="RFM1" s="2"/>
      <c r="RFN1" s="2"/>
      <c r="RFO1" s="2"/>
      <c r="RFP1" s="2"/>
      <c r="RFQ1" s="2"/>
      <c r="RFR1" s="2"/>
      <c r="RFS1" s="2"/>
      <c r="RFT1" s="2"/>
      <c r="RFU1" s="2"/>
      <c r="RFV1" s="2"/>
      <c r="RFW1" s="2"/>
      <c r="RFX1" s="2"/>
      <c r="RFY1" s="2"/>
      <c r="RFZ1" s="2"/>
      <c r="RGA1" s="2"/>
      <c r="RGB1" s="2"/>
      <c r="RGC1" s="2"/>
      <c r="RGD1" s="2"/>
      <c r="RGE1" s="2"/>
      <c r="RGF1" s="2"/>
      <c r="RGG1" s="2"/>
      <c r="RGH1" s="2"/>
      <c r="RGI1" s="2"/>
      <c r="RGJ1" s="2"/>
      <c r="RGK1" s="2"/>
      <c r="RGL1" s="2"/>
      <c r="RGM1" s="2"/>
      <c r="RGN1" s="2"/>
      <c r="RGO1" s="2"/>
      <c r="RGP1" s="2"/>
      <c r="RGQ1" s="2"/>
      <c r="RGR1" s="2"/>
      <c r="RGS1" s="2"/>
      <c r="RGT1" s="2"/>
      <c r="RGU1" s="2"/>
      <c r="RGV1" s="2"/>
      <c r="RGW1" s="2"/>
      <c r="RGX1" s="2"/>
      <c r="RGY1" s="2"/>
      <c r="RGZ1" s="2"/>
      <c r="RHA1" s="2"/>
      <c r="RHB1" s="2"/>
      <c r="RHC1" s="2"/>
      <c r="RHD1" s="2"/>
      <c r="RHE1" s="2"/>
      <c r="RHF1" s="2"/>
      <c r="RHG1" s="2"/>
      <c r="RHH1" s="2"/>
      <c r="RHI1" s="2"/>
      <c r="RHJ1" s="2"/>
      <c r="RHK1" s="2"/>
      <c r="RHL1" s="2"/>
      <c r="RHM1" s="2"/>
      <c r="RHN1" s="2"/>
      <c r="RHO1" s="2"/>
      <c r="RHP1" s="2"/>
      <c r="RHQ1" s="2"/>
      <c r="RHR1" s="2"/>
      <c r="RHS1" s="2"/>
      <c r="RHT1" s="2"/>
      <c r="RHU1" s="2"/>
      <c r="RHV1" s="2"/>
      <c r="RHW1" s="2"/>
      <c r="RHX1" s="2"/>
      <c r="RHY1" s="2"/>
      <c r="RHZ1" s="2"/>
      <c r="RIA1" s="2"/>
      <c r="RIB1" s="2"/>
      <c r="RIC1" s="2"/>
      <c r="RID1" s="2"/>
      <c r="RIE1" s="2"/>
      <c r="RIF1" s="2"/>
      <c r="RIG1" s="2"/>
      <c r="RIH1" s="2"/>
      <c r="RII1" s="2"/>
      <c r="RIJ1" s="2"/>
      <c r="RIK1" s="2"/>
      <c r="RIL1" s="2"/>
      <c r="RIM1" s="2"/>
      <c r="RIN1" s="2"/>
      <c r="RIO1" s="2"/>
      <c r="RIP1" s="2"/>
      <c r="RIQ1" s="2"/>
      <c r="RIR1" s="2"/>
      <c r="RIS1" s="2"/>
      <c r="RIT1" s="2"/>
      <c r="RIU1" s="2"/>
      <c r="RIV1" s="2"/>
      <c r="RIW1" s="2"/>
      <c r="RIX1" s="2"/>
      <c r="RIY1" s="2"/>
      <c r="RIZ1" s="2"/>
      <c r="RJA1" s="2"/>
      <c r="RJB1" s="2"/>
      <c r="RJC1" s="2"/>
      <c r="RJD1" s="2"/>
      <c r="RJE1" s="2"/>
      <c r="RJF1" s="2"/>
      <c r="RJG1" s="2"/>
      <c r="RJH1" s="2"/>
      <c r="RJI1" s="2"/>
      <c r="RJJ1" s="2"/>
      <c r="RJK1" s="2"/>
      <c r="RJL1" s="2"/>
      <c r="RJM1" s="2"/>
      <c r="RJN1" s="2"/>
      <c r="RJO1" s="2"/>
      <c r="RJP1" s="2"/>
      <c r="RJQ1" s="2"/>
      <c r="RJR1" s="2"/>
      <c r="RJS1" s="2"/>
      <c r="RJT1" s="2"/>
      <c r="RJU1" s="2"/>
      <c r="RJV1" s="2"/>
      <c r="RJW1" s="2"/>
      <c r="RJX1" s="2"/>
      <c r="RJY1" s="2"/>
      <c r="RJZ1" s="2"/>
      <c r="RKA1" s="2"/>
      <c r="RKB1" s="2"/>
      <c r="RKC1" s="2"/>
      <c r="RKD1" s="2"/>
      <c r="RKE1" s="2"/>
      <c r="RKF1" s="2"/>
      <c r="RKG1" s="2"/>
      <c r="RKH1" s="2"/>
      <c r="RKI1" s="2"/>
      <c r="RKJ1" s="2"/>
      <c r="RKK1" s="2"/>
      <c r="RKL1" s="2"/>
      <c r="RKM1" s="2"/>
      <c r="RKN1" s="2"/>
      <c r="RKO1" s="2"/>
      <c r="RKP1" s="2"/>
      <c r="RKQ1" s="2"/>
      <c r="RKR1" s="2"/>
      <c r="RKS1" s="2"/>
      <c r="RKT1" s="2"/>
      <c r="RKU1" s="2"/>
      <c r="RKV1" s="2"/>
      <c r="RKW1" s="2"/>
      <c r="RKX1" s="2"/>
      <c r="RKY1" s="2"/>
      <c r="RKZ1" s="2"/>
      <c r="RLA1" s="2"/>
      <c r="RLB1" s="2"/>
      <c r="RLC1" s="2"/>
      <c r="RLD1" s="2"/>
      <c r="RLE1" s="2"/>
      <c r="RLF1" s="2"/>
      <c r="RLG1" s="2"/>
      <c r="RLH1" s="2"/>
      <c r="RLI1" s="2"/>
      <c r="RLJ1" s="2"/>
      <c r="RLK1" s="2"/>
      <c r="RLL1" s="2"/>
      <c r="RLM1" s="2"/>
      <c r="RLN1" s="2"/>
      <c r="RLO1" s="2"/>
      <c r="RLP1" s="2"/>
      <c r="RLQ1" s="2"/>
      <c r="RLR1" s="2"/>
      <c r="RLS1" s="2"/>
      <c r="RLT1" s="2"/>
      <c r="RLU1" s="2"/>
      <c r="RLV1" s="2"/>
      <c r="RLW1" s="2"/>
      <c r="RLX1" s="2"/>
      <c r="RLY1" s="2"/>
      <c r="RLZ1" s="2"/>
      <c r="RMA1" s="2"/>
      <c r="RMB1" s="2"/>
      <c r="RMC1" s="2"/>
      <c r="RMD1" s="2"/>
      <c r="RME1" s="2"/>
      <c r="RMF1" s="2"/>
      <c r="RMG1" s="2"/>
      <c r="RMH1" s="2"/>
      <c r="RMI1" s="2"/>
      <c r="RMJ1" s="2"/>
      <c r="RMK1" s="2"/>
      <c r="RML1" s="2"/>
      <c r="RMM1" s="2"/>
      <c r="RMN1" s="2"/>
      <c r="RMO1" s="2"/>
      <c r="RMP1" s="2"/>
      <c r="RMQ1" s="2"/>
      <c r="RMR1" s="2"/>
      <c r="RMS1" s="2"/>
      <c r="RMT1" s="2"/>
      <c r="RMU1" s="2"/>
      <c r="RMV1" s="2"/>
      <c r="RMW1" s="2"/>
      <c r="RMX1" s="2"/>
      <c r="RMY1" s="2"/>
      <c r="RMZ1" s="2"/>
      <c r="RNA1" s="2"/>
      <c r="RNB1" s="2"/>
      <c r="RNC1" s="2"/>
      <c r="RND1" s="2"/>
      <c r="RNE1" s="2"/>
      <c r="RNF1" s="2"/>
      <c r="RNG1" s="2"/>
      <c r="RNH1" s="2"/>
      <c r="RNI1" s="2"/>
      <c r="RNJ1" s="2"/>
      <c r="RNK1" s="2"/>
      <c r="RNL1" s="2"/>
      <c r="RNM1" s="2"/>
      <c r="RNN1" s="2"/>
      <c r="RNO1" s="2"/>
      <c r="RNP1" s="2"/>
      <c r="RNQ1" s="2"/>
      <c r="RNR1" s="2"/>
      <c r="RNS1" s="2"/>
      <c r="RNT1" s="2"/>
      <c r="RNU1" s="2"/>
      <c r="RNV1" s="2"/>
      <c r="RNW1" s="2"/>
      <c r="RNX1" s="2"/>
      <c r="RNY1" s="2"/>
      <c r="RNZ1" s="2"/>
      <c r="ROA1" s="2"/>
      <c r="ROB1" s="2"/>
      <c r="ROC1" s="2"/>
      <c r="ROD1" s="2"/>
      <c r="ROE1" s="2"/>
      <c r="ROF1" s="2"/>
      <c r="ROG1" s="2"/>
      <c r="ROH1" s="2"/>
      <c r="ROI1" s="2"/>
      <c r="ROJ1" s="2"/>
      <c r="ROK1" s="2"/>
      <c r="ROL1" s="2"/>
      <c r="ROM1" s="2"/>
      <c r="RON1" s="2"/>
      <c r="ROO1" s="2"/>
      <c r="ROP1" s="2"/>
      <c r="ROQ1" s="2"/>
      <c r="ROR1" s="2"/>
      <c r="ROS1" s="2"/>
      <c r="ROT1" s="2"/>
      <c r="ROU1" s="2"/>
      <c r="ROV1" s="2"/>
      <c r="ROW1" s="2"/>
      <c r="ROX1" s="2"/>
      <c r="ROY1" s="2"/>
      <c r="ROZ1" s="2"/>
      <c r="RPA1" s="2"/>
      <c r="RPB1" s="2"/>
      <c r="RPC1" s="2"/>
      <c r="RPD1" s="2"/>
      <c r="RPE1" s="2"/>
      <c r="RPF1" s="2"/>
      <c r="RPG1" s="2"/>
      <c r="RPH1" s="2"/>
      <c r="RPI1" s="2"/>
      <c r="RPJ1" s="2"/>
      <c r="RPK1" s="2"/>
      <c r="RPL1" s="2"/>
      <c r="RPM1" s="2"/>
      <c r="RPN1" s="2"/>
      <c r="RPO1" s="2"/>
      <c r="RPP1" s="2"/>
      <c r="RPQ1" s="2"/>
      <c r="RPR1" s="2"/>
      <c r="RPS1" s="2"/>
      <c r="RPT1" s="2"/>
      <c r="RPU1" s="2"/>
      <c r="RPV1" s="2"/>
      <c r="RPW1" s="2"/>
      <c r="RPX1" s="2"/>
      <c r="RPY1" s="2"/>
      <c r="RPZ1" s="2"/>
      <c r="RQA1" s="2"/>
      <c r="RQB1" s="2"/>
      <c r="RQC1" s="2"/>
      <c r="RQD1" s="2"/>
      <c r="RQE1" s="2"/>
      <c r="RQF1" s="2"/>
      <c r="RQG1" s="2"/>
      <c r="RQH1" s="2"/>
      <c r="RQI1" s="2"/>
      <c r="RQJ1" s="2"/>
      <c r="RQK1" s="2"/>
      <c r="RQL1" s="2"/>
      <c r="RQM1" s="2"/>
      <c r="RQN1" s="2"/>
      <c r="RQO1" s="2"/>
      <c r="RQP1" s="2"/>
      <c r="RQQ1" s="2"/>
      <c r="RQR1" s="2"/>
      <c r="RQS1" s="2"/>
      <c r="RQT1" s="2"/>
      <c r="RQU1" s="2"/>
      <c r="RQV1" s="2"/>
      <c r="RQW1" s="2"/>
      <c r="RQX1" s="2"/>
      <c r="RQY1" s="2"/>
      <c r="RQZ1" s="2"/>
      <c r="RRA1" s="2"/>
      <c r="RRB1" s="2"/>
      <c r="RRC1" s="2"/>
      <c r="RRD1" s="2"/>
      <c r="RRE1" s="2"/>
      <c r="RRF1" s="2"/>
      <c r="RRG1" s="2"/>
      <c r="RRH1" s="2"/>
      <c r="RRI1" s="2"/>
      <c r="RRJ1" s="2"/>
      <c r="RRK1" s="2"/>
      <c r="RRL1" s="2"/>
      <c r="RRM1" s="2"/>
      <c r="RRN1" s="2"/>
      <c r="RRO1" s="2"/>
      <c r="RRP1" s="2"/>
      <c r="RRQ1" s="2"/>
      <c r="RRR1" s="2"/>
      <c r="RRS1" s="2"/>
      <c r="RRT1" s="2"/>
      <c r="RRU1" s="2"/>
      <c r="RRV1" s="2"/>
      <c r="RRW1" s="2"/>
      <c r="RRX1" s="2"/>
      <c r="RRY1" s="2"/>
      <c r="RRZ1" s="2"/>
      <c r="RSA1" s="2"/>
      <c r="RSB1" s="2"/>
      <c r="RSC1" s="2"/>
      <c r="RSD1" s="2"/>
      <c r="RSE1" s="2"/>
      <c r="RSF1" s="2"/>
      <c r="RSG1" s="2"/>
      <c r="RSH1" s="2"/>
      <c r="RSI1" s="2"/>
      <c r="RSJ1" s="2"/>
      <c r="RSK1" s="2"/>
      <c r="RSL1" s="2"/>
      <c r="RSM1" s="2"/>
      <c r="RSN1" s="2"/>
      <c r="RSO1" s="2"/>
      <c r="RSP1" s="2"/>
      <c r="RSQ1" s="2"/>
      <c r="RSR1" s="2"/>
      <c r="RSS1" s="2"/>
      <c r="RST1" s="2"/>
      <c r="RSU1" s="2"/>
      <c r="RSV1" s="2"/>
      <c r="RSW1" s="2"/>
      <c r="RSX1" s="2"/>
      <c r="RSY1" s="2"/>
      <c r="RSZ1" s="2"/>
      <c r="RTA1" s="2"/>
      <c r="RTB1" s="2"/>
      <c r="RTC1" s="2"/>
      <c r="RTD1" s="2"/>
      <c r="RTE1" s="2"/>
      <c r="RTF1" s="2"/>
      <c r="RTG1" s="2"/>
      <c r="RTH1" s="2"/>
      <c r="RTI1" s="2"/>
      <c r="RTJ1" s="2"/>
      <c r="RTK1" s="2"/>
      <c r="RTL1" s="2"/>
      <c r="RTM1" s="2"/>
      <c r="RTN1" s="2"/>
      <c r="RTO1" s="2"/>
      <c r="RTP1" s="2"/>
      <c r="RTQ1" s="2"/>
      <c r="RTR1" s="2"/>
      <c r="RTS1" s="2"/>
      <c r="RTT1" s="2"/>
      <c r="RTU1" s="2"/>
      <c r="RTV1" s="2"/>
      <c r="RTW1" s="2"/>
      <c r="RTX1" s="2"/>
      <c r="RTY1" s="2"/>
      <c r="RTZ1" s="2"/>
      <c r="RUA1" s="2"/>
      <c r="RUB1" s="2"/>
      <c r="RUC1" s="2"/>
      <c r="RUD1" s="2"/>
      <c r="RUE1" s="2"/>
      <c r="RUF1" s="2"/>
      <c r="RUG1" s="2"/>
      <c r="RUH1" s="2"/>
      <c r="RUI1" s="2"/>
      <c r="RUJ1" s="2"/>
      <c r="RUK1" s="2"/>
      <c r="RUL1" s="2"/>
      <c r="RUM1" s="2"/>
      <c r="RUN1" s="2"/>
      <c r="RUO1" s="2"/>
      <c r="RUP1" s="2"/>
      <c r="RUQ1" s="2"/>
      <c r="RUR1" s="2"/>
      <c r="RUS1" s="2"/>
      <c r="RUT1" s="2"/>
      <c r="RUU1" s="2"/>
      <c r="RUV1" s="2"/>
      <c r="RUW1" s="2"/>
      <c r="RUX1" s="2"/>
      <c r="RUY1" s="2"/>
      <c r="RUZ1" s="2"/>
      <c r="RVA1" s="2"/>
      <c r="RVB1" s="2"/>
      <c r="RVC1" s="2"/>
      <c r="RVD1" s="2"/>
      <c r="RVE1" s="2"/>
      <c r="RVF1" s="2"/>
      <c r="RVG1" s="2"/>
      <c r="RVH1" s="2"/>
      <c r="RVI1" s="2"/>
      <c r="RVJ1" s="2"/>
      <c r="RVK1" s="2"/>
      <c r="RVL1" s="2"/>
      <c r="RVM1" s="2"/>
      <c r="RVN1" s="2"/>
      <c r="RVO1" s="2"/>
      <c r="RVP1" s="2"/>
      <c r="RVQ1" s="2"/>
      <c r="RVR1" s="2"/>
      <c r="RVS1" s="2"/>
      <c r="RVT1" s="2"/>
      <c r="RVU1" s="2"/>
      <c r="RVV1" s="2"/>
      <c r="RVW1" s="2"/>
      <c r="RVX1" s="2"/>
      <c r="RVY1" s="2"/>
      <c r="RVZ1" s="2"/>
      <c r="RWA1" s="2"/>
      <c r="RWB1" s="2"/>
      <c r="RWC1" s="2"/>
      <c r="RWD1" s="2"/>
      <c r="RWE1" s="2"/>
      <c r="RWF1" s="2"/>
      <c r="RWG1" s="2"/>
      <c r="RWH1" s="2"/>
      <c r="RWI1" s="2"/>
      <c r="RWJ1" s="2"/>
      <c r="RWK1" s="2"/>
      <c r="RWL1" s="2"/>
      <c r="RWM1" s="2"/>
      <c r="RWN1" s="2"/>
      <c r="RWO1" s="2"/>
      <c r="RWP1" s="2"/>
      <c r="RWQ1" s="2"/>
      <c r="RWR1" s="2"/>
      <c r="RWS1" s="2"/>
      <c r="RWT1" s="2"/>
      <c r="RWU1" s="2"/>
      <c r="RWV1" s="2"/>
      <c r="RWW1" s="2"/>
      <c r="RWX1" s="2"/>
      <c r="RWY1" s="2"/>
      <c r="RWZ1" s="2"/>
      <c r="RXA1" s="2"/>
      <c r="RXB1" s="2"/>
      <c r="RXC1" s="2"/>
      <c r="RXD1" s="2"/>
      <c r="RXE1" s="2"/>
      <c r="RXF1" s="2"/>
      <c r="RXG1" s="2"/>
      <c r="RXH1" s="2"/>
      <c r="RXI1" s="2"/>
      <c r="RXJ1" s="2"/>
      <c r="RXK1" s="2"/>
      <c r="RXL1" s="2"/>
      <c r="RXM1" s="2"/>
      <c r="RXN1" s="2"/>
      <c r="RXO1" s="2"/>
      <c r="RXP1" s="2"/>
      <c r="RXQ1" s="2"/>
      <c r="RXR1" s="2"/>
      <c r="RXS1" s="2"/>
      <c r="RXT1" s="2"/>
      <c r="RXU1" s="2"/>
      <c r="RXV1" s="2"/>
      <c r="RXW1" s="2"/>
      <c r="RXX1" s="2"/>
      <c r="RXY1" s="2"/>
      <c r="RXZ1" s="2"/>
      <c r="RYA1" s="2"/>
      <c r="RYB1" s="2"/>
      <c r="RYC1" s="2"/>
      <c r="RYD1" s="2"/>
      <c r="RYE1" s="2"/>
      <c r="RYF1" s="2"/>
      <c r="RYG1" s="2"/>
      <c r="RYH1" s="2"/>
      <c r="RYI1" s="2"/>
      <c r="RYJ1" s="2"/>
      <c r="RYK1" s="2"/>
      <c r="RYL1" s="2"/>
      <c r="RYM1" s="2"/>
      <c r="RYN1" s="2"/>
      <c r="RYO1" s="2"/>
      <c r="RYP1" s="2"/>
      <c r="RYQ1" s="2"/>
      <c r="RYR1" s="2"/>
      <c r="RYS1" s="2"/>
      <c r="RYT1" s="2"/>
      <c r="RYU1" s="2"/>
      <c r="RYV1" s="2"/>
      <c r="RYW1" s="2"/>
      <c r="RYX1" s="2"/>
      <c r="RYY1" s="2"/>
      <c r="RYZ1" s="2"/>
      <c r="RZA1" s="2"/>
      <c r="RZB1" s="2"/>
      <c r="RZC1" s="2"/>
      <c r="RZD1" s="2"/>
      <c r="RZE1" s="2"/>
      <c r="RZF1" s="2"/>
      <c r="RZG1" s="2"/>
      <c r="RZH1" s="2"/>
      <c r="RZI1" s="2"/>
      <c r="RZJ1" s="2"/>
      <c r="RZK1" s="2"/>
      <c r="RZL1" s="2"/>
      <c r="RZM1" s="2"/>
      <c r="RZN1" s="2"/>
      <c r="RZO1" s="2"/>
      <c r="RZP1" s="2"/>
      <c r="RZQ1" s="2"/>
      <c r="RZR1" s="2"/>
      <c r="RZS1" s="2"/>
      <c r="RZT1" s="2"/>
      <c r="RZU1" s="2"/>
      <c r="RZV1" s="2"/>
      <c r="RZW1" s="2"/>
      <c r="RZX1" s="2"/>
      <c r="RZY1" s="2"/>
      <c r="RZZ1" s="2"/>
      <c r="SAA1" s="2"/>
      <c r="SAB1" s="2"/>
      <c r="SAC1" s="2"/>
      <c r="SAD1" s="2"/>
      <c r="SAE1" s="2"/>
      <c r="SAF1" s="2"/>
      <c r="SAG1" s="2"/>
      <c r="SAH1" s="2"/>
      <c r="SAI1" s="2"/>
      <c r="SAJ1" s="2"/>
      <c r="SAK1" s="2"/>
      <c r="SAL1" s="2"/>
      <c r="SAM1" s="2"/>
      <c r="SAN1" s="2"/>
      <c r="SAO1" s="2"/>
      <c r="SAP1" s="2"/>
      <c r="SAQ1" s="2"/>
      <c r="SAR1" s="2"/>
      <c r="SAS1" s="2"/>
      <c r="SAT1" s="2"/>
      <c r="SAU1" s="2"/>
      <c r="SAV1" s="2"/>
      <c r="SAW1" s="2"/>
      <c r="SAX1" s="2"/>
      <c r="SAY1" s="2"/>
      <c r="SAZ1" s="2"/>
      <c r="SBA1" s="2"/>
      <c r="SBB1" s="2"/>
      <c r="SBC1" s="2"/>
      <c r="SBD1" s="2"/>
      <c r="SBE1" s="2"/>
      <c r="SBF1" s="2"/>
      <c r="SBG1" s="2"/>
      <c r="SBH1" s="2"/>
      <c r="SBI1" s="2"/>
      <c r="SBJ1" s="2"/>
      <c r="SBK1" s="2"/>
      <c r="SBL1" s="2"/>
      <c r="SBM1" s="2"/>
      <c r="SBN1" s="2"/>
      <c r="SBO1" s="2"/>
      <c r="SBP1" s="2"/>
      <c r="SBQ1" s="2"/>
      <c r="SBR1" s="2"/>
      <c r="SBS1" s="2"/>
      <c r="SBT1" s="2"/>
      <c r="SBU1" s="2"/>
      <c r="SBV1" s="2"/>
      <c r="SBW1" s="2"/>
      <c r="SBX1" s="2"/>
      <c r="SBY1" s="2"/>
      <c r="SBZ1" s="2"/>
      <c r="SCA1" s="2"/>
      <c r="SCB1" s="2"/>
      <c r="SCC1" s="2"/>
      <c r="SCD1" s="2"/>
      <c r="SCE1" s="2"/>
      <c r="SCF1" s="2"/>
      <c r="SCG1" s="2"/>
      <c r="SCH1" s="2"/>
      <c r="SCI1" s="2"/>
      <c r="SCJ1" s="2"/>
      <c r="SCK1" s="2"/>
      <c r="SCL1" s="2"/>
      <c r="SCM1" s="2"/>
      <c r="SCN1" s="2"/>
      <c r="SCO1" s="2"/>
      <c r="SCP1" s="2"/>
      <c r="SCQ1" s="2"/>
      <c r="SCR1" s="2"/>
      <c r="SCS1" s="2"/>
      <c r="SCT1" s="2"/>
      <c r="SCU1" s="2"/>
      <c r="SCV1" s="2"/>
      <c r="SCW1" s="2"/>
      <c r="SCX1" s="2"/>
      <c r="SCY1" s="2"/>
      <c r="SCZ1" s="2"/>
      <c r="SDA1" s="2"/>
      <c r="SDB1" s="2"/>
      <c r="SDC1" s="2"/>
      <c r="SDD1" s="2"/>
      <c r="SDE1" s="2"/>
      <c r="SDF1" s="2"/>
      <c r="SDG1" s="2"/>
      <c r="SDH1" s="2"/>
      <c r="SDI1" s="2"/>
      <c r="SDJ1" s="2"/>
      <c r="SDK1" s="2"/>
      <c r="SDL1" s="2"/>
      <c r="SDM1" s="2"/>
      <c r="SDN1" s="2"/>
      <c r="SDO1" s="2"/>
      <c r="SDP1" s="2"/>
      <c r="SDQ1" s="2"/>
      <c r="SDR1" s="2"/>
      <c r="SDS1" s="2"/>
      <c r="SDT1" s="2"/>
      <c r="SDU1" s="2"/>
      <c r="SDV1" s="2"/>
      <c r="SDW1" s="2"/>
      <c r="SDX1" s="2"/>
      <c r="SDY1" s="2"/>
      <c r="SDZ1" s="2"/>
      <c r="SEA1" s="2"/>
      <c r="SEB1" s="2"/>
      <c r="SEC1" s="2"/>
      <c r="SED1" s="2"/>
      <c r="SEE1" s="2"/>
      <c r="SEF1" s="2"/>
      <c r="SEG1" s="2"/>
      <c r="SEH1" s="2"/>
      <c r="SEI1" s="2"/>
      <c r="SEJ1" s="2"/>
      <c r="SEK1" s="2"/>
      <c r="SEL1" s="2"/>
      <c r="SEM1" s="2"/>
      <c r="SEN1" s="2"/>
      <c r="SEO1" s="2"/>
      <c r="SEP1" s="2"/>
      <c r="SEQ1" s="2"/>
      <c r="SER1" s="2"/>
      <c r="SES1" s="2"/>
      <c r="SET1" s="2"/>
      <c r="SEU1" s="2"/>
      <c r="SEV1" s="2"/>
      <c r="SEW1" s="2"/>
      <c r="SEX1" s="2"/>
      <c r="SEY1" s="2"/>
      <c r="SEZ1" s="2"/>
      <c r="SFA1" s="2"/>
      <c r="SFB1" s="2"/>
      <c r="SFC1" s="2"/>
      <c r="SFD1" s="2"/>
      <c r="SFE1" s="2"/>
      <c r="SFF1" s="2"/>
      <c r="SFG1" s="2"/>
      <c r="SFH1" s="2"/>
      <c r="SFI1" s="2"/>
      <c r="SFJ1" s="2"/>
      <c r="SFK1" s="2"/>
      <c r="SFL1" s="2"/>
      <c r="SFM1" s="2"/>
      <c r="SFN1" s="2"/>
      <c r="SFO1" s="2"/>
      <c r="SFP1" s="2"/>
      <c r="SFQ1" s="2"/>
      <c r="SFR1" s="2"/>
      <c r="SFS1" s="2"/>
      <c r="SFT1" s="2"/>
      <c r="SFU1" s="2"/>
      <c r="SFV1" s="2"/>
      <c r="SFW1" s="2"/>
      <c r="SFX1" s="2"/>
      <c r="SFY1" s="2"/>
      <c r="SFZ1" s="2"/>
      <c r="SGA1" s="2"/>
      <c r="SGB1" s="2"/>
      <c r="SGC1" s="2"/>
      <c r="SGD1" s="2"/>
      <c r="SGE1" s="2"/>
      <c r="SGF1" s="2"/>
      <c r="SGG1" s="2"/>
      <c r="SGH1" s="2"/>
      <c r="SGI1" s="2"/>
      <c r="SGJ1" s="2"/>
      <c r="SGK1" s="2"/>
      <c r="SGL1" s="2"/>
      <c r="SGM1" s="2"/>
      <c r="SGN1" s="2"/>
      <c r="SGO1" s="2"/>
      <c r="SGP1" s="2"/>
      <c r="SGQ1" s="2"/>
      <c r="SGR1" s="2"/>
      <c r="SGS1" s="2"/>
      <c r="SGT1" s="2"/>
      <c r="SGU1" s="2"/>
      <c r="SGV1" s="2"/>
      <c r="SGW1" s="2"/>
      <c r="SGX1" s="2"/>
      <c r="SGY1" s="2"/>
      <c r="SGZ1" s="2"/>
      <c r="SHA1" s="2"/>
      <c r="SHB1" s="2"/>
      <c r="SHC1" s="2"/>
      <c r="SHD1" s="2"/>
      <c r="SHE1" s="2"/>
      <c r="SHF1" s="2"/>
      <c r="SHG1" s="2"/>
      <c r="SHH1" s="2"/>
      <c r="SHI1" s="2"/>
      <c r="SHJ1" s="2"/>
      <c r="SHK1" s="2"/>
      <c r="SHL1" s="2"/>
      <c r="SHM1" s="2"/>
      <c r="SHN1" s="2"/>
      <c r="SHO1" s="2"/>
      <c r="SHP1" s="2"/>
      <c r="SHQ1" s="2"/>
      <c r="SHR1" s="2"/>
      <c r="SHS1" s="2"/>
      <c r="SHT1" s="2"/>
      <c r="SHU1" s="2"/>
      <c r="SHV1" s="2"/>
      <c r="SHW1" s="2"/>
      <c r="SHX1" s="2"/>
      <c r="SHY1" s="2"/>
      <c r="SHZ1" s="2"/>
      <c r="SIA1" s="2"/>
      <c r="SIB1" s="2"/>
      <c r="SIC1" s="2"/>
      <c r="SID1" s="2"/>
      <c r="SIE1" s="2"/>
      <c r="SIF1" s="2"/>
      <c r="SIG1" s="2"/>
      <c r="SIH1" s="2"/>
      <c r="SII1" s="2"/>
      <c r="SIJ1" s="2"/>
      <c r="SIK1" s="2"/>
      <c r="SIL1" s="2"/>
      <c r="SIM1" s="2"/>
      <c r="SIN1" s="2"/>
      <c r="SIO1" s="2"/>
      <c r="SIP1" s="2"/>
      <c r="SIQ1" s="2"/>
      <c r="SIR1" s="2"/>
      <c r="SIS1" s="2"/>
      <c r="SIT1" s="2"/>
      <c r="SIU1" s="2"/>
      <c r="SIV1" s="2"/>
      <c r="SIW1" s="2"/>
      <c r="SIX1" s="2"/>
      <c r="SIY1" s="2"/>
      <c r="SIZ1" s="2"/>
      <c r="SJA1" s="2"/>
      <c r="SJB1" s="2"/>
      <c r="SJC1" s="2"/>
      <c r="SJD1" s="2"/>
      <c r="SJE1" s="2"/>
      <c r="SJF1" s="2"/>
      <c r="SJG1" s="2"/>
      <c r="SJH1" s="2"/>
      <c r="SJI1" s="2"/>
      <c r="SJJ1" s="2"/>
      <c r="SJK1" s="2"/>
      <c r="SJL1" s="2"/>
      <c r="SJM1" s="2"/>
      <c r="SJN1" s="2"/>
      <c r="SJO1" s="2"/>
      <c r="SJP1" s="2"/>
      <c r="SJQ1" s="2"/>
      <c r="SJR1" s="2"/>
      <c r="SJS1" s="2"/>
      <c r="SJT1" s="2"/>
      <c r="SJU1" s="2"/>
      <c r="SJV1" s="2"/>
      <c r="SJW1" s="2"/>
      <c r="SJX1" s="2"/>
      <c r="SJY1" s="2"/>
      <c r="SJZ1" s="2"/>
      <c r="SKA1" s="2"/>
      <c r="SKB1" s="2"/>
      <c r="SKC1" s="2"/>
      <c r="SKD1" s="2"/>
      <c r="SKE1" s="2"/>
      <c r="SKF1" s="2"/>
      <c r="SKG1" s="2"/>
      <c r="SKH1" s="2"/>
      <c r="SKI1" s="2"/>
      <c r="SKJ1" s="2"/>
      <c r="SKK1" s="2"/>
      <c r="SKL1" s="2"/>
      <c r="SKM1" s="2"/>
      <c r="SKN1" s="2"/>
      <c r="SKO1" s="2"/>
      <c r="SKP1" s="2"/>
      <c r="SKQ1" s="2"/>
      <c r="SKR1" s="2"/>
      <c r="SKS1" s="2"/>
      <c r="SKT1" s="2"/>
      <c r="SKU1" s="2"/>
      <c r="SKV1" s="2"/>
      <c r="SKW1" s="2"/>
      <c r="SKX1" s="2"/>
      <c r="SKY1" s="2"/>
      <c r="SKZ1" s="2"/>
      <c r="SLA1" s="2"/>
      <c r="SLB1" s="2"/>
      <c r="SLC1" s="2"/>
      <c r="SLD1" s="2"/>
      <c r="SLE1" s="2"/>
      <c r="SLF1" s="2"/>
      <c r="SLG1" s="2"/>
      <c r="SLH1" s="2"/>
      <c r="SLI1" s="2"/>
      <c r="SLJ1" s="2"/>
      <c r="SLK1" s="2"/>
      <c r="SLL1" s="2"/>
      <c r="SLM1" s="2"/>
      <c r="SLN1" s="2"/>
      <c r="SLO1" s="2"/>
      <c r="SLP1" s="2"/>
      <c r="SLQ1" s="2"/>
      <c r="SLR1" s="2"/>
      <c r="SLS1" s="2"/>
      <c r="SLT1" s="2"/>
      <c r="SLU1" s="2"/>
      <c r="SLV1" s="2"/>
      <c r="SLW1" s="2"/>
      <c r="SLX1" s="2"/>
      <c r="SLY1" s="2"/>
      <c r="SLZ1" s="2"/>
      <c r="SMA1" s="2"/>
      <c r="SMB1" s="2"/>
      <c r="SMC1" s="2"/>
      <c r="SMD1" s="2"/>
      <c r="SME1" s="2"/>
      <c r="SMF1" s="2"/>
      <c r="SMG1" s="2"/>
      <c r="SMH1" s="2"/>
      <c r="SMI1" s="2"/>
      <c r="SMJ1" s="2"/>
      <c r="SMK1" s="2"/>
      <c r="SML1" s="2"/>
      <c r="SMM1" s="2"/>
      <c r="SMN1" s="2"/>
      <c r="SMO1" s="2"/>
      <c r="SMP1" s="2"/>
      <c r="SMQ1" s="2"/>
      <c r="SMR1" s="2"/>
      <c r="SMS1" s="2"/>
      <c r="SMT1" s="2"/>
      <c r="SMU1" s="2"/>
      <c r="SMV1" s="2"/>
      <c r="SMW1" s="2"/>
      <c r="SMX1" s="2"/>
      <c r="SMY1" s="2"/>
      <c r="SMZ1" s="2"/>
      <c r="SNA1" s="2"/>
      <c r="SNB1" s="2"/>
      <c r="SNC1" s="2"/>
      <c r="SND1" s="2"/>
      <c r="SNE1" s="2"/>
      <c r="SNF1" s="2"/>
      <c r="SNG1" s="2"/>
      <c r="SNH1" s="2"/>
      <c r="SNI1" s="2"/>
      <c r="SNJ1" s="2"/>
      <c r="SNK1" s="2"/>
      <c r="SNL1" s="2"/>
      <c r="SNM1" s="2"/>
      <c r="SNN1" s="2"/>
      <c r="SNO1" s="2"/>
      <c r="SNP1" s="2"/>
      <c r="SNQ1" s="2"/>
      <c r="SNR1" s="2"/>
      <c r="SNS1" s="2"/>
      <c r="SNT1" s="2"/>
      <c r="SNU1" s="2"/>
      <c r="SNV1" s="2"/>
      <c r="SNW1" s="2"/>
      <c r="SNX1" s="2"/>
      <c r="SNY1" s="2"/>
      <c r="SNZ1" s="2"/>
      <c r="SOA1" s="2"/>
      <c r="SOB1" s="2"/>
      <c r="SOC1" s="2"/>
      <c r="SOD1" s="2"/>
      <c r="SOE1" s="2"/>
      <c r="SOF1" s="2"/>
      <c r="SOG1" s="2"/>
      <c r="SOH1" s="2"/>
      <c r="SOI1" s="2"/>
      <c r="SOJ1" s="2"/>
      <c r="SOK1" s="2"/>
      <c r="SOL1" s="2"/>
      <c r="SOM1" s="2"/>
      <c r="SON1" s="2"/>
      <c r="SOO1" s="2"/>
      <c r="SOP1" s="2"/>
      <c r="SOQ1" s="2"/>
      <c r="SOR1" s="2"/>
      <c r="SOS1" s="2"/>
      <c r="SOT1" s="2"/>
      <c r="SOU1" s="2"/>
      <c r="SOV1" s="2"/>
      <c r="SOW1" s="2"/>
      <c r="SOX1" s="2"/>
      <c r="SOY1" s="2"/>
      <c r="SOZ1" s="2"/>
      <c r="SPA1" s="2"/>
      <c r="SPB1" s="2"/>
      <c r="SPC1" s="2"/>
      <c r="SPD1" s="2"/>
      <c r="SPE1" s="2"/>
      <c r="SPF1" s="2"/>
      <c r="SPG1" s="2"/>
      <c r="SPH1" s="2"/>
      <c r="SPI1" s="2"/>
      <c r="SPJ1" s="2"/>
      <c r="SPK1" s="2"/>
      <c r="SPL1" s="2"/>
      <c r="SPM1" s="2"/>
      <c r="SPN1" s="2"/>
      <c r="SPO1" s="2"/>
      <c r="SPP1" s="2"/>
      <c r="SPQ1" s="2"/>
      <c r="SPR1" s="2"/>
      <c r="SPS1" s="2"/>
      <c r="SPT1" s="2"/>
      <c r="SPU1" s="2"/>
      <c r="SPV1" s="2"/>
      <c r="SPW1" s="2"/>
      <c r="SPX1" s="2"/>
      <c r="SPY1" s="2"/>
      <c r="SPZ1" s="2"/>
      <c r="SQA1" s="2"/>
      <c r="SQB1" s="2"/>
      <c r="SQC1" s="2"/>
      <c r="SQD1" s="2"/>
      <c r="SQE1" s="2"/>
      <c r="SQF1" s="2"/>
      <c r="SQG1" s="2"/>
      <c r="SQH1" s="2"/>
      <c r="SQI1" s="2"/>
      <c r="SQJ1" s="2"/>
      <c r="SQK1" s="2"/>
      <c r="SQL1" s="2"/>
      <c r="SQM1" s="2"/>
      <c r="SQN1" s="2"/>
      <c r="SQO1" s="2"/>
      <c r="SQP1" s="2"/>
      <c r="SQQ1" s="2"/>
      <c r="SQR1" s="2"/>
      <c r="SQS1" s="2"/>
      <c r="SQT1" s="2"/>
      <c r="SQU1" s="2"/>
      <c r="SQV1" s="2"/>
      <c r="SQW1" s="2"/>
      <c r="SQX1" s="2"/>
      <c r="SQY1" s="2"/>
      <c r="SQZ1" s="2"/>
      <c r="SRA1" s="2"/>
      <c r="SRB1" s="2"/>
      <c r="SRC1" s="2"/>
      <c r="SRD1" s="2"/>
      <c r="SRE1" s="2"/>
      <c r="SRF1" s="2"/>
      <c r="SRG1" s="2"/>
      <c r="SRH1" s="2"/>
      <c r="SRI1" s="2"/>
      <c r="SRJ1" s="2"/>
      <c r="SRK1" s="2"/>
      <c r="SRL1" s="2"/>
      <c r="SRM1" s="2"/>
      <c r="SRN1" s="2"/>
      <c r="SRO1" s="2"/>
      <c r="SRP1" s="2"/>
      <c r="SRQ1" s="2"/>
      <c r="SRR1" s="2"/>
      <c r="SRS1" s="2"/>
      <c r="SRT1" s="2"/>
      <c r="SRU1" s="2"/>
      <c r="SRV1" s="2"/>
      <c r="SRW1" s="2"/>
      <c r="SRX1" s="2"/>
      <c r="SRY1" s="2"/>
      <c r="SRZ1" s="2"/>
      <c r="SSA1" s="2"/>
      <c r="SSB1" s="2"/>
      <c r="SSC1" s="2"/>
      <c r="SSD1" s="2"/>
      <c r="SSE1" s="2"/>
      <c r="SSF1" s="2"/>
      <c r="SSG1" s="2"/>
      <c r="SSH1" s="2"/>
      <c r="SSI1" s="2"/>
      <c r="SSJ1" s="2"/>
      <c r="SSK1" s="2"/>
      <c r="SSL1" s="2"/>
      <c r="SSM1" s="2"/>
      <c r="SSN1" s="2"/>
      <c r="SSO1" s="2"/>
      <c r="SSP1" s="2"/>
      <c r="SSQ1" s="2"/>
      <c r="SSR1" s="2"/>
      <c r="SSS1" s="2"/>
      <c r="SST1" s="2"/>
      <c r="SSU1" s="2"/>
      <c r="SSV1" s="2"/>
      <c r="SSW1" s="2"/>
      <c r="SSX1" s="2"/>
      <c r="SSY1" s="2"/>
      <c r="SSZ1" s="2"/>
      <c r="STA1" s="2"/>
      <c r="STB1" s="2"/>
      <c r="STC1" s="2"/>
      <c r="STD1" s="2"/>
      <c r="STE1" s="2"/>
      <c r="STF1" s="2"/>
      <c r="STG1" s="2"/>
      <c r="STH1" s="2"/>
      <c r="STI1" s="2"/>
      <c r="STJ1" s="2"/>
      <c r="STK1" s="2"/>
      <c r="STL1" s="2"/>
      <c r="STM1" s="2"/>
      <c r="STN1" s="2"/>
      <c r="STO1" s="2"/>
      <c r="STP1" s="2"/>
      <c r="STQ1" s="2"/>
      <c r="STR1" s="2"/>
      <c r="STS1" s="2"/>
      <c r="STT1" s="2"/>
      <c r="STU1" s="2"/>
      <c r="STV1" s="2"/>
      <c r="STW1" s="2"/>
      <c r="STX1" s="2"/>
      <c r="STY1" s="2"/>
      <c r="STZ1" s="2"/>
      <c r="SUA1" s="2"/>
      <c r="SUB1" s="2"/>
      <c r="SUC1" s="2"/>
      <c r="SUD1" s="2"/>
      <c r="SUE1" s="2"/>
      <c r="SUF1" s="2"/>
      <c r="SUG1" s="2"/>
      <c r="SUH1" s="2"/>
      <c r="SUI1" s="2"/>
      <c r="SUJ1" s="2"/>
      <c r="SUK1" s="2"/>
      <c r="SUL1" s="2"/>
      <c r="SUM1" s="2"/>
      <c r="SUN1" s="2"/>
      <c r="SUO1" s="2"/>
      <c r="SUP1" s="2"/>
      <c r="SUQ1" s="2"/>
      <c r="SUR1" s="2"/>
      <c r="SUS1" s="2"/>
      <c r="SUT1" s="2"/>
      <c r="SUU1" s="2"/>
      <c r="SUV1" s="2"/>
      <c r="SUW1" s="2"/>
      <c r="SUX1" s="2"/>
      <c r="SUY1" s="2"/>
      <c r="SUZ1" s="2"/>
      <c r="SVA1" s="2"/>
      <c r="SVB1" s="2"/>
      <c r="SVC1" s="2"/>
      <c r="SVD1" s="2"/>
      <c r="SVE1" s="2"/>
      <c r="SVF1" s="2"/>
      <c r="SVG1" s="2"/>
      <c r="SVH1" s="2"/>
      <c r="SVI1" s="2"/>
      <c r="SVJ1" s="2"/>
      <c r="SVK1" s="2"/>
      <c r="SVL1" s="2"/>
      <c r="SVM1" s="2"/>
      <c r="SVN1" s="2"/>
      <c r="SVO1" s="2"/>
      <c r="SVP1" s="2"/>
      <c r="SVQ1" s="2"/>
      <c r="SVR1" s="2"/>
      <c r="SVS1" s="2"/>
      <c r="SVT1" s="2"/>
      <c r="SVU1" s="2"/>
      <c r="SVV1" s="2"/>
      <c r="SVW1" s="2"/>
      <c r="SVX1" s="2"/>
      <c r="SVY1" s="2"/>
      <c r="SVZ1" s="2"/>
      <c r="SWA1" s="2"/>
      <c r="SWB1" s="2"/>
      <c r="SWC1" s="2"/>
      <c r="SWD1" s="2"/>
      <c r="SWE1" s="2"/>
      <c r="SWF1" s="2"/>
      <c r="SWG1" s="2"/>
      <c r="SWH1" s="2"/>
      <c r="SWI1" s="2"/>
      <c r="SWJ1" s="2"/>
      <c r="SWK1" s="2"/>
      <c r="SWL1" s="2"/>
      <c r="SWM1" s="2"/>
      <c r="SWN1" s="2"/>
      <c r="SWO1" s="2"/>
      <c r="SWP1" s="2"/>
      <c r="SWQ1" s="2"/>
      <c r="SWR1" s="2"/>
      <c r="SWS1" s="2"/>
      <c r="SWT1" s="2"/>
      <c r="SWU1" s="2"/>
      <c r="SWV1" s="2"/>
      <c r="SWW1" s="2"/>
      <c r="SWX1" s="2"/>
      <c r="SWY1" s="2"/>
      <c r="SWZ1" s="2"/>
      <c r="SXA1" s="2"/>
      <c r="SXB1" s="2"/>
      <c r="SXC1" s="2"/>
      <c r="SXD1" s="2"/>
      <c r="SXE1" s="2"/>
      <c r="SXF1" s="2"/>
      <c r="SXG1" s="2"/>
      <c r="SXH1" s="2"/>
      <c r="SXI1" s="2"/>
      <c r="SXJ1" s="2"/>
      <c r="SXK1" s="2"/>
      <c r="SXL1" s="2"/>
      <c r="SXM1" s="2"/>
      <c r="SXN1" s="2"/>
      <c r="SXO1" s="2"/>
      <c r="SXP1" s="2"/>
      <c r="SXQ1" s="2"/>
      <c r="SXR1" s="2"/>
      <c r="SXS1" s="2"/>
      <c r="SXT1" s="2"/>
      <c r="SXU1" s="2"/>
      <c r="SXV1" s="2"/>
      <c r="SXW1" s="2"/>
      <c r="SXX1" s="2"/>
      <c r="SXY1" s="2"/>
      <c r="SXZ1" s="2"/>
      <c r="SYA1" s="2"/>
      <c r="SYB1" s="2"/>
      <c r="SYC1" s="2"/>
      <c r="SYD1" s="2"/>
      <c r="SYE1" s="2"/>
      <c r="SYF1" s="2"/>
      <c r="SYG1" s="2"/>
      <c r="SYH1" s="2"/>
      <c r="SYI1" s="2"/>
      <c r="SYJ1" s="2"/>
      <c r="SYK1" s="2"/>
      <c r="SYL1" s="2"/>
      <c r="SYM1" s="2"/>
      <c r="SYN1" s="2"/>
      <c r="SYO1" s="2"/>
      <c r="SYP1" s="2"/>
      <c r="SYQ1" s="2"/>
      <c r="SYR1" s="2"/>
      <c r="SYS1" s="2"/>
      <c r="SYT1" s="2"/>
      <c r="SYU1" s="2"/>
      <c r="SYV1" s="2"/>
      <c r="SYW1" s="2"/>
      <c r="SYX1" s="2"/>
      <c r="SYY1" s="2"/>
      <c r="SYZ1" s="2"/>
      <c r="SZA1" s="2"/>
      <c r="SZB1" s="2"/>
      <c r="SZC1" s="2"/>
      <c r="SZD1" s="2"/>
      <c r="SZE1" s="2"/>
      <c r="SZF1" s="2"/>
      <c r="SZG1" s="2"/>
      <c r="SZH1" s="2"/>
      <c r="SZI1" s="2"/>
      <c r="SZJ1" s="2"/>
      <c r="SZK1" s="2"/>
      <c r="SZL1" s="2"/>
      <c r="SZM1" s="2"/>
      <c r="SZN1" s="2"/>
      <c r="SZO1" s="2"/>
      <c r="SZP1" s="2"/>
      <c r="SZQ1" s="2"/>
      <c r="SZR1" s="2"/>
      <c r="SZS1" s="2"/>
      <c r="SZT1" s="2"/>
      <c r="SZU1" s="2"/>
      <c r="SZV1" s="2"/>
      <c r="SZW1" s="2"/>
      <c r="SZX1" s="2"/>
      <c r="SZY1" s="2"/>
      <c r="SZZ1" s="2"/>
      <c r="TAA1" s="2"/>
      <c r="TAB1" s="2"/>
      <c r="TAC1" s="2"/>
      <c r="TAD1" s="2"/>
      <c r="TAE1" s="2"/>
      <c r="TAF1" s="2"/>
      <c r="TAG1" s="2"/>
      <c r="TAH1" s="2"/>
      <c r="TAI1" s="2"/>
      <c r="TAJ1" s="2"/>
      <c r="TAK1" s="2"/>
      <c r="TAL1" s="2"/>
      <c r="TAM1" s="2"/>
      <c r="TAN1" s="2"/>
      <c r="TAO1" s="2"/>
      <c r="TAP1" s="2"/>
      <c r="TAQ1" s="2"/>
      <c r="TAR1" s="2"/>
      <c r="TAS1" s="2"/>
      <c r="TAT1" s="2"/>
      <c r="TAU1" s="2"/>
      <c r="TAV1" s="2"/>
      <c r="TAW1" s="2"/>
      <c r="TAX1" s="2"/>
      <c r="TAY1" s="2"/>
      <c r="TAZ1" s="2"/>
      <c r="TBA1" s="2"/>
      <c r="TBB1" s="2"/>
      <c r="TBC1" s="2"/>
      <c r="TBD1" s="2"/>
      <c r="TBE1" s="2"/>
      <c r="TBF1" s="2"/>
      <c r="TBG1" s="2"/>
      <c r="TBH1" s="2"/>
      <c r="TBI1" s="2"/>
      <c r="TBJ1" s="2"/>
      <c r="TBK1" s="2"/>
      <c r="TBL1" s="2"/>
      <c r="TBM1" s="2"/>
      <c r="TBN1" s="2"/>
      <c r="TBO1" s="2"/>
      <c r="TBP1" s="2"/>
      <c r="TBQ1" s="2"/>
      <c r="TBR1" s="2"/>
      <c r="TBS1" s="2"/>
      <c r="TBT1" s="2"/>
      <c r="TBU1" s="2"/>
      <c r="TBV1" s="2"/>
      <c r="TBW1" s="2"/>
      <c r="TBX1" s="2"/>
      <c r="TBY1" s="2"/>
      <c r="TBZ1" s="2"/>
      <c r="TCA1" s="2"/>
      <c r="TCB1" s="2"/>
      <c r="TCC1" s="2"/>
      <c r="TCD1" s="2"/>
      <c r="TCE1" s="2"/>
      <c r="TCF1" s="2"/>
      <c r="TCG1" s="2"/>
      <c r="TCH1" s="2"/>
      <c r="TCI1" s="2"/>
      <c r="TCJ1" s="2"/>
      <c r="TCK1" s="2"/>
      <c r="TCL1" s="2"/>
      <c r="TCM1" s="2"/>
      <c r="TCN1" s="2"/>
      <c r="TCO1" s="2"/>
      <c r="TCP1" s="2"/>
      <c r="TCQ1" s="2"/>
      <c r="TCR1" s="2"/>
      <c r="TCS1" s="2"/>
      <c r="TCT1" s="2"/>
      <c r="TCU1" s="2"/>
      <c r="TCV1" s="2"/>
      <c r="TCW1" s="2"/>
      <c r="TCX1" s="2"/>
      <c r="TCY1" s="2"/>
      <c r="TCZ1" s="2"/>
      <c r="TDA1" s="2"/>
      <c r="TDB1" s="2"/>
      <c r="TDC1" s="2"/>
      <c r="TDD1" s="2"/>
      <c r="TDE1" s="2"/>
      <c r="TDF1" s="2"/>
      <c r="TDG1" s="2"/>
      <c r="TDH1" s="2"/>
      <c r="TDI1" s="2"/>
      <c r="TDJ1" s="2"/>
      <c r="TDK1" s="2"/>
      <c r="TDL1" s="2"/>
      <c r="TDM1" s="2"/>
      <c r="TDN1" s="2"/>
      <c r="TDO1" s="2"/>
      <c r="TDP1" s="2"/>
      <c r="TDQ1" s="2"/>
      <c r="TDR1" s="2"/>
      <c r="TDS1" s="2"/>
      <c r="TDT1" s="2"/>
      <c r="TDU1" s="2"/>
      <c r="TDV1" s="2"/>
      <c r="TDW1" s="2"/>
      <c r="TDX1" s="2"/>
      <c r="TDY1" s="2"/>
      <c r="TDZ1" s="2"/>
      <c r="TEA1" s="2"/>
      <c r="TEB1" s="2"/>
      <c r="TEC1" s="2"/>
      <c r="TED1" s="2"/>
      <c r="TEE1" s="2"/>
      <c r="TEF1" s="2"/>
      <c r="TEG1" s="2"/>
      <c r="TEH1" s="2"/>
      <c r="TEI1" s="2"/>
      <c r="TEJ1" s="2"/>
      <c r="TEK1" s="2"/>
      <c r="TEL1" s="2"/>
      <c r="TEM1" s="2"/>
      <c r="TEN1" s="2"/>
      <c r="TEO1" s="2"/>
      <c r="TEP1" s="2"/>
      <c r="TEQ1" s="2"/>
      <c r="TER1" s="2"/>
      <c r="TES1" s="2"/>
      <c r="TET1" s="2"/>
      <c r="TEU1" s="2"/>
      <c r="TEV1" s="2"/>
      <c r="TEW1" s="2"/>
      <c r="TEX1" s="2"/>
      <c r="TEY1" s="2"/>
      <c r="TEZ1" s="2"/>
      <c r="TFA1" s="2"/>
      <c r="TFB1" s="2"/>
      <c r="TFC1" s="2"/>
      <c r="TFD1" s="2"/>
      <c r="TFE1" s="2"/>
      <c r="TFF1" s="2"/>
      <c r="TFG1" s="2"/>
      <c r="TFH1" s="2"/>
      <c r="TFI1" s="2"/>
      <c r="TFJ1" s="2"/>
      <c r="TFK1" s="2"/>
      <c r="TFL1" s="2"/>
      <c r="TFM1" s="2"/>
      <c r="TFN1" s="2"/>
      <c r="TFO1" s="2"/>
      <c r="TFP1" s="2"/>
      <c r="TFQ1" s="2"/>
      <c r="TFR1" s="2"/>
      <c r="TFS1" s="2"/>
      <c r="TFT1" s="2"/>
      <c r="TFU1" s="2"/>
      <c r="TFV1" s="2"/>
      <c r="TFW1" s="2"/>
      <c r="TFX1" s="2"/>
      <c r="TFY1" s="2"/>
      <c r="TFZ1" s="2"/>
      <c r="TGA1" s="2"/>
      <c r="TGB1" s="2"/>
      <c r="TGC1" s="2"/>
      <c r="TGD1" s="2"/>
      <c r="TGE1" s="2"/>
      <c r="TGF1" s="2"/>
      <c r="TGG1" s="2"/>
      <c r="TGH1" s="2"/>
      <c r="TGI1" s="2"/>
      <c r="TGJ1" s="2"/>
      <c r="TGK1" s="2"/>
      <c r="TGL1" s="2"/>
      <c r="TGM1" s="2"/>
      <c r="TGN1" s="2"/>
      <c r="TGO1" s="2"/>
      <c r="TGP1" s="2"/>
      <c r="TGQ1" s="2"/>
      <c r="TGR1" s="2"/>
      <c r="TGS1" s="2"/>
      <c r="TGT1" s="2"/>
      <c r="TGU1" s="2"/>
      <c r="TGV1" s="2"/>
      <c r="TGW1" s="2"/>
      <c r="TGX1" s="2"/>
      <c r="TGY1" s="2"/>
      <c r="TGZ1" s="2"/>
      <c r="THA1" s="2"/>
      <c r="THB1" s="2"/>
      <c r="THC1" s="2"/>
      <c r="THD1" s="2"/>
      <c r="THE1" s="2"/>
      <c r="THF1" s="2"/>
      <c r="THG1" s="2"/>
      <c r="THH1" s="2"/>
      <c r="THI1" s="2"/>
      <c r="THJ1" s="2"/>
      <c r="THK1" s="2"/>
      <c r="THL1" s="2"/>
      <c r="THM1" s="2"/>
      <c r="THN1" s="2"/>
      <c r="THO1" s="2"/>
      <c r="THP1" s="2"/>
      <c r="THQ1" s="2"/>
      <c r="THR1" s="2"/>
      <c r="THS1" s="2"/>
      <c r="THT1" s="2"/>
      <c r="THU1" s="2"/>
      <c r="THV1" s="2"/>
      <c r="THW1" s="2"/>
      <c r="THX1" s="2"/>
      <c r="THY1" s="2"/>
      <c r="THZ1" s="2"/>
      <c r="TIA1" s="2"/>
      <c r="TIB1" s="2"/>
      <c r="TIC1" s="2"/>
      <c r="TID1" s="2"/>
      <c r="TIE1" s="2"/>
      <c r="TIF1" s="2"/>
      <c r="TIG1" s="2"/>
      <c r="TIH1" s="2"/>
      <c r="TII1" s="2"/>
      <c r="TIJ1" s="2"/>
      <c r="TIK1" s="2"/>
      <c r="TIL1" s="2"/>
      <c r="TIM1" s="2"/>
      <c r="TIN1" s="2"/>
      <c r="TIO1" s="2"/>
      <c r="TIP1" s="2"/>
      <c r="TIQ1" s="2"/>
      <c r="TIR1" s="2"/>
      <c r="TIS1" s="2"/>
      <c r="TIT1" s="2"/>
      <c r="TIU1" s="2"/>
      <c r="TIV1" s="2"/>
      <c r="TIW1" s="2"/>
      <c r="TIX1" s="2"/>
      <c r="TIY1" s="2"/>
      <c r="TIZ1" s="2"/>
      <c r="TJA1" s="2"/>
      <c r="TJB1" s="2"/>
      <c r="TJC1" s="2"/>
      <c r="TJD1" s="2"/>
      <c r="TJE1" s="2"/>
      <c r="TJF1" s="2"/>
      <c r="TJG1" s="2"/>
      <c r="TJH1" s="2"/>
      <c r="TJI1" s="2"/>
      <c r="TJJ1" s="2"/>
      <c r="TJK1" s="2"/>
      <c r="TJL1" s="2"/>
      <c r="TJM1" s="2"/>
      <c r="TJN1" s="2"/>
      <c r="TJO1" s="2"/>
      <c r="TJP1" s="2"/>
      <c r="TJQ1" s="2"/>
      <c r="TJR1" s="2"/>
      <c r="TJS1" s="2"/>
      <c r="TJT1" s="2"/>
      <c r="TJU1" s="2"/>
      <c r="TJV1" s="2"/>
      <c r="TJW1" s="2"/>
      <c r="TJX1" s="2"/>
      <c r="TJY1" s="2"/>
      <c r="TJZ1" s="2"/>
      <c r="TKA1" s="2"/>
      <c r="TKB1" s="2"/>
      <c r="TKC1" s="2"/>
      <c r="TKD1" s="2"/>
      <c r="TKE1" s="2"/>
      <c r="TKF1" s="2"/>
      <c r="TKG1" s="2"/>
      <c r="TKH1" s="2"/>
      <c r="TKI1" s="2"/>
      <c r="TKJ1" s="2"/>
      <c r="TKK1" s="2"/>
      <c r="TKL1" s="2"/>
      <c r="TKM1" s="2"/>
      <c r="TKN1" s="2"/>
      <c r="TKO1" s="2"/>
      <c r="TKP1" s="2"/>
      <c r="TKQ1" s="2"/>
      <c r="TKR1" s="2"/>
      <c r="TKS1" s="2"/>
      <c r="TKT1" s="2"/>
      <c r="TKU1" s="2"/>
      <c r="TKV1" s="2"/>
      <c r="TKW1" s="2"/>
      <c r="TKX1" s="2"/>
      <c r="TKY1" s="2"/>
      <c r="TKZ1" s="2"/>
      <c r="TLA1" s="2"/>
      <c r="TLB1" s="2"/>
      <c r="TLC1" s="2"/>
      <c r="TLD1" s="2"/>
      <c r="TLE1" s="2"/>
      <c r="TLF1" s="2"/>
      <c r="TLG1" s="2"/>
      <c r="TLH1" s="2"/>
      <c r="TLI1" s="2"/>
      <c r="TLJ1" s="2"/>
      <c r="TLK1" s="2"/>
      <c r="TLL1" s="2"/>
      <c r="TLM1" s="2"/>
      <c r="TLN1" s="2"/>
      <c r="TLO1" s="2"/>
      <c r="TLP1" s="2"/>
      <c r="TLQ1" s="2"/>
      <c r="TLR1" s="2"/>
      <c r="TLS1" s="2"/>
      <c r="TLT1" s="2"/>
      <c r="TLU1" s="2"/>
      <c r="TLV1" s="2"/>
      <c r="TLW1" s="2"/>
      <c r="TLX1" s="2"/>
      <c r="TLY1" s="2"/>
      <c r="TLZ1" s="2"/>
      <c r="TMA1" s="2"/>
      <c r="TMB1" s="2"/>
      <c r="TMC1" s="2"/>
      <c r="TMD1" s="2"/>
      <c r="TME1" s="2"/>
      <c r="TMF1" s="2"/>
      <c r="TMG1" s="2"/>
      <c r="TMH1" s="2"/>
      <c r="TMI1" s="2"/>
      <c r="TMJ1" s="2"/>
      <c r="TMK1" s="2"/>
      <c r="TML1" s="2"/>
      <c r="TMM1" s="2"/>
      <c r="TMN1" s="2"/>
      <c r="TMO1" s="2"/>
      <c r="TMP1" s="2"/>
      <c r="TMQ1" s="2"/>
      <c r="TMR1" s="2"/>
      <c r="TMS1" s="2"/>
      <c r="TMT1" s="2"/>
      <c r="TMU1" s="2"/>
      <c r="TMV1" s="2"/>
      <c r="TMW1" s="2"/>
      <c r="TMX1" s="2"/>
      <c r="TMY1" s="2"/>
      <c r="TMZ1" s="2"/>
      <c r="TNA1" s="2"/>
      <c r="TNB1" s="2"/>
      <c r="TNC1" s="2"/>
      <c r="TND1" s="2"/>
      <c r="TNE1" s="2"/>
      <c r="TNF1" s="2"/>
      <c r="TNG1" s="2"/>
      <c r="TNH1" s="2"/>
      <c r="TNI1" s="2"/>
      <c r="TNJ1" s="2"/>
      <c r="TNK1" s="2"/>
      <c r="TNL1" s="2"/>
      <c r="TNM1" s="2"/>
      <c r="TNN1" s="2"/>
      <c r="TNO1" s="2"/>
      <c r="TNP1" s="2"/>
      <c r="TNQ1" s="2"/>
      <c r="TNR1" s="2"/>
      <c r="TNS1" s="2"/>
      <c r="TNT1" s="2"/>
      <c r="TNU1" s="2"/>
      <c r="TNV1" s="2"/>
      <c r="TNW1" s="2"/>
      <c r="TNX1" s="2"/>
      <c r="TNY1" s="2"/>
      <c r="TNZ1" s="2"/>
      <c r="TOA1" s="2"/>
      <c r="TOB1" s="2"/>
      <c r="TOC1" s="2"/>
      <c r="TOD1" s="2"/>
      <c r="TOE1" s="2"/>
      <c r="TOF1" s="2"/>
      <c r="TOG1" s="2"/>
      <c r="TOH1" s="2"/>
      <c r="TOI1" s="2"/>
      <c r="TOJ1" s="2"/>
      <c r="TOK1" s="2"/>
      <c r="TOL1" s="2"/>
      <c r="TOM1" s="2"/>
      <c r="TON1" s="2"/>
      <c r="TOO1" s="2"/>
      <c r="TOP1" s="2"/>
      <c r="TOQ1" s="2"/>
      <c r="TOR1" s="2"/>
      <c r="TOS1" s="2"/>
      <c r="TOT1" s="2"/>
      <c r="TOU1" s="2"/>
      <c r="TOV1" s="2"/>
      <c r="TOW1" s="2"/>
      <c r="TOX1" s="2"/>
      <c r="TOY1" s="2"/>
      <c r="TOZ1" s="2"/>
      <c r="TPA1" s="2"/>
      <c r="TPB1" s="2"/>
      <c r="TPC1" s="2"/>
      <c r="TPD1" s="2"/>
      <c r="TPE1" s="2"/>
      <c r="TPF1" s="2"/>
      <c r="TPG1" s="2"/>
      <c r="TPH1" s="2"/>
      <c r="TPI1" s="2"/>
      <c r="TPJ1" s="2"/>
      <c r="TPK1" s="2"/>
      <c r="TPL1" s="2"/>
      <c r="TPM1" s="2"/>
      <c r="TPN1" s="2"/>
      <c r="TPO1" s="2"/>
      <c r="TPP1" s="2"/>
      <c r="TPQ1" s="2"/>
      <c r="TPR1" s="2"/>
      <c r="TPS1" s="2"/>
      <c r="TPT1" s="2"/>
      <c r="TPU1" s="2"/>
      <c r="TPV1" s="2"/>
      <c r="TPW1" s="2"/>
      <c r="TPX1" s="2"/>
      <c r="TPY1" s="2"/>
      <c r="TPZ1" s="2"/>
      <c r="TQA1" s="2"/>
      <c r="TQB1" s="2"/>
      <c r="TQC1" s="2"/>
      <c r="TQD1" s="2"/>
      <c r="TQE1" s="2"/>
      <c r="TQF1" s="2"/>
      <c r="TQG1" s="2"/>
      <c r="TQH1" s="2"/>
      <c r="TQI1" s="2"/>
      <c r="TQJ1" s="2"/>
      <c r="TQK1" s="2"/>
      <c r="TQL1" s="2"/>
      <c r="TQM1" s="2"/>
      <c r="TQN1" s="2"/>
      <c r="TQO1" s="2"/>
      <c r="TQP1" s="2"/>
      <c r="TQQ1" s="2"/>
      <c r="TQR1" s="2"/>
      <c r="TQS1" s="2"/>
      <c r="TQT1" s="2"/>
      <c r="TQU1" s="2"/>
      <c r="TQV1" s="2"/>
      <c r="TQW1" s="2"/>
      <c r="TQX1" s="2"/>
      <c r="TQY1" s="2"/>
      <c r="TQZ1" s="2"/>
      <c r="TRA1" s="2"/>
      <c r="TRB1" s="2"/>
      <c r="TRC1" s="2"/>
      <c r="TRD1" s="2"/>
      <c r="TRE1" s="2"/>
      <c r="TRF1" s="2"/>
      <c r="TRG1" s="2"/>
      <c r="TRH1" s="2"/>
      <c r="TRI1" s="2"/>
      <c r="TRJ1" s="2"/>
      <c r="TRK1" s="2"/>
      <c r="TRL1" s="2"/>
      <c r="TRM1" s="2"/>
      <c r="TRN1" s="2"/>
      <c r="TRO1" s="2"/>
      <c r="TRP1" s="2"/>
      <c r="TRQ1" s="2"/>
      <c r="TRR1" s="2"/>
      <c r="TRS1" s="2"/>
      <c r="TRT1" s="2"/>
      <c r="TRU1" s="2"/>
      <c r="TRV1" s="2"/>
      <c r="TRW1" s="2"/>
      <c r="TRX1" s="2"/>
      <c r="TRY1" s="2"/>
      <c r="TRZ1" s="2"/>
      <c r="TSA1" s="2"/>
      <c r="TSB1" s="2"/>
      <c r="TSC1" s="2"/>
      <c r="TSD1" s="2"/>
      <c r="TSE1" s="2"/>
      <c r="TSF1" s="2"/>
      <c r="TSG1" s="2"/>
      <c r="TSH1" s="2"/>
      <c r="TSI1" s="2"/>
      <c r="TSJ1" s="2"/>
      <c r="TSK1" s="2"/>
      <c r="TSL1" s="2"/>
      <c r="TSM1" s="2"/>
      <c r="TSN1" s="2"/>
      <c r="TSO1" s="2"/>
      <c r="TSP1" s="2"/>
      <c r="TSQ1" s="2"/>
      <c r="TSR1" s="2"/>
      <c r="TSS1" s="2"/>
      <c r="TST1" s="2"/>
      <c r="TSU1" s="2"/>
      <c r="TSV1" s="2"/>
      <c r="TSW1" s="2"/>
      <c r="TSX1" s="2"/>
      <c r="TSY1" s="2"/>
      <c r="TSZ1" s="2"/>
      <c r="TTA1" s="2"/>
      <c r="TTB1" s="2"/>
      <c r="TTC1" s="2"/>
      <c r="TTD1" s="2"/>
      <c r="TTE1" s="2"/>
      <c r="TTF1" s="2"/>
      <c r="TTG1" s="2"/>
      <c r="TTH1" s="2"/>
      <c r="TTI1" s="2"/>
      <c r="TTJ1" s="2"/>
      <c r="TTK1" s="2"/>
      <c r="TTL1" s="2"/>
      <c r="TTM1" s="2"/>
      <c r="TTN1" s="2"/>
      <c r="TTO1" s="2"/>
      <c r="TTP1" s="2"/>
      <c r="TTQ1" s="2"/>
      <c r="TTR1" s="2"/>
      <c r="TTS1" s="2"/>
      <c r="TTT1" s="2"/>
      <c r="TTU1" s="2"/>
      <c r="TTV1" s="2"/>
      <c r="TTW1" s="2"/>
      <c r="TTX1" s="2"/>
      <c r="TTY1" s="2"/>
      <c r="TTZ1" s="2"/>
      <c r="TUA1" s="2"/>
      <c r="TUB1" s="2"/>
      <c r="TUC1" s="2"/>
      <c r="TUD1" s="2"/>
      <c r="TUE1" s="2"/>
      <c r="TUF1" s="2"/>
      <c r="TUG1" s="2"/>
      <c r="TUH1" s="2"/>
      <c r="TUI1" s="2"/>
      <c r="TUJ1" s="2"/>
      <c r="TUK1" s="2"/>
      <c r="TUL1" s="2"/>
      <c r="TUM1" s="2"/>
      <c r="TUN1" s="2"/>
      <c r="TUO1" s="2"/>
      <c r="TUP1" s="2"/>
      <c r="TUQ1" s="2"/>
      <c r="TUR1" s="2"/>
      <c r="TUS1" s="2"/>
      <c r="TUT1" s="2"/>
      <c r="TUU1" s="2"/>
      <c r="TUV1" s="2"/>
      <c r="TUW1" s="2"/>
      <c r="TUX1" s="2"/>
      <c r="TUY1" s="2"/>
      <c r="TUZ1" s="2"/>
      <c r="TVA1" s="2"/>
      <c r="TVB1" s="2"/>
      <c r="TVC1" s="2"/>
      <c r="TVD1" s="2"/>
      <c r="TVE1" s="2"/>
      <c r="TVF1" s="2"/>
      <c r="TVG1" s="2"/>
      <c r="TVH1" s="2"/>
      <c r="TVI1" s="2"/>
      <c r="TVJ1" s="2"/>
      <c r="TVK1" s="2"/>
      <c r="TVL1" s="2"/>
      <c r="TVM1" s="2"/>
      <c r="TVN1" s="2"/>
      <c r="TVO1" s="2"/>
      <c r="TVP1" s="2"/>
      <c r="TVQ1" s="2"/>
      <c r="TVR1" s="2"/>
      <c r="TVS1" s="2"/>
      <c r="TVT1" s="2"/>
      <c r="TVU1" s="2"/>
      <c r="TVV1" s="2"/>
      <c r="TVW1" s="2"/>
      <c r="TVX1" s="2"/>
      <c r="TVY1" s="2"/>
      <c r="TVZ1" s="2"/>
      <c r="TWA1" s="2"/>
      <c r="TWB1" s="2"/>
      <c r="TWC1" s="2"/>
      <c r="TWD1" s="2"/>
      <c r="TWE1" s="2"/>
      <c r="TWF1" s="2"/>
      <c r="TWG1" s="2"/>
      <c r="TWH1" s="2"/>
      <c r="TWI1" s="2"/>
      <c r="TWJ1" s="2"/>
      <c r="TWK1" s="2"/>
      <c r="TWL1" s="2"/>
      <c r="TWM1" s="2"/>
      <c r="TWN1" s="2"/>
      <c r="TWO1" s="2"/>
      <c r="TWP1" s="2"/>
      <c r="TWQ1" s="2"/>
      <c r="TWR1" s="2"/>
      <c r="TWS1" s="2"/>
      <c r="TWT1" s="2"/>
      <c r="TWU1" s="2"/>
      <c r="TWV1" s="2"/>
      <c r="TWW1" s="2"/>
      <c r="TWX1" s="2"/>
      <c r="TWY1" s="2"/>
      <c r="TWZ1" s="2"/>
      <c r="TXA1" s="2"/>
      <c r="TXB1" s="2"/>
      <c r="TXC1" s="2"/>
      <c r="TXD1" s="2"/>
      <c r="TXE1" s="2"/>
      <c r="TXF1" s="2"/>
      <c r="TXG1" s="2"/>
      <c r="TXH1" s="2"/>
      <c r="TXI1" s="2"/>
      <c r="TXJ1" s="2"/>
      <c r="TXK1" s="2"/>
      <c r="TXL1" s="2"/>
      <c r="TXM1" s="2"/>
      <c r="TXN1" s="2"/>
      <c r="TXO1" s="2"/>
      <c r="TXP1" s="2"/>
      <c r="TXQ1" s="2"/>
      <c r="TXR1" s="2"/>
      <c r="TXS1" s="2"/>
      <c r="TXT1" s="2"/>
      <c r="TXU1" s="2"/>
      <c r="TXV1" s="2"/>
      <c r="TXW1" s="2"/>
      <c r="TXX1" s="2"/>
      <c r="TXY1" s="2"/>
      <c r="TXZ1" s="2"/>
      <c r="TYA1" s="2"/>
      <c r="TYB1" s="2"/>
      <c r="TYC1" s="2"/>
      <c r="TYD1" s="2"/>
      <c r="TYE1" s="2"/>
      <c r="TYF1" s="2"/>
      <c r="TYG1" s="2"/>
      <c r="TYH1" s="2"/>
      <c r="TYI1" s="2"/>
      <c r="TYJ1" s="2"/>
      <c r="TYK1" s="2"/>
      <c r="TYL1" s="2"/>
      <c r="TYM1" s="2"/>
      <c r="TYN1" s="2"/>
      <c r="TYO1" s="2"/>
      <c r="TYP1" s="2"/>
      <c r="TYQ1" s="2"/>
      <c r="TYR1" s="2"/>
      <c r="TYS1" s="2"/>
      <c r="TYT1" s="2"/>
      <c r="TYU1" s="2"/>
      <c r="TYV1" s="2"/>
      <c r="TYW1" s="2"/>
      <c r="TYX1" s="2"/>
      <c r="TYY1" s="2"/>
      <c r="TYZ1" s="2"/>
      <c r="TZA1" s="2"/>
      <c r="TZB1" s="2"/>
      <c r="TZC1" s="2"/>
      <c r="TZD1" s="2"/>
      <c r="TZE1" s="2"/>
      <c r="TZF1" s="2"/>
      <c r="TZG1" s="2"/>
      <c r="TZH1" s="2"/>
      <c r="TZI1" s="2"/>
      <c r="TZJ1" s="2"/>
      <c r="TZK1" s="2"/>
      <c r="TZL1" s="2"/>
      <c r="TZM1" s="2"/>
      <c r="TZN1" s="2"/>
      <c r="TZO1" s="2"/>
      <c r="TZP1" s="2"/>
      <c r="TZQ1" s="2"/>
      <c r="TZR1" s="2"/>
      <c r="TZS1" s="2"/>
      <c r="TZT1" s="2"/>
      <c r="TZU1" s="2"/>
      <c r="TZV1" s="2"/>
      <c r="TZW1" s="2"/>
      <c r="TZX1" s="2"/>
      <c r="TZY1" s="2"/>
      <c r="TZZ1" s="2"/>
      <c r="UAA1" s="2"/>
      <c r="UAB1" s="2"/>
      <c r="UAC1" s="2"/>
      <c r="UAD1" s="2"/>
      <c r="UAE1" s="2"/>
      <c r="UAF1" s="2"/>
      <c r="UAG1" s="2"/>
      <c r="UAH1" s="2"/>
      <c r="UAI1" s="2"/>
      <c r="UAJ1" s="2"/>
      <c r="UAK1" s="2"/>
      <c r="UAL1" s="2"/>
      <c r="UAM1" s="2"/>
      <c r="UAN1" s="2"/>
      <c r="UAO1" s="2"/>
      <c r="UAP1" s="2"/>
      <c r="UAQ1" s="2"/>
      <c r="UAR1" s="2"/>
      <c r="UAS1" s="2"/>
      <c r="UAT1" s="2"/>
      <c r="UAU1" s="2"/>
      <c r="UAV1" s="2"/>
      <c r="UAW1" s="2"/>
      <c r="UAX1" s="2"/>
      <c r="UAY1" s="2"/>
      <c r="UAZ1" s="2"/>
      <c r="UBA1" s="2"/>
      <c r="UBB1" s="2"/>
      <c r="UBC1" s="2"/>
      <c r="UBD1" s="2"/>
      <c r="UBE1" s="2"/>
      <c r="UBF1" s="2"/>
      <c r="UBG1" s="2"/>
      <c r="UBH1" s="2"/>
      <c r="UBI1" s="2"/>
      <c r="UBJ1" s="2"/>
      <c r="UBK1" s="2"/>
      <c r="UBL1" s="2"/>
      <c r="UBM1" s="2"/>
      <c r="UBN1" s="2"/>
      <c r="UBO1" s="2"/>
      <c r="UBP1" s="2"/>
      <c r="UBQ1" s="2"/>
      <c r="UBR1" s="2"/>
      <c r="UBS1" s="2"/>
      <c r="UBT1" s="2"/>
      <c r="UBU1" s="2"/>
      <c r="UBV1" s="2"/>
      <c r="UBW1" s="2"/>
      <c r="UBX1" s="2"/>
      <c r="UBY1" s="2"/>
      <c r="UBZ1" s="2"/>
      <c r="UCA1" s="2"/>
      <c r="UCB1" s="2"/>
      <c r="UCC1" s="2"/>
      <c r="UCD1" s="2"/>
      <c r="UCE1" s="2"/>
      <c r="UCF1" s="2"/>
      <c r="UCG1" s="2"/>
      <c r="UCH1" s="2"/>
      <c r="UCI1" s="2"/>
      <c r="UCJ1" s="2"/>
      <c r="UCK1" s="2"/>
      <c r="UCL1" s="2"/>
      <c r="UCM1" s="2"/>
      <c r="UCN1" s="2"/>
      <c r="UCO1" s="2"/>
      <c r="UCP1" s="2"/>
      <c r="UCQ1" s="2"/>
      <c r="UCR1" s="2"/>
      <c r="UCS1" s="2"/>
      <c r="UCT1" s="2"/>
      <c r="UCU1" s="2"/>
      <c r="UCV1" s="2"/>
      <c r="UCW1" s="2"/>
      <c r="UCX1" s="2"/>
      <c r="UCY1" s="2"/>
      <c r="UCZ1" s="2"/>
      <c r="UDA1" s="2"/>
      <c r="UDB1" s="2"/>
      <c r="UDC1" s="2"/>
      <c r="UDD1" s="2"/>
      <c r="UDE1" s="2"/>
      <c r="UDF1" s="2"/>
      <c r="UDG1" s="2"/>
      <c r="UDH1" s="2"/>
      <c r="UDI1" s="2"/>
      <c r="UDJ1" s="2"/>
      <c r="UDK1" s="2"/>
      <c r="UDL1" s="2"/>
      <c r="UDM1" s="2"/>
      <c r="UDN1" s="2"/>
      <c r="UDO1" s="2"/>
      <c r="UDP1" s="2"/>
      <c r="UDQ1" s="2"/>
      <c r="UDR1" s="2"/>
      <c r="UDS1" s="2"/>
      <c r="UDT1" s="2"/>
      <c r="UDU1" s="2"/>
      <c r="UDV1" s="2"/>
      <c r="UDW1" s="2"/>
      <c r="UDX1" s="2"/>
      <c r="UDY1" s="2"/>
      <c r="UDZ1" s="2"/>
      <c r="UEA1" s="2"/>
      <c r="UEB1" s="2"/>
      <c r="UEC1" s="2"/>
      <c r="UED1" s="2"/>
      <c r="UEE1" s="2"/>
      <c r="UEF1" s="2"/>
      <c r="UEG1" s="2"/>
      <c r="UEH1" s="2"/>
      <c r="UEI1" s="2"/>
      <c r="UEJ1" s="2"/>
      <c r="UEK1" s="2"/>
      <c r="UEL1" s="2"/>
      <c r="UEM1" s="2"/>
      <c r="UEN1" s="2"/>
      <c r="UEO1" s="2"/>
      <c r="UEP1" s="2"/>
      <c r="UEQ1" s="2"/>
      <c r="UER1" s="2"/>
      <c r="UES1" s="2"/>
      <c r="UET1" s="2"/>
      <c r="UEU1" s="2"/>
      <c r="UEV1" s="2"/>
      <c r="UEW1" s="2"/>
      <c r="UEX1" s="2"/>
      <c r="UEY1" s="2"/>
      <c r="UEZ1" s="2"/>
      <c r="UFA1" s="2"/>
      <c r="UFB1" s="2"/>
      <c r="UFC1" s="2"/>
      <c r="UFD1" s="2"/>
      <c r="UFE1" s="2"/>
      <c r="UFF1" s="2"/>
      <c r="UFG1" s="2"/>
      <c r="UFH1" s="2"/>
      <c r="UFI1" s="2"/>
      <c r="UFJ1" s="2"/>
      <c r="UFK1" s="2"/>
      <c r="UFL1" s="2"/>
      <c r="UFM1" s="2"/>
      <c r="UFN1" s="2"/>
      <c r="UFO1" s="2"/>
      <c r="UFP1" s="2"/>
      <c r="UFQ1" s="2"/>
      <c r="UFR1" s="2"/>
      <c r="UFS1" s="2"/>
      <c r="UFT1" s="2"/>
      <c r="UFU1" s="2"/>
      <c r="UFV1" s="2"/>
      <c r="UFW1" s="2"/>
      <c r="UFX1" s="2"/>
      <c r="UFY1" s="2"/>
      <c r="UFZ1" s="2"/>
      <c r="UGA1" s="2"/>
      <c r="UGB1" s="2"/>
      <c r="UGC1" s="2"/>
      <c r="UGD1" s="2"/>
      <c r="UGE1" s="2"/>
      <c r="UGF1" s="2"/>
      <c r="UGG1" s="2"/>
      <c r="UGH1" s="2"/>
      <c r="UGI1" s="2"/>
      <c r="UGJ1" s="2"/>
      <c r="UGK1" s="2"/>
      <c r="UGL1" s="2"/>
      <c r="UGM1" s="2"/>
      <c r="UGN1" s="2"/>
      <c r="UGO1" s="2"/>
      <c r="UGP1" s="2"/>
      <c r="UGQ1" s="2"/>
      <c r="UGR1" s="2"/>
      <c r="UGS1" s="2"/>
      <c r="UGT1" s="2"/>
      <c r="UGU1" s="2"/>
      <c r="UGV1" s="2"/>
      <c r="UGW1" s="2"/>
      <c r="UGX1" s="2"/>
      <c r="UGY1" s="2"/>
      <c r="UGZ1" s="2"/>
      <c r="UHA1" s="2"/>
      <c r="UHB1" s="2"/>
      <c r="UHC1" s="2"/>
      <c r="UHD1" s="2"/>
      <c r="UHE1" s="2"/>
      <c r="UHF1" s="2"/>
      <c r="UHG1" s="2"/>
      <c r="UHH1" s="2"/>
      <c r="UHI1" s="2"/>
      <c r="UHJ1" s="2"/>
      <c r="UHK1" s="2"/>
      <c r="UHL1" s="2"/>
      <c r="UHM1" s="2"/>
      <c r="UHN1" s="2"/>
      <c r="UHO1" s="2"/>
      <c r="UHP1" s="2"/>
      <c r="UHQ1" s="2"/>
      <c r="UHR1" s="2"/>
      <c r="UHS1" s="2"/>
      <c r="UHT1" s="2"/>
      <c r="UHU1" s="2"/>
      <c r="UHV1" s="2"/>
      <c r="UHW1" s="2"/>
      <c r="UHX1" s="2"/>
      <c r="UHY1" s="2"/>
      <c r="UHZ1" s="2"/>
      <c r="UIA1" s="2"/>
      <c r="UIB1" s="2"/>
      <c r="UIC1" s="2"/>
      <c r="UID1" s="2"/>
      <c r="UIE1" s="2"/>
      <c r="UIF1" s="2"/>
      <c r="UIG1" s="2"/>
      <c r="UIH1" s="2"/>
      <c r="UII1" s="2"/>
      <c r="UIJ1" s="2"/>
      <c r="UIK1" s="2"/>
      <c r="UIL1" s="2"/>
      <c r="UIM1" s="2"/>
      <c r="UIN1" s="2"/>
      <c r="UIO1" s="2"/>
      <c r="UIP1" s="2"/>
      <c r="UIQ1" s="2"/>
      <c r="UIR1" s="2"/>
      <c r="UIS1" s="2"/>
      <c r="UIT1" s="2"/>
      <c r="UIU1" s="2"/>
      <c r="UIV1" s="2"/>
      <c r="UIW1" s="2"/>
      <c r="UIX1" s="2"/>
      <c r="UIY1" s="2"/>
      <c r="UIZ1" s="2"/>
      <c r="UJA1" s="2"/>
      <c r="UJB1" s="2"/>
      <c r="UJC1" s="2"/>
      <c r="UJD1" s="2"/>
      <c r="UJE1" s="2"/>
      <c r="UJF1" s="2"/>
      <c r="UJG1" s="2"/>
      <c r="UJH1" s="2"/>
      <c r="UJI1" s="2"/>
      <c r="UJJ1" s="2"/>
      <c r="UJK1" s="2"/>
      <c r="UJL1" s="2"/>
      <c r="UJM1" s="2"/>
      <c r="UJN1" s="2"/>
      <c r="UJO1" s="2"/>
      <c r="UJP1" s="2"/>
      <c r="UJQ1" s="2"/>
      <c r="UJR1" s="2"/>
      <c r="UJS1" s="2"/>
      <c r="UJT1" s="2"/>
      <c r="UJU1" s="2"/>
      <c r="UJV1" s="2"/>
      <c r="UJW1" s="2"/>
      <c r="UJX1" s="2"/>
      <c r="UJY1" s="2"/>
      <c r="UJZ1" s="2"/>
      <c r="UKA1" s="2"/>
      <c r="UKB1" s="2"/>
      <c r="UKC1" s="2"/>
      <c r="UKD1" s="2"/>
      <c r="UKE1" s="2"/>
      <c r="UKF1" s="2"/>
      <c r="UKG1" s="2"/>
      <c r="UKH1" s="2"/>
      <c r="UKI1" s="2"/>
      <c r="UKJ1" s="2"/>
      <c r="UKK1" s="2"/>
      <c r="UKL1" s="2"/>
      <c r="UKM1" s="2"/>
      <c r="UKN1" s="2"/>
      <c r="UKO1" s="2"/>
      <c r="UKP1" s="2"/>
      <c r="UKQ1" s="2"/>
      <c r="UKR1" s="2"/>
      <c r="UKS1" s="2"/>
      <c r="UKT1" s="2"/>
      <c r="UKU1" s="2"/>
      <c r="UKV1" s="2"/>
      <c r="UKW1" s="2"/>
      <c r="UKX1" s="2"/>
      <c r="UKY1" s="2"/>
      <c r="UKZ1" s="2"/>
      <c r="ULA1" s="2"/>
      <c r="ULB1" s="2"/>
      <c r="ULC1" s="2"/>
      <c r="ULD1" s="2"/>
      <c r="ULE1" s="2"/>
      <c r="ULF1" s="2"/>
      <c r="ULG1" s="2"/>
      <c r="ULH1" s="2"/>
      <c r="ULI1" s="2"/>
      <c r="ULJ1" s="2"/>
      <c r="ULK1" s="2"/>
      <c r="ULL1" s="2"/>
      <c r="ULM1" s="2"/>
      <c r="ULN1" s="2"/>
      <c r="ULO1" s="2"/>
      <c r="ULP1" s="2"/>
      <c r="ULQ1" s="2"/>
      <c r="ULR1" s="2"/>
      <c r="ULS1" s="2"/>
      <c r="ULT1" s="2"/>
      <c r="ULU1" s="2"/>
      <c r="ULV1" s="2"/>
      <c r="ULW1" s="2"/>
      <c r="ULX1" s="2"/>
      <c r="ULY1" s="2"/>
      <c r="ULZ1" s="2"/>
      <c r="UMA1" s="2"/>
      <c r="UMB1" s="2"/>
      <c r="UMC1" s="2"/>
      <c r="UMD1" s="2"/>
      <c r="UME1" s="2"/>
      <c r="UMF1" s="2"/>
      <c r="UMG1" s="2"/>
      <c r="UMH1" s="2"/>
      <c r="UMI1" s="2"/>
      <c r="UMJ1" s="2"/>
      <c r="UMK1" s="2"/>
      <c r="UML1" s="2"/>
      <c r="UMM1" s="2"/>
      <c r="UMN1" s="2"/>
      <c r="UMO1" s="2"/>
      <c r="UMP1" s="2"/>
      <c r="UMQ1" s="2"/>
      <c r="UMR1" s="2"/>
      <c r="UMS1" s="2"/>
      <c r="UMT1" s="2"/>
      <c r="UMU1" s="2"/>
      <c r="UMV1" s="2"/>
      <c r="UMW1" s="2"/>
      <c r="UMX1" s="2"/>
      <c r="UMY1" s="2"/>
      <c r="UMZ1" s="2"/>
      <c r="UNA1" s="2"/>
      <c r="UNB1" s="2"/>
      <c r="UNC1" s="2"/>
      <c r="UND1" s="2"/>
      <c r="UNE1" s="2"/>
      <c r="UNF1" s="2"/>
      <c r="UNG1" s="2"/>
      <c r="UNH1" s="2"/>
      <c r="UNI1" s="2"/>
      <c r="UNJ1" s="2"/>
      <c r="UNK1" s="2"/>
      <c r="UNL1" s="2"/>
      <c r="UNM1" s="2"/>
      <c r="UNN1" s="2"/>
      <c r="UNO1" s="2"/>
      <c r="UNP1" s="2"/>
      <c r="UNQ1" s="2"/>
      <c r="UNR1" s="2"/>
      <c r="UNS1" s="2"/>
      <c r="UNT1" s="2"/>
      <c r="UNU1" s="2"/>
      <c r="UNV1" s="2"/>
      <c r="UNW1" s="2"/>
      <c r="UNX1" s="2"/>
      <c r="UNY1" s="2"/>
      <c r="UNZ1" s="2"/>
      <c r="UOA1" s="2"/>
      <c r="UOB1" s="2"/>
      <c r="UOC1" s="2"/>
      <c r="UOD1" s="2"/>
      <c r="UOE1" s="2"/>
      <c r="UOF1" s="2"/>
      <c r="UOG1" s="2"/>
      <c r="UOH1" s="2"/>
      <c r="UOI1" s="2"/>
      <c r="UOJ1" s="2"/>
      <c r="UOK1" s="2"/>
      <c r="UOL1" s="2"/>
      <c r="UOM1" s="2"/>
      <c r="UON1" s="2"/>
      <c r="UOO1" s="2"/>
      <c r="UOP1" s="2"/>
      <c r="UOQ1" s="2"/>
      <c r="UOR1" s="2"/>
      <c r="UOS1" s="2"/>
      <c r="UOT1" s="2"/>
      <c r="UOU1" s="2"/>
      <c r="UOV1" s="2"/>
      <c r="UOW1" s="2"/>
      <c r="UOX1" s="2"/>
      <c r="UOY1" s="2"/>
      <c r="UOZ1" s="2"/>
      <c r="UPA1" s="2"/>
      <c r="UPB1" s="2"/>
      <c r="UPC1" s="2"/>
      <c r="UPD1" s="2"/>
      <c r="UPE1" s="2"/>
      <c r="UPF1" s="2"/>
      <c r="UPG1" s="2"/>
      <c r="UPH1" s="2"/>
      <c r="UPI1" s="2"/>
      <c r="UPJ1" s="2"/>
      <c r="UPK1" s="2"/>
      <c r="UPL1" s="2"/>
      <c r="UPM1" s="2"/>
      <c r="UPN1" s="2"/>
      <c r="UPO1" s="2"/>
      <c r="UPP1" s="2"/>
      <c r="UPQ1" s="2"/>
      <c r="UPR1" s="2"/>
      <c r="UPS1" s="2"/>
      <c r="UPT1" s="2"/>
      <c r="UPU1" s="2"/>
      <c r="UPV1" s="2"/>
      <c r="UPW1" s="2"/>
      <c r="UPX1" s="2"/>
      <c r="UPY1" s="2"/>
      <c r="UPZ1" s="2"/>
      <c r="UQA1" s="2"/>
      <c r="UQB1" s="2"/>
      <c r="UQC1" s="2"/>
      <c r="UQD1" s="2"/>
      <c r="UQE1" s="2"/>
      <c r="UQF1" s="2"/>
      <c r="UQG1" s="2"/>
      <c r="UQH1" s="2"/>
      <c r="UQI1" s="2"/>
      <c r="UQJ1" s="2"/>
      <c r="UQK1" s="2"/>
      <c r="UQL1" s="2"/>
      <c r="UQM1" s="2"/>
      <c r="UQN1" s="2"/>
      <c r="UQO1" s="2"/>
      <c r="UQP1" s="2"/>
      <c r="UQQ1" s="2"/>
      <c r="UQR1" s="2"/>
      <c r="UQS1" s="2"/>
      <c r="UQT1" s="2"/>
      <c r="UQU1" s="2"/>
      <c r="UQV1" s="2"/>
      <c r="UQW1" s="2"/>
      <c r="UQX1" s="2"/>
      <c r="UQY1" s="2"/>
      <c r="UQZ1" s="2"/>
      <c r="URA1" s="2"/>
      <c r="URB1" s="2"/>
      <c r="URC1" s="2"/>
      <c r="URD1" s="2"/>
      <c r="URE1" s="2"/>
      <c r="URF1" s="2"/>
      <c r="URG1" s="2"/>
      <c r="URH1" s="2"/>
      <c r="URI1" s="2"/>
      <c r="URJ1" s="2"/>
      <c r="URK1" s="2"/>
      <c r="URL1" s="2"/>
      <c r="URM1" s="2"/>
      <c r="URN1" s="2"/>
      <c r="URO1" s="2"/>
      <c r="URP1" s="2"/>
      <c r="URQ1" s="2"/>
      <c r="URR1" s="2"/>
      <c r="URS1" s="2"/>
      <c r="URT1" s="2"/>
      <c r="URU1" s="2"/>
      <c r="URV1" s="2"/>
      <c r="URW1" s="2"/>
      <c r="URX1" s="2"/>
      <c r="URY1" s="2"/>
      <c r="URZ1" s="2"/>
      <c r="USA1" s="2"/>
      <c r="USB1" s="2"/>
      <c r="USC1" s="2"/>
      <c r="USD1" s="2"/>
      <c r="USE1" s="2"/>
      <c r="USF1" s="2"/>
      <c r="USG1" s="2"/>
      <c r="USH1" s="2"/>
      <c r="USI1" s="2"/>
      <c r="USJ1" s="2"/>
      <c r="USK1" s="2"/>
      <c r="USL1" s="2"/>
      <c r="USM1" s="2"/>
      <c r="USN1" s="2"/>
      <c r="USO1" s="2"/>
      <c r="USP1" s="2"/>
      <c r="USQ1" s="2"/>
      <c r="USR1" s="2"/>
      <c r="USS1" s="2"/>
      <c r="UST1" s="2"/>
      <c r="USU1" s="2"/>
      <c r="USV1" s="2"/>
      <c r="USW1" s="2"/>
      <c r="USX1" s="2"/>
      <c r="USY1" s="2"/>
      <c r="USZ1" s="2"/>
      <c r="UTA1" s="2"/>
      <c r="UTB1" s="2"/>
      <c r="UTC1" s="2"/>
      <c r="UTD1" s="2"/>
      <c r="UTE1" s="2"/>
      <c r="UTF1" s="2"/>
      <c r="UTG1" s="2"/>
      <c r="UTH1" s="2"/>
      <c r="UTI1" s="2"/>
      <c r="UTJ1" s="2"/>
      <c r="UTK1" s="2"/>
      <c r="UTL1" s="2"/>
      <c r="UTM1" s="2"/>
      <c r="UTN1" s="2"/>
      <c r="UTO1" s="2"/>
      <c r="UTP1" s="2"/>
      <c r="UTQ1" s="2"/>
      <c r="UTR1" s="2"/>
      <c r="UTS1" s="2"/>
      <c r="UTT1" s="2"/>
      <c r="UTU1" s="2"/>
      <c r="UTV1" s="2"/>
      <c r="UTW1" s="2"/>
      <c r="UTX1" s="2"/>
      <c r="UTY1" s="2"/>
      <c r="UTZ1" s="2"/>
      <c r="UUA1" s="2"/>
      <c r="UUB1" s="2"/>
      <c r="UUC1" s="2"/>
      <c r="UUD1" s="2"/>
      <c r="UUE1" s="2"/>
      <c r="UUF1" s="2"/>
      <c r="UUG1" s="2"/>
      <c r="UUH1" s="2"/>
      <c r="UUI1" s="2"/>
      <c r="UUJ1" s="2"/>
      <c r="UUK1" s="2"/>
      <c r="UUL1" s="2"/>
      <c r="UUM1" s="2"/>
      <c r="UUN1" s="2"/>
      <c r="UUO1" s="2"/>
      <c r="UUP1" s="2"/>
      <c r="UUQ1" s="2"/>
      <c r="UUR1" s="2"/>
      <c r="UUS1" s="2"/>
      <c r="UUT1" s="2"/>
      <c r="UUU1" s="2"/>
      <c r="UUV1" s="2"/>
      <c r="UUW1" s="2"/>
      <c r="UUX1" s="2"/>
      <c r="UUY1" s="2"/>
      <c r="UUZ1" s="2"/>
      <c r="UVA1" s="2"/>
      <c r="UVB1" s="2"/>
      <c r="UVC1" s="2"/>
      <c r="UVD1" s="2"/>
      <c r="UVE1" s="2"/>
      <c r="UVF1" s="2"/>
      <c r="UVG1" s="2"/>
      <c r="UVH1" s="2"/>
      <c r="UVI1" s="2"/>
      <c r="UVJ1" s="2"/>
      <c r="UVK1" s="2"/>
      <c r="UVL1" s="2"/>
      <c r="UVM1" s="2"/>
      <c r="UVN1" s="2"/>
      <c r="UVO1" s="2"/>
      <c r="UVP1" s="2"/>
      <c r="UVQ1" s="2"/>
      <c r="UVR1" s="2"/>
      <c r="UVS1" s="2"/>
      <c r="UVT1" s="2"/>
      <c r="UVU1" s="2"/>
      <c r="UVV1" s="2"/>
      <c r="UVW1" s="2"/>
      <c r="UVX1" s="2"/>
      <c r="UVY1" s="2"/>
      <c r="UVZ1" s="2"/>
      <c r="UWA1" s="2"/>
      <c r="UWB1" s="2"/>
      <c r="UWC1" s="2"/>
      <c r="UWD1" s="2"/>
      <c r="UWE1" s="2"/>
      <c r="UWF1" s="2"/>
      <c r="UWG1" s="2"/>
      <c r="UWH1" s="2"/>
      <c r="UWI1" s="2"/>
      <c r="UWJ1" s="2"/>
      <c r="UWK1" s="2"/>
      <c r="UWL1" s="2"/>
      <c r="UWM1" s="2"/>
      <c r="UWN1" s="2"/>
      <c r="UWO1" s="2"/>
      <c r="UWP1" s="2"/>
      <c r="UWQ1" s="2"/>
      <c r="UWR1" s="2"/>
      <c r="UWS1" s="2"/>
      <c r="UWT1" s="2"/>
      <c r="UWU1" s="2"/>
      <c r="UWV1" s="2"/>
      <c r="UWW1" s="2"/>
      <c r="UWX1" s="2"/>
      <c r="UWY1" s="2"/>
      <c r="UWZ1" s="2"/>
      <c r="UXA1" s="2"/>
      <c r="UXB1" s="2"/>
      <c r="UXC1" s="2"/>
      <c r="UXD1" s="2"/>
      <c r="UXE1" s="2"/>
      <c r="UXF1" s="2"/>
      <c r="UXG1" s="2"/>
      <c r="UXH1" s="2"/>
      <c r="UXI1" s="2"/>
      <c r="UXJ1" s="2"/>
      <c r="UXK1" s="2"/>
      <c r="UXL1" s="2"/>
      <c r="UXM1" s="2"/>
      <c r="UXN1" s="2"/>
      <c r="UXO1" s="2"/>
      <c r="UXP1" s="2"/>
      <c r="UXQ1" s="2"/>
      <c r="UXR1" s="2"/>
      <c r="UXS1" s="2"/>
      <c r="UXT1" s="2"/>
      <c r="UXU1" s="2"/>
      <c r="UXV1" s="2"/>
      <c r="UXW1" s="2"/>
      <c r="UXX1" s="2"/>
      <c r="UXY1" s="2"/>
      <c r="UXZ1" s="2"/>
      <c r="UYA1" s="2"/>
      <c r="UYB1" s="2"/>
      <c r="UYC1" s="2"/>
      <c r="UYD1" s="2"/>
      <c r="UYE1" s="2"/>
      <c r="UYF1" s="2"/>
      <c r="UYG1" s="2"/>
      <c r="UYH1" s="2"/>
      <c r="UYI1" s="2"/>
      <c r="UYJ1" s="2"/>
      <c r="UYK1" s="2"/>
      <c r="UYL1" s="2"/>
      <c r="UYM1" s="2"/>
      <c r="UYN1" s="2"/>
      <c r="UYO1" s="2"/>
      <c r="UYP1" s="2"/>
      <c r="UYQ1" s="2"/>
      <c r="UYR1" s="2"/>
      <c r="UYS1" s="2"/>
      <c r="UYT1" s="2"/>
      <c r="UYU1" s="2"/>
      <c r="UYV1" s="2"/>
      <c r="UYW1" s="2"/>
      <c r="UYX1" s="2"/>
      <c r="UYY1" s="2"/>
      <c r="UYZ1" s="2"/>
      <c r="UZA1" s="2"/>
      <c r="UZB1" s="2"/>
      <c r="UZC1" s="2"/>
      <c r="UZD1" s="2"/>
      <c r="UZE1" s="2"/>
      <c r="UZF1" s="2"/>
      <c r="UZG1" s="2"/>
      <c r="UZH1" s="2"/>
      <c r="UZI1" s="2"/>
      <c r="UZJ1" s="2"/>
      <c r="UZK1" s="2"/>
      <c r="UZL1" s="2"/>
      <c r="UZM1" s="2"/>
      <c r="UZN1" s="2"/>
      <c r="UZO1" s="2"/>
      <c r="UZP1" s="2"/>
      <c r="UZQ1" s="2"/>
      <c r="UZR1" s="2"/>
      <c r="UZS1" s="2"/>
      <c r="UZT1" s="2"/>
      <c r="UZU1" s="2"/>
      <c r="UZV1" s="2"/>
      <c r="UZW1" s="2"/>
      <c r="UZX1" s="2"/>
      <c r="UZY1" s="2"/>
      <c r="UZZ1" s="2"/>
      <c r="VAA1" s="2"/>
      <c r="VAB1" s="2"/>
      <c r="VAC1" s="2"/>
      <c r="VAD1" s="2"/>
      <c r="VAE1" s="2"/>
      <c r="VAF1" s="2"/>
      <c r="VAG1" s="2"/>
      <c r="VAH1" s="2"/>
      <c r="VAI1" s="2"/>
      <c r="VAJ1" s="2"/>
      <c r="VAK1" s="2"/>
      <c r="VAL1" s="2"/>
      <c r="VAM1" s="2"/>
      <c r="VAN1" s="2"/>
      <c r="VAO1" s="2"/>
      <c r="VAP1" s="2"/>
      <c r="VAQ1" s="2"/>
      <c r="VAR1" s="2"/>
      <c r="VAS1" s="2"/>
      <c r="VAT1" s="2"/>
      <c r="VAU1" s="2"/>
      <c r="VAV1" s="2"/>
      <c r="VAW1" s="2"/>
      <c r="VAX1" s="2"/>
      <c r="VAY1" s="2"/>
      <c r="VAZ1" s="2"/>
      <c r="VBA1" s="2"/>
      <c r="VBB1" s="2"/>
      <c r="VBC1" s="2"/>
      <c r="VBD1" s="2"/>
      <c r="VBE1" s="2"/>
      <c r="VBF1" s="2"/>
      <c r="VBG1" s="2"/>
      <c r="VBH1" s="2"/>
      <c r="VBI1" s="2"/>
      <c r="VBJ1" s="2"/>
      <c r="VBK1" s="2"/>
      <c r="VBL1" s="2"/>
      <c r="VBM1" s="2"/>
      <c r="VBN1" s="2"/>
      <c r="VBO1" s="2"/>
      <c r="VBP1" s="2"/>
      <c r="VBQ1" s="2"/>
      <c r="VBR1" s="2"/>
      <c r="VBS1" s="2"/>
      <c r="VBT1" s="2"/>
      <c r="VBU1" s="2"/>
      <c r="VBV1" s="2"/>
      <c r="VBW1" s="2"/>
      <c r="VBX1" s="2"/>
      <c r="VBY1" s="2"/>
      <c r="VBZ1" s="2"/>
      <c r="VCA1" s="2"/>
      <c r="VCB1" s="2"/>
      <c r="VCC1" s="2"/>
      <c r="VCD1" s="2"/>
      <c r="VCE1" s="2"/>
      <c r="VCF1" s="2"/>
      <c r="VCG1" s="2"/>
      <c r="VCH1" s="2"/>
      <c r="VCI1" s="2"/>
      <c r="VCJ1" s="2"/>
      <c r="VCK1" s="2"/>
      <c r="VCL1" s="2"/>
      <c r="VCM1" s="2"/>
      <c r="VCN1" s="2"/>
      <c r="VCO1" s="2"/>
      <c r="VCP1" s="2"/>
      <c r="VCQ1" s="2"/>
      <c r="VCR1" s="2"/>
      <c r="VCS1" s="2"/>
      <c r="VCT1" s="2"/>
      <c r="VCU1" s="2"/>
      <c r="VCV1" s="2"/>
      <c r="VCW1" s="2"/>
      <c r="VCX1" s="2"/>
      <c r="VCY1" s="2"/>
      <c r="VCZ1" s="2"/>
      <c r="VDA1" s="2"/>
      <c r="VDB1" s="2"/>
      <c r="VDC1" s="2"/>
      <c r="VDD1" s="2"/>
      <c r="VDE1" s="2"/>
      <c r="VDF1" s="2"/>
      <c r="VDG1" s="2"/>
      <c r="VDH1" s="2"/>
      <c r="VDI1" s="2"/>
      <c r="VDJ1" s="2"/>
      <c r="VDK1" s="2"/>
      <c r="VDL1" s="2"/>
      <c r="VDM1" s="2"/>
      <c r="VDN1" s="2"/>
      <c r="VDO1" s="2"/>
      <c r="VDP1" s="2"/>
      <c r="VDQ1" s="2"/>
      <c r="VDR1" s="2"/>
      <c r="VDS1" s="2"/>
      <c r="VDT1" s="2"/>
      <c r="VDU1" s="2"/>
      <c r="VDV1" s="2"/>
      <c r="VDW1" s="2"/>
      <c r="VDX1" s="2"/>
      <c r="VDY1" s="2"/>
      <c r="VDZ1" s="2"/>
      <c r="VEA1" s="2"/>
      <c r="VEB1" s="2"/>
      <c r="VEC1" s="2"/>
      <c r="VED1" s="2"/>
      <c r="VEE1" s="2"/>
      <c r="VEF1" s="2"/>
      <c r="VEG1" s="2"/>
      <c r="VEH1" s="2"/>
      <c r="VEI1" s="2"/>
      <c r="VEJ1" s="2"/>
      <c r="VEK1" s="2"/>
      <c r="VEL1" s="2"/>
      <c r="VEM1" s="2"/>
      <c r="VEN1" s="2"/>
      <c r="VEO1" s="2"/>
      <c r="VEP1" s="2"/>
      <c r="VEQ1" s="2"/>
      <c r="VER1" s="2"/>
      <c r="VES1" s="2"/>
      <c r="VET1" s="2"/>
      <c r="VEU1" s="2"/>
      <c r="VEV1" s="2"/>
      <c r="VEW1" s="2"/>
      <c r="VEX1" s="2"/>
      <c r="VEY1" s="2"/>
      <c r="VEZ1" s="2"/>
      <c r="VFA1" s="2"/>
      <c r="VFB1" s="2"/>
      <c r="VFC1" s="2"/>
      <c r="VFD1" s="2"/>
      <c r="VFE1" s="2"/>
      <c r="VFF1" s="2"/>
      <c r="VFG1" s="2"/>
      <c r="VFH1" s="2"/>
      <c r="VFI1" s="2"/>
      <c r="VFJ1" s="2"/>
      <c r="VFK1" s="2"/>
      <c r="VFL1" s="2"/>
      <c r="VFM1" s="2"/>
      <c r="VFN1" s="2"/>
      <c r="VFO1" s="2"/>
      <c r="VFP1" s="2"/>
      <c r="VFQ1" s="2"/>
      <c r="VFR1" s="2"/>
      <c r="VFS1" s="2"/>
      <c r="VFT1" s="2"/>
      <c r="VFU1" s="2"/>
      <c r="VFV1" s="2"/>
      <c r="VFW1" s="2"/>
      <c r="VFX1" s="2"/>
      <c r="VFY1" s="2"/>
      <c r="VFZ1" s="2"/>
      <c r="VGA1" s="2"/>
      <c r="VGB1" s="2"/>
      <c r="VGC1" s="2"/>
      <c r="VGD1" s="2"/>
      <c r="VGE1" s="2"/>
      <c r="VGF1" s="2"/>
      <c r="VGG1" s="2"/>
      <c r="VGH1" s="2"/>
      <c r="VGI1" s="2"/>
      <c r="VGJ1" s="2"/>
      <c r="VGK1" s="2"/>
      <c r="VGL1" s="2"/>
      <c r="VGM1" s="2"/>
      <c r="VGN1" s="2"/>
      <c r="VGO1" s="2"/>
      <c r="VGP1" s="2"/>
      <c r="VGQ1" s="2"/>
      <c r="VGR1" s="2"/>
      <c r="VGS1" s="2"/>
      <c r="VGT1" s="2"/>
      <c r="VGU1" s="2"/>
      <c r="VGV1" s="2"/>
      <c r="VGW1" s="2"/>
      <c r="VGX1" s="2"/>
      <c r="VGY1" s="2"/>
      <c r="VGZ1" s="2"/>
      <c r="VHA1" s="2"/>
      <c r="VHB1" s="2"/>
      <c r="VHC1" s="2"/>
      <c r="VHD1" s="2"/>
      <c r="VHE1" s="2"/>
      <c r="VHF1" s="2"/>
      <c r="VHG1" s="2"/>
      <c r="VHH1" s="2"/>
      <c r="VHI1" s="2"/>
      <c r="VHJ1" s="2"/>
      <c r="VHK1" s="2"/>
      <c r="VHL1" s="2"/>
      <c r="VHM1" s="2"/>
      <c r="VHN1" s="2"/>
      <c r="VHO1" s="2"/>
      <c r="VHP1" s="2"/>
      <c r="VHQ1" s="2"/>
      <c r="VHR1" s="2"/>
      <c r="VHS1" s="2"/>
      <c r="VHT1" s="2"/>
      <c r="VHU1" s="2"/>
      <c r="VHV1" s="2"/>
      <c r="VHW1" s="2"/>
      <c r="VHX1" s="2"/>
      <c r="VHY1" s="2"/>
      <c r="VHZ1" s="2"/>
      <c r="VIA1" s="2"/>
      <c r="VIB1" s="2"/>
      <c r="VIC1" s="2"/>
      <c r="VID1" s="2"/>
      <c r="VIE1" s="2"/>
      <c r="VIF1" s="2"/>
      <c r="VIG1" s="2"/>
      <c r="VIH1" s="2"/>
      <c r="VII1" s="2"/>
      <c r="VIJ1" s="2"/>
      <c r="VIK1" s="2"/>
      <c r="VIL1" s="2"/>
      <c r="VIM1" s="2"/>
      <c r="VIN1" s="2"/>
      <c r="VIO1" s="2"/>
      <c r="VIP1" s="2"/>
      <c r="VIQ1" s="2"/>
      <c r="VIR1" s="2"/>
      <c r="VIS1" s="2"/>
      <c r="VIT1" s="2"/>
      <c r="VIU1" s="2"/>
      <c r="VIV1" s="2"/>
      <c r="VIW1" s="2"/>
      <c r="VIX1" s="2"/>
      <c r="VIY1" s="2"/>
      <c r="VIZ1" s="2"/>
      <c r="VJA1" s="2"/>
      <c r="VJB1" s="2"/>
      <c r="VJC1" s="2"/>
      <c r="VJD1" s="2"/>
      <c r="VJE1" s="2"/>
      <c r="VJF1" s="2"/>
      <c r="VJG1" s="2"/>
      <c r="VJH1" s="2"/>
      <c r="VJI1" s="2"/>
      <c r="VJJ1" s="2"/>
      <c r="VJK1" s="2"/>
      <c r="VJL1" s="2"/>
      <c r="VJM1" s="2"/>
      <c r="VJN1" s="2"/>
      <c r="VJO1" s="2"/>
      <c r="VJP1" s="2"/>
      <c r="VJQ1" s="2"/>
      <c r="VJR1" s="2"/>
      <c r="VJS1" s="2"/>
      <c r="VJT1" s="2"/>
      <c r="VJU1" s="2"/>
      <c r="VJV1" s="2"/>
      <c r="VJW1" s="2"/>
      <c r="VJX1" s="2"/>
      <c r="VJY1" s="2"/>
      <c r="VJZ1" s="2"/>
      <c r="VKA1" s="2"/>
      <c r="VKB1" s="2"/>
      <c r="VKC1" s="2"/>
      <c r="VKD1" s="2"/>
      <c r="VKE1" s="2"/>
      <c r="VKF1" s="2"/>
      <c r="VKG1" s="2"/>
      <c r="VKH1" s="2"/>
      <c r="VKI1" s="2"/>
      <c r="VKJ1" s="2"/>
      <c r="VKK1" s="2"/>
      <c r="VKL1" s="2"/>
      <c r="VKM1" s="2"/>
      <c r="VKN1" s="2"/>
      <c r="VKO1" s="2"/>
      <c r="VKP1" s="2"/>
      <c r="VKQ1" s="2"/>
      <c r="VKR1" s="2"/>
      <c r="VKS1" s="2"/>
      <c r="VKT1" s="2"/>
      <c r="VKU1" s="2"/>
      <c r="VKV1" s="2"/>
      <c r="VKW1" s="2"/>
      <c r="VKX1" s="2"/>
      <c r="VKY1" s="2"/>
      <c r="VKZ1" s="2"/>
      <c r="VLA1" s="2"/>
      <c r="VLB1" s="2"/>
      <c r="VLC1" s="2"/>
      <c r="VLD1" s="2"/>
      <c r="VLE1" s="2"/>
      <c r="VLF1" s="2"/>
      <c r="VLG1" s="2"/>
      <c r="VLH1" s="2"/>
      <c r="VLI1" s="2"/>
      <c r="VLJ1" s="2"/>
      <c r="VLK1" s="2"/>
      <c r="VLL1" s="2"/>
      <c r="VLM1" s="2"/>
      <c r="VLN1" s="2"/>
      <c r="VLO1" s="2"/>
      <c r="VLP1" s="2"/>
      <c r="VLQ1" s="2"/>
      <c r="VLR1" s="2"/>
      <c r="VLS1" s="2"/>
      <c r="VLT1" s="2"/>
      <c r="VLU1" s="2"/>
      <c r="VLV1" s="2"/>
      <c r="VLW1" s="2"/>
      <c r="VLX1" s="2"/>
      <c r="VLY1" s="2"/>
      <c r="VLZ1" s="2"/>
      <c r="VMA1" s="2"/>
      <c r="VMB1" s="2"/>
      <c r="VMC1" s="2"/>
      <c r="VMD1" s="2"/>
      <c r="VME1" s="2"/>
      <c r="VMF1" s="2"/>
      <c r="VMG1" s="2"/>
      <c r="VMH1" s="2"/>
      <c r="VMI1" s="2"/>
      <c r="VMJ1" s="2"/>
      <c r="VMK1" s="2"/>
      <c r="VML1" s="2"/>
      <c r="VMM1" s="2"/>
      <c r="VMN1" s="2"/>
      <c r="VMO1" s="2"/>
      <c r="VMP1" s="2"/>
      <c r="VMQ1" s="2"/>
      <c r="VMR1" s="2"/>
      <c r="VMS1" s="2"/>
      <c r="VMT1" s="2"/>
      <c r="VMU1" s="2"/>
      <c r="VMV1" s="2"/>
      <c r="VMW1" s="2"/>
      <c r="VMX1" s="2"/>
      <c r="VMY1" s="2"/>
      <c r="VMZ1" s="2"/>
      <c r="VNA1" s="2"/>
      <c r="VNB1" s="2"/>
      <c r="VNC1" s="2"/>
      <c r="VND1" s="2"/>
      <c r="VNE1" s="2"/>
      <c r="VNF1" s="2"/>
      <c r="VNG1" s="2"/>
      <c r="VNH1" s="2"/>
      <c r="VNI1" s="2"/>
      <c r="VNJ1" s="2"/>
      <c r="VNK1" s="2"/>
      <c r="VNL1" s="2"/>
      <c r="VNM1" s="2"/>
      <c r="VNN1" s="2"/>
      <c r="VNO1" s="2"/>
      <c r="VNP1" s="2"/>
      <c r="VNQ1" s="2"/>
      <c r="VNR1" s="2"/>
      <c r="VNS1" s="2"/>
      <c r="VNT1" s="2"/>
      <c r="VNU1" s="2"/>
      <c r="VNV1" s="2"/>
      <c r="VNW1" s="2"/>
      <c r="VNX1" s="2"/>
      <c r="VNY1" s="2"/>
      <c r="VNZ1" s="2"/>
      <c r="VOA1" s="2"/>
      <c r="VOB1" s="2"/>
      <c r="VOC1" s="2"/>
      <c r="VOD1" s="2"/>
      <c r="VOE1" s="2"/>
      <c r="VOF1" s="2"/>
      <c r="VOG1" s="2"/>
      <c r="VOH1" s="2"/>
      <c r="VOI1" s="2"/>
      <c r="VOJ1" s="2"/>
      <c r="VOK1" s="2"/>
      <c r="VOL1" s="2"/>
      <c r="VOM1" s="2"/>
      <c r="VON1" s="2"/>
      <c r="VOO1" s="2"/>
      <c r="VOP1" s="2"/>
      <c r="VOQ1" s="2"/>
      <c r="VOR1" s="2"/>
      <c r="VOS1" s="2"/>
      <c r="VOT1" s="2"/>
      <c r="VOU1" s="2"/>
      <c r="VOV1" s="2"/>
      <c r="VOW1" s="2"/>
      <c r="VOX1" s="2"/>
      <c r="VOY1" s="2"/>
      <c r="VOZ1" s="2"/>
      <c r="VPA1" s="2"/>
      <c r="VPB1" s="2"/>
      <c r="VPC1" s="2"/>
      <c r="VPD1" s="2"/>
      <c r="VPE1" s="2"/>
      <c r="VPF1" s="2"/>
      <c r="VPG1" s="2"/>
      <c r="VPH1" s="2"/>
      <c r="VPI1" s="2"/>
      <c r="VPJ1" s="2"/>
      <c r="VPK1" s="2"/>
      <c r="VPL1" s="2"/>
      <c r="VPM1" s="2"/>
      <c r="VPN1" s="2"/>
      <c r="VPO1" s="2"/>
      <c r="VPP1" s="2"/>
      <c r="VPQ1" s="2"/>
      <c r="VPR1" s="2"/>
      <c r="VPS1" s="2"/>
      <c r="VPT1" s="2"/>
      <c r="VPU1" s="2"/>
      <c r="VPV1" s="2"/>
      <c r="VPW1" s="2"/>
      <c r="VPX1" s="2"/>
      <c r="VPY1" s="2"/>
      <c r="VPZ1" s="2"/>
      <c r="VQA1" s="2"/>
      <c r="VQB1" s="2"/>
      <c r="VQC1" s="2"/>
      <c r="VQD1" s="2"/>
      <c r="VQE1" s="2"/>
      <c r="VQF1" s="2"/>
      <c r="VQG1" s="2"/>
      <c r="VQH1" s="2"/>
      <c r="VQI1" s="2"/>
      <c r="VQJ1" s="2"/>
      <c r="VQK1" s="2"/>
      <c r="VQL1" s="2"/>
      <c r="VQM1" s="2"/>
      <c r="VQN1" s="2"/>
      <c r="VQO1" s="2"/>
      <c r="VQP1" s="2"/>
      <c r="VQQ1" s="2"/>
      <c r="VQR1" s="2"/>
      <c r="VQS1" s="2"/>
      <c r="VQT1" s="2"/>
      <c r="VQU1" s="2"/>
      <c r="VQV1" s="2"/>
      <c r="VQW1" s="2"/>
      <c r="VQX1" s="2"/>
      <c r="VQY1" s="2"/>
      <c r="VQZ1" s="2"/>
      <c r="VRA1" s="2"/>
      <c r="VRB1" s="2"/>
      <c r="VRC1" s="2"/>
      <c r="VRD1" s="2"/>
      <c r="VRE1" s="2"/>
      <c r="VRF1" s="2"/>
      <c r="VRG1" s="2"/>
      <c r="VRH1" s="2"/>
      <c r="VRI1" s="2"/>
      <c r="VRJ1" s="2"/>
      <c r="VRK1" s="2"/>
      <c r="VRL1" s="2"/>
      <c r="VRM1" s="2"/>
      <c r="VRN1" s="2"/>
      <c r="VRO1" s="2"/>
      <c r="VRP1" s="2"/>
      <c r="VRQ1" s="2"/>
      <c r="VRR1" s="2"/>
      <c r="VRS1" s="2"/>
      <c r="VRT1" s="2"/>
      <c r="VRU1" s="2"/>
      <c r="VRV1" s="2"/>
      <c r="VRW1" s="2"/>
      <c r="VRX1" s="2"/>
      <c r="VRY1" s="2"/>
      <c r="VRZ1" s="2"/>
      <c r="VSA1" s="2"/>
      <c r="VSB1" s="2"/>
      <c r="VSC1" s="2"/>
      <c r="VSD1" s="2"/>
      <c r="VSE1" s="2"/>
      <c r="VSF1" s="2"/>
      <c r="VSG1" s="2"/>
      <c r="VSH1" s="2"/>
      <c r="VSI1" s="2"/>
      <c r="VSJ1" s="2"/>
      <c r="VSK1" s="2"/>
      <c r="VSL1" s="2"/>
      <c r="VSM1" s="2"/>
      <c r="VSN1" s="2"/>
      <c r="VSO1" s="2"/>
      <c r="VSP1" s="2"/>
      <c r="VSQ1" s="2"/>
      <c r="VSR1" s="2"/>
      <c r="VSS1" s="2"/>
      <c r="VST1" s="2"/>
      <c r="VSU1" s="2"/>
      <c r="VSV1" s="2"/>
      <c r="VSW1" s="2"/>
      <c r="VSX1" s="2"/>
      <c r="VSY1" s="2"/>
      <c r="VSZ1" s="2"/>
      <c r="VTA1" s="2"/>
      <c r="VTB1" s="2"/>
      <c r="VTC1" s="2"/>
      <c r="VTD1" s="2"/>
      <c r="VTE1" s="2"/>
      <c r="VTF1" s="2"/>
      <c r="VTG1" s="2"/>
      <c r="VTH1" s="2"/>
      <c r="VTI1" s="2"/>
      <c r="VTJ1" s="2"/>
      <c r="VTK1" s="2"/>
      <c r="VTL1" s="2"/>
      <c r="VTM1" s="2"/>
      <c r="VTN1" s="2"/>
      <c r="VTO1" s="2"/>
      <c r="VTP1" s="2"/>
      <c r="VTQ1" s="2"/>
      <c r="VTR1" s="2"/>
      <c r="VTS1" s="2"/>
      <c r="VTT1" s="2"/>
      <c r="VTU1" s="2"/>
      <c r="VTV1" s="2"/>
      <c r="VTW1" s="2"/>
      <c r="VTX1" s="2"/>
      <c r="VTY1" s="2"/>
      <c r="VTZ1" s="2"/>
      <c r="VUA1" s="2"/>
      <c r="VUB1" s="2"/>
      <c r="VUC1" s="2"/>
      <c r="VUD1" s="2"/>
      <c r="VUE1" s="2"/>
      <c r="VUF1" s="2"/>
      <c r="VUG1" s="2"/>
      <c r="VUH1" s="2"/>
      <c r="VUI1" s="2"/>
      <c r="VUJ1" s="2"/>
      <c r="VUK1" s="2"/>
      <c r="VUL1" s="2"/>
      <c r="VUM1" s="2"/>
      <c r="VUN1" s="2"/>
      <c r="VUO1" s="2"/>
      <c r="VUP1" s="2"/>
      <c r="VUQ1" s="2"/>
      <c r="VUR1" s="2"/>
      <c r="VUS1" s="2"/>
      <c r="VUT1" s="2"/>
      <c r="VUU1" s="2"/>
      <c r="VUV1" s="2"/>
      <c r="VUW1" s="2"/>
      <c r="VUX1" s="2"/>
      <c r="VUY1" s="2"/>
      <c r="VUZ1" s="2"/>
      <c r="VVA1" s="2"/>
      <c r="VVB1" s="2"/>
      <c r="VVC1" s="2"/>
      <c r="VVD1" s="2"/>
      <c r="VVE1" s="2"/>
      <c r="VVF1" s="2"/>
      <c r="VVG1" s="2"/>
      <c r="VVH1" s="2"/>
      <c r="VVI1" s="2"/>
      <c r="VVJ1" s="2"/>
      <c r="VVK1" s="2"/>
      <c r="VVL1" s="2"/>
      <c r="VVM1" s="2"/>
      <c r="VVN1" s="2"/>
      <c r="VVO1" s="2"/>
      <c r="VVP1" s="2"/>
      <c r="VVQ1" s="2"/>
      <c r="VVR1" s="2"/>
      <c r="VVS1" s="2"/>
      <c r="VVT1" s="2"/>
      <c r="VVU1" s="2"/>
      <c r="VVV1" s="2"/>
      <c r="VVW1" s="2"/>
      <c r="VVX1" s="2"/>
      <c r="VVY1" s="2"/>
      <c r="VVZ1" s="2"/>
      <c r="VWA1" s="2"/>
      <c r="VWB1" s="2"/>
      <c r="VWC1" s="2"/>
      <c r="VWD1" s="2"/>
      <c r="VWE1" s="2"/>
      <c r="VWF1" s="2"/>
      <c r="VWG1" s="2"/>
      <c r="VWH1" s="2"/>
      <c r="VWI1" s="2"/>
      <c r="VWJ1" s="2"/>
      <c r="VWK1" s="2"/>
      <c r="VWL1" s="2"/>
      <c r="VWM1" s="2"/>
      <c r="VWN1" s="2"/>
      <c r="VWO1" s="2"/>
      <c r="VWP1" s="2"/>
      <c r="VWQ1" s="2"/>
      <c r="VWR1" s="2"/>
      <c r="VWS1" s="2"/>
      <c r="VWT1" s="2"/>
      <c r="VWU1" s="2"/>
      <c r="VWV1" s="2"/>
      <c r="VWW1" s="2"/>
      <c r="VWX1" s="2"/>
      <c r="VWY1" s="2"/>
      <c r="VWZ1" s="2"/>
      <c r="VXA1" s="2"/>
      <c r="VXB1" s="2"/>
      <c r="VXC1" s="2"/>
      <c r="VXD1" s="2"/>
      <c r="VXE1" s="2"/>
      <c r="VXF1" s="2"/>
      <c r="VXG1" s="2"/>
      <c r="VXH1" s="2"/>
      <c r="VXI1" s="2"/>
      <c r="VXJ1" s="2"/>
      <c r="VXK1" s="2"/>
      <c r="VXL1" s="2"/>
      <c r="VXM1" s="2"/>
      <c r="VXN1" s="2"/>
      <c r="VXO1" s="2"/>
      <c r="VXP1" s="2"/>
      <c r="VXQ1" s="2"/>
      <c r="VXR1" s="2"/>
      <c r="VXS1" s="2"/>
      <c r="VXT1" s="2"/>
      <c r="VXU1" s="2"/>
      <c r="VXV1" s="2"/>
      <c r="VXW1" s="2"/>
      <c r="VXX1" s="2"/>
      <c r="VXY1" s="2"/>
      <c r="VXZ1" s="2"/>
      <c r="VYA1" s="2"/>
      <c r="VYB1" s="2"/>
      <c r="VYC1" s="2"/>
      <c r="VYD1" s="2"/>
      <c r="VYE1" s="2"/>
      <c r="VYF1" s="2"/>
      <c r="VYG1" s="2"/>
      <c r="VYH1" s="2"/>
      <c r="VYI1" s="2"/>
      <c r="VYJ1" s="2"/>
      <c r="VYK1" s="2"/>
      <c r="VYL1" s="2"/>
      <c r="VYM1" s="2"/>
      <c r="VYN1" s="2"/>
      <c r="VYO1" s="2"/>
      <c r="VYP1" s="2"/>
      <c r="VYQ1" s="2"/>
      <c r="VYR1" s="2"/>
      <c r="VYS1" s="2"/>
      <c r="VYT1" s="2"/>
      <c r="VYU1" s="2"/>
      <c r="VYV1" s="2"/>
      <c r="VYW1" s="2"/>
      <c r="VYX1" s="2"/>
      <c r="VYY1" s="2"/>
      <c r="VYZ1" s="2"/>
      <c r="VZA1" s="2"/>
      <c r="VZB1" s="2"/>
      <c r="VZC1" s="2"/>
      <c r="VZD1" s="2"/>
      <c r="VZE1" s="2"/>
      <c r="VZF1" s="2"/>
      <c r="VZG1" s="2"/>
      <c r="VZH1" s="2"/>
      <c r="VZI1" s="2"/>
      <c r="VZJ1" s="2"/>
      <c r="VZK1" s="2"/>
      <c r="VZL1" s="2"/>
      <c r="VZM1" s="2"/>
      <c r="VZN1" s="2"/>
      <c r="VZO1" s="2"/>
      <c r="VZP1" s="2"/>
      <c r="VZQ1" s="2"/>
      <c r="VZR1" s="2"/>
      <c r="VZS1" s="2"/>
      <c r="VZT1" s="2"/>
      <c r="VZU1" s="2"/>
      <c r="VZV1" s="2"/>
      <c r="VZW1" s="2"/>
      <c r="VZX1" s="2"/>
      <c r="VZY1" s="2"/>
      <c r="VZZ1" s="2"/>
      <c r="WAA1" s="2"/>
      <c r="WAB1" s="2"/>
      <c r="WAC1" s="2"/>
      <c r="WAD1" s="2"/>
      <c r="WAE1" s="2"/>
      <c r="WAF1" s="2"/>
      <c r="WAG1" s="2"/>
      <c r="WAH1" s="2"/>
      <c r="WAI1" s="2"/>
      <c r="WAJ1" s="2"/>
      <c r="WAK1" s="2"/>
      <c r="WAL1" s="2"/>
      <c r="WAM1" s="2"/>
      <c r="WAN1" s="2"/>
      <c r="WAO1" s="2"/>
      <c r="WAP1" s="2"/>
      <c r="WAQ1" s="2"/>
      <c r="WAR1" s="2"/>
      <c r="WAS1" s="2"/>
      <c r="WAT1" s="2"/>
      <c r="WAU1" s="2"/>
      <c r="WAV1" s="2"/>
      <c r="WAW1" s="2"/>
      <c r="WAX1" s="2"/>
      <c r="WAY1" s="2"/>
      <c r="WAZ1" s="2"/>
      <c r="WBA1" s="2"/>
      <c r="WBB1" s="2"/>
      <c r="WBC1" s="2"/>
      <c r="WBD1" s="2"/>
      <c r="WBE1" s="2"/>
      <c r="WBF1" s="2"/>
      <c r="WBG1" s="2"/>
      <c r="WBH1" s="2"/>
      <c r="WBI1" s="2"/>
      <c r="WBJ1" s="2"/>
      <c r="WBK1" s="2"/>
      <c r="WBL1" s="2"/>
      <c r="WBM1" s="2"/>
      <c r="WBN1" s="2"/>
      <c r="WBO1" s="2"/>
      <c r="WBP1" s="2"/>
      <c r="WBQ1" s="2"/>
      <c r="WBR1" s="2"/>
      <c r="WBS1" s="2"/>
      <c r="WBT1" s="2"/>
      <c r="WBU1" s="2"/>
      <c r="WBV1" s="2"/>
      <c r="WBW1" s="2"/>
      <c r="WBX1" s="2"/>
      <c r="WBY1" s="2"/>
      <c r="WBZ1" s="2"/>
      <c r="WCA1" s="2"/>
      <c r="WCB1" s="2"/>
      <c r="WCC1" s="2"/>
      <c r="WCD1" s="2"/>
      <c r="WCE1" s="2"/>
      <c r="WCF1" s="2"/>
      <c r="WCG1" s="2"/>
      <c r="WCH1" s="2"/>
      <c r="WCI1" s="2"/>
      <c r="WCJ1" s="2"/>
      <c r="WCK1" s="2"/>
      <c r="WCL1" s="2"/>
      <c r="WCM1" s="2"/>
      <c r="WCN1" s="2"/>
      <c r="WCO1" s="2"/>
      <c r="WCP1" s="2"/>
      <c r="WCQ1" s="2"/>
      <c r="WCR1" s="2"/>
      <c r="WCS1" s="2"/>
      <c r="WCT1" s="2"/>
      <c r="WCU1" s="2"/>
      <c r="WCV1" s="2"/>
      <c r="WCW1" s="2"/>
      <c r="WCX1" s="2"/>
      <c r="WCY1" s="2"/>
      <c r="WCZ1" s="2"/>
      <c r="WDA1" s="2"/>
      <c r="WDB1" s="2"/>
      <c r="WDC1" s="2"/>
      <c r="WDD1" s="2"/>
      <c r="WDE1" s="2"/>
      <c r="WDF1" s="2"/>
      <c r="WDG1" s="2"/>
      <c r="WDH1" s="2"/>
      <c r="WDI1" s="2"/>
      <c r="WDJ1" s="2"/>
      <c r="WDK1" s="2"/>
      <c r="WDL1" s="2"/>
      <c r="WDM1" s="2"/>
      <c r="WDN1" s="2"/>
      <c r="WDO1" s="2"/>
      <c r="WDP1" s="2"/>
      <c r="WDQ1" s="2"/>
      <c r="WDR1" s="2"/>
      <c r="WDS1" s="2"/>
      <c r="WDT1" s="2"/>
      <c r="WDU1" s="2"/>
      <c r="WDV1" s="2"/>
      <c r="WDW1" s="2"/>
      <c r="WDX1" s="2"/>
      <c r="WDY1" s="2"/>
      <c r="WDZ1" s="2"/>
      <c r="WEA1" s="2"/>
      <c r="WEB1" s="2"/>
      <c r="WEC1" s="2"/>
      <c r="WED1" s="2"/>
      <c r="WEE1" s="2"/>
      <c r="WEF1" s="2"/>
      <c r="WEG1" s="2"/>
      <c r="WEH1" s="2"/>
      <c r="WEI1" s="2"/>
      <c r="WEJ1" s="2"/>
      <c r="WEK1" s="2"/>
      <c r="WEL1" s="2"/>
      <c r="WEM1" s="2"/>
      <c r="WEN1" s="2"/>
      <c r="WEO1" s="2"/>
      <c r="WEP1" s="2"/>
      <c r="WEQ1" s="2"/>
      <c r="WER1" s="2"/>
      <c r="WES1" s="2"/>
      <c r="WET1" s="2"/>
      <c r="WEU1" s="2"/>
      <c r="WEV1" s="2"/>
      <c r="WEW1" s="2"/>
      <c r="WEX1" s="2"/>
      <c r="WEY1" s="2"/>
      <c r="WEZ1" s="2"/>
      <c r="WFA1" s="2"/>
      <c r="WFB1" s="2"/>
      <c r="WFC1" s="2"/>
      <c r="WFD1" s="2"/>
      <c r="WFE1" s="2"/>
      <c r="WFF1" s="2"/>
      <c r="WFG1" s="2"/>
      <c r="WFH1" s="2"/>
      <c r="WFI1" s="2"/>
      <c r="WFJ1" s="2"/>
      <c r="WFK1" s="2"/>
      <c r="WFL1" s="2"/>
      <c r="WFM1" s="2"/>
      <c r="WFN1" s="2"/>
      <c r="WFO1" s="2"/>
      <c r="WFP1" s="2"/>
      <c r="WFQ1" s="2"/>
      <c r="WFR1" s="2"/>
      <c r="WFS1" s="2"/>
      <c r="WFT1" s="2"/>
      <c r="WFU1" s="2"/>
      <c r="WFV1" s="2"/>
      <c r="WFW1" s="2"/>
      <c r="WFX1" s="2"/>
      <c r="WFY1" s="2"/>
      <c r="WFZ1" s="2"/>
      <c r="WGA1" s="2"/>
      <c r="WGB1" s="2"/>
      <c r="WGC1" s="2"/>
      <c r="WGD1" s="2"/>
      <c r="WGE1" s="2"/>
      <c r="WGF1" s="2"/>
      <c r="WGG1" s="2"/>
      <c r="WGH1" s="2"/>
      <c r="WGI1" s="2"/>
      <c r="WGJ1" s="2"/>
      <c r="WGK1" s="2"/>
      <c r="WGL1" s="2"/>
      <c r="WGM1" s="2"/>
      <c r="WGN1" s="2"/>
      <c r="WGO1" s="2"/>
      <c r="WGP1" s="2"/>
      <c r="WGQ1" s="2"/>
      <c r="WGR1" s="2"/>
      <c r="WGS1" s="2"/>
      <c r="WGT1" s="2"/>
      <c r="WGU1" s="2"/>
      <c r="WGV1" s="2"/>
      <c r="WGW1" s="2"/>
      <c r="WGX1" s="2"/>
      <c r="WGY1" s="2"/>
      <c r="WGZ1" s="2"/>
      <c r="WHA1" s="2"/>
      <c r="WHB1" s="2"/>
      <c r="WHC1" s="2"/>
      <c r="WHD1" s="2"/>
      <c r="WHE1" s="2"/>
      <c r="WHF1" s="2"/>
      <c r="WHG1" s="2"/>
      <c r="WHH1" s="2"/>
      <c r="WHI1" s="2"/>
      <c r="WHJ1" s="2"/>
      <c r="WHK1" s="2"/>
      <c r="WHL1" s="2"/>
      <c r="WHM1" s="2"/>
      <c r="WHN1" s="2"/>
      <c r="WHO1" s="2"/>
      <c r="WHP1" s="2"/>
      <c r="WHQ1" s="2"/>
      <c r="WHR1" s="2"/>
      <c r="WHS1" s="2"/>
      <c r="WHT1" s="2"/>
      <c r="WHU1" s="2"/>
      <c r="WHV1" s="2"/>
      <c r="WHW1" s="2"/>
      <c r="WHX1" s="2"/>
      <c r="WHY1" s="2"/>
      <c r="WHZ1" s="2"/>
      <c r="WIA1" s="2"/>
      <c r="WIB1" s="2"/>
      <c r="WIC1" s="2"/>
      <c r="WID1" s="2"/>
      <c r="WIE1" s="2"/>
      <c r="WIF1" s="2"/>
      <c r="WIG1" s="2"/>
      <c r="WIH1" s="2"/>
      <c r="WII1" s="2"/>
      <c r="WIJ1" s="2"/>
      <c r="WIK1" s="2"/>
      <c r="WIL1" s="2"/>
      <c r="WIM1" s="2"/>
      <c r="WIN1" s="2"/>
      <c r="WIO1" s="2"/>
      <c r="WIP1" s="2"/>
      <c r="WIQ1" s="2"/>
      <c r="WIR1" s="2"/>
      <c r="WIS1" s="2"/>
      <c r="WIT1" s="2"/>
      <c r="WIU1" s="2"/>
      <c r="WIV1" s="2"/>
      <c r="WIW1" s="2"/>
      <c r="WIX1" s="2"/>
      <c r="WIY1" s="2"/>
      <c r="WIZ1" s="2"/>
      <c r="WJA1" s="2"/>
      <c r="WJB1" s="2"/>
      <c r="WJC1" s="2"/>
      <c r="WJD1" s="2"/>
      <c r="WJE1" s="2"/>
      <c r="WJF1" s="2"/>
      <c r="WJG1" s="2"/>
      <c r="WJH1" s="2"/>
      <c r="WJI1" s="2"/>
      <c r="WJJ1" s="2"/>
      <c r="WJK1" s="2"/>
      <c r="WJL1" s="2"/>
      <c r="WJM1" s="2"/>
      <c r="WJN1" s="2"/>
      <c r="WJO1" s="2"/>
      <c r="WJP1" s="2"/>
      <c r="WJQ1" s="2"/>
      <c r="WJR1" s="2"/>
      <c r="WJS1" s="2"/>
      <c r="WJT1" s="2"/>
      <c r="WJU1" s="2"/>
      <c r="WJV1" s="2"/>
      <c r="WJW1" s="2"/>
      <c r="WJX1" s="2"/>
      <c r="WJY1" s="2"/>
      <c r="WJZ1" s="2"/>
      <c r="WKA1" s="2"/>
      <c r="WKB1" s="2"/>
      <c r="WKC1" s="2"/>
      <c r="WKD1" s="2"/>
      <c r="WKE1" s="2"/>
      <c r="WKF1" s="2"/>
      <c r="WKG1" s="2"/>
      <c r="WKH1" s="2"/>
      <c r="WKI1" s="2"/>
      <c r="WKJ1" s="2"/>
      <c r="WKK1" s="2"/>
      <c r="WKL1" s="2"/>
      <c r="WKM1" s="2"/>
      <c r="WKN1" s="2"/>
      <c r="WKO1" s="2"/>
      <c r="WKP1" s="2"/>
      <c r="WKQ1" s="2"/>
      <c r="WKR1" s="2"/>
      <c r="WKS1" s="2"/>
      <c r="WKT1" s="2"/>
      <c r="WKU1" s="2"/>
      <c r="WKV1" s="2"/>
      <c r="WKW1" s="2"/>
      <c r="WKX1" s="2"/>
      <c r="WKY1" s="2"/>
      <c r="WKZ1" s="2"/>
      <c r="WLA1" s="2"/>
      <c r="WLB1" s="2"/>
      <c r="WLC1" s="2"/>
      <c r="WLD1" s="2"/>
      <c r="WLE1" s="2"/>
      <c r="WLF1" s="2"/>
      <c r="WLG1" s="2"/>
      <c r="WLH1" s="2"/>
      <c r="WLI1" s="2"/>
      <c r="WLJ1" s="2"/>
      <c r="WLK1" s="2"/>
      <c r="WLL1" s="2"/>
      <c r="WLM1" s="2"/>
      <c r="WLN1" s="2"/>
      <c r="WLO1" s="2"/>
      <c r="WLP1" s="2"/>
      <c r="WLQ1" s="2"/>
      <c r="WLR1" s="2"/>
      <c r="WLS1" s="2"/>
      <c r="WLT1" s="2"/>
      <c r="WLU1" s="2"/>
      <c r="WLV1" s="2"/>
      <c r="WLW1" s="2"/>
      <c r="WLX1" s="2"/>
      <c r="WLY1" s="2"/>
      <c r="WLZ1" s="2"/>
      <c r="WMA1" s="2"/>
      <c r="WMB1" s="2"/>
      <c r="WMC1" s="2"/>
      <c r="WMD1" s="2"/>
      <c r="WME1" s="2"/>
      <c r="WMF1" s="2"/>
      <c r="WMG1" s="2"/>
      <c r="WMH1" s="2"/>
      <c r="WMI1" s="2"/>
      <c r="WMJ1" s="2"/>
      <c r="WMK1" s="2"/>
      <c r="WML1" s="2"/>
      <c r="WMM1" s="2"/>
      <c r="WMN1" s="2"/>
      <c r="WMO1" s="2"/>
      <c r="WMP1" s="2"/>
      <c r="WMQ1" s="2"/>
      <c r="WMR1" s="2"/>
      <c r="WMS1" s="2"/>
      <c r="WMT1" s="2"/>
      <c r="WMU1" s="2"/>
      <c r="WMV1" s="2"/>
      <c r="WMW1" s="2"/>
      <c r="WMX1" s="2"/>
      <c r="WMY1" s="2"/>
      <c r="WMZ1" s="2"/>
      <c r="WNA1" s="2"/>
      <c r="WNB1" s="2"/>
      <c r="WNC1" s="2"/>
      <c r="WND1" s="2"/>
      <c r="WNE1" s="2"/>
      <c r="WNF1" s="2"/>
      <c r="WNG1" s="2"/>
      <c r="WNH1" s="2"/>
      <c r="WNI1" s="2"/>
      <c r="WNJ1" s="2"/>
      <c r="WNK1" s="2"/>
      <c r="WNL1" s="2"/>
      <c r="WNM1" s="2"/>
      <c r="WNN1" s="2"/>
      <c r="WNO1" s="2"/>
      <c r="WNP1" s="2"/>
      <c r="WNQ1" s="2"/>
      <c r="WNR1" s="2"/>
      <c r="WNS1" s="2"/>
      <c r="WNT1" s="2"/>
      <c r="WNU1" s="2"/>
      <c r="WNV1" s="2"/>
      <c r="WNW1" s="2"/>
      <c r="WNX1" s="2"/>
      <c r="WNY1" s="2"/>
      <c r="WNZ1" s="2"/>
      <c r="WOA1" s="2"/>
      <c r="WOB1" s="2"/>
      <c r="WOC1" s="2"/>
      <c r="WOD1" s="2"/>
      <c r="WOE1" s="2"/>
      <c r="WOF1" s="2"/>
      <c r="WOG1" s="2"/>
      <c r="WOH1" s="2"/>
      <c r="WOI1" s="2"/>
      <c r="WOJ1" s="2"/>
      <c r="WOK1" s="2"/>
      <c r="WOL1" s="2"/>
      <c r="WOM1" s="2"/>
      <c r="WON1" s="2"/>
      <c r="WOO1" s="2"/>
      <c r="WOP1" s="2"/>
      <c r="WOQ1" s="2"/>
      <c r="WOR1" s="2"/>
      <c r="WOS1" s="2"/>
      <c r="WOT1" s="2"/>
      <c r="WOU1" s="2"/>
      <c r="WOV1" s="2"/>
      <c r="WOW1" s="2"/>
      <c r="WOX1" s="2"/>
      <c r="WOY1" s="2"/>
      <c r="WOZ1" s="2"/>
      <c r="WPA1" s="2"/>
      <c r="WPB1" s="2"/>
      <c r="WPC1" s="2"/>
      <c r="WPD1" s="2"/>
      <c r="WPE1" s="2"/>
      <c r="WPF1" s="2"/>
      <c r="WPG1" s="2"/>
      <c r="WPH1" s="2"/>
      <c r="WPI1" s="2"/>
      <c r="WPJ1" s="2"/>
      <c r="WPK1" s="2"/>
      <c r="WPL1" s="2"/>
      <c r="WPM1" s="2"/>
      <c r="WPN1" s="2"/>
      <c r="WPO1" s="2"/>
      <c r="WPP1" s="2"/>
      <c r="WPQ1" s="2"/>
      <c r="WPR1" s="2"/>
      <c r="WPS1" s="2"/>
      <c r="WPT1" s="2"/>
      <c r="WPU1" s="2"/>
      <c r="WPV1" s="2"/>
      <c r="WPW1" s="2"/>
      <c r="WPX1" s="2"/>
      <c r="WPY1" s="2"/>
      <c r="WPZ1" s="2"/>
      <c r="WQA1" s="2"/>
      <c r="WQB1" s="2"/>
      <c r="WQC1" s="2"/>
      <c r="WQD1" s="2"/>
      <c r="WQE1" s="2"/>
      <c r="WQF1" s="2"/>
      <c r="WQG1" s="2"/>
      <c r="WQH1" s="2"/>
      <c r="WQI1" s="2"/>
      <c r="WQJ1" s="2"/>
      <c r="WQK1" s="2"/>
      <c r="WQL1" s="2"/>
      <c r="WQM1" s="2"/>
      <c r="WQN1" s="2"/>
      <c r="WQO1" s="2"/>
      <c r="WQP1" s="2"/>
      <c r="WQQ1" s="2"/>
      <c r="WQR1" s="2"/>
      <c r="WQS1" s="2"/>
      <c r="WQT1" s="2"/>
      <c r="WQU1" s="2"/>
      <c r="WQV1" s="2"/>
      <c r="WQW1" s="2"/>
      <c r="WQX1" s="2"/>
      <c r="WQY1" s="2"/>
      <c r="WQZ1" s="2"/>
      <c r="WRA1" s="2"/>
      <c r="WRB1" s="2"/>
      <c r="WRC1" s="2"/>
      <c r="WRD1" s="2"/>
      <c r="WRE1" s="2"/>
      <c r="WRF1" s="2"/>
      <c r="WRG1" s="2"/>
      <c r="WRH1" s="2"/>
      <c r="WRI1" s="2"/>
      <c r="WRJ1" s="2"/>
      <c r="WRK1" s="2"/>
      <c r="WRL1" s="2"/>
      <c r="WRM1" s="2"/>
      <c r="WRN1" s="2"/>
      <c r="WRO1" s="2"/>
      <c r="WRP1" s="2"/>
      <c r="WRQ1" s="2"/>
      <c r="WRR1" s="2"/>
      <c r="WRS1" s="2"/>
      <c r="WRT1" s="2"/>
      <c r="WRU1" s="2"/>
      <c r="WRV1" s="2"/>
      <c r="WRW1" s="2"/>
      <c r="WRX1" s="2"/>
      <c r="WRY1" s="2"/>
      <c r="WRZ1" s="2"/>
      <c r="WSA1" s="2"/>
      <c r="WSB1" s="2"/>
      <c r="WSC1" s="2"/>
      <c r="WSD1" s="2"/>
      <c r="WSE1" s="2"/>
      <c r="WSF1" s="2"/>
      <c r="WSG1" s="2"/>
      <c r="WSH1" s="2"/>
      <c r="WSI1" s="2"/>
      <c r="WSJ1" s="2"/>
      <c r="WSK1" s="2"/>
      <c r="WSL1" s="2"/>
      <c r="WSM1" s="2"/>
      <c r="WSN1" s="2"/>
      <c r="WSO1" s="2"/>
      <c r="WSP1" s="2"/>
      <c r="WSQ1" s="2"/>
      <c r="WSR1" s="2"/>
      <c r="WSS1" s="2"/>
      <c r="WST1" s="2"/>
      <c r="WSU1" s="2"/>
      <c r="WSV1" s="2"/>
      <c r="WSW1" s="2"/>
      <c r="WSX1" s="2"/>
      <c r="WSY1" s="2"/>
      <c r="WSZ1" s="2"/>
      <c r="WTA1" s="2"/>
      <c r="WTB1" s="2"/>
      <c r="WTC1" s="2"/>
      <c r="WTD1" s="2"/>
      <c r="WTE1" s="2"/>
      <c r="WTF1" s="2"/>
      <c r="WTG1" s="2"/>
      <c r="WTH1" s="2"/>
      <c r="WTI1" s="2"/>
      <c r="WTJ1" s="2"/>
      <c r="WTK1" s="2"/>
      <c r="WTL1" s="2"/>
      <c r="WTM1" s="2"/>
      <c r="WTN1" s="2"/>
      <c r="WTO1" s="2"/>
      <c r="WTP1" s="2"/>
      <c r="WTQ1" s="2"/>
      <c r="WTR1" s="2"/>
      <c r="WTS1" s="2"/>
      <c r="WTT1" s="2"/>
      <c r="WTU1" s="2"/>
      <c r="WTV1" s="2"/>
      <c r="WTW1" s="2"/>
      <c r="WTX1" s="2"/>
      <c r="WTY1" s="2"/>
      <c r="WTZ1" s="2"/>
      <c r="WUA1" s="2"/>
      <c r="WUB1" s="2"/>
      <c r="WUC1" s="2"/>
      <c r="WUD1" s="2"/>
      <c r="WUE1" s="2"/>
      <c r="WUF1" s="2"/>
      <c r="WUG1" s="2"/>
      <c r="WUH1" s="2"/>
      <c r="WUI1" s="2"/>
      <c r="WUJ1" s="2"/>
      <c r="WUK1" s="2"/>
      <c r="WUL1" s="2"/>
      <c r="WUM1" s="2"/>
      <c r="WUN1" s="2"/>
      <c r="WUO1" s="2"/>
      <c r="WUP1" s="2"/>
      <c r="WUQ1" s="2"/>
      <c r="WUR1" s="2"/>
      <c r="WUS1" s="2"/>
      <c r="WUT1" s="2"/>
      <c r="WUU1" s="2"/>
      <c r="WUV1" s="2"/>
      <c r="WUW1" s="2"/>
      <c r="WUX1" s="2"/>
      <c r="WUY1" s="2"/>
      <c r="WUZ1" s="2"/>
      <c r="WVA1" s="2"/>
      <c r="WVB1" s="2"/>
      <c r="WVC1" s="2"/>
      <c r="WVD1" s="2"/>
      <c r="WVE1" s="2"/>
      <c r="WVF1" s="2"/>
      <c r="WVG1" s="2"/>
      <c r="WVH1" s="2"/>
      <c r="WVI1" s="2"/>
      <c r="WVJ1" s="2"/>
      <c r="WVK1" s="2"/>
      <c r="WVL1" s="2"/>
      <c r="WVM1" s="2"/>
      <c r="WVN1" s="2"/>
      <c r="WVO1" s="2"/>
      <c r="WVP1" s="2"/>
      <c r="WVQ1" s="2"/>
      <c r="WVR1" s="2"/>
      <c r="WVS1" s="2"/>
      <c r="WVT1" s="2"/>
      <c r="WVU1" s="2"/>
      <c r="WVV1" s="2"/>
      <c r="WVW1" s="2"/>
      <c r="WVX1" s="2"/>
      <c r="WVY1" s="2"/>
      <c r="WVZ1" s="2"/>
      <c r="WWA1" s="2"/>
      <c r="WWB1" s="2"/>
      <c r="WWC1" s="2"/>
      <c r="WWD1" s="2"/>
      <c r="WWE1" s="2"/>
      <c r="WWF1" s="2"/>
      <c r="WWG1" s="2"/>
      <c r="WWH1" s="2"/>
      <c r="WWI1" s="2"/>
      <c r="WWJ1" s="2"/>
      <c r="WWK1" s="2"/>
      <c r="WWL1" s="2"/>
      <c r="WWM1" s="2"/>
      <c r="WWN1" s="2"/>
      <c r="WWO1" s="2"/>
      <c r="WWP1" s="2"/>
      <c r="WWQ1" s="2"/>
      <c r="WWR1" s="2"/>
      <c r="WWS1" s="2"/>
      <c r="WWT1" s="2"/>
      <c r="WWU1" s="2"/>
      <c r="WWV1" s="2"/>
      <c r="WWW1" s="2"/>
      <c r="WWX1" s="2"/>
      <c r="WWY1" s="2"/>
      <c r="WWZ1" s="2"/>
      <c r="WXA1" s="2"/>
      <c r="WXB1" s="2"/>
      <c r="WXC1" s="2"/>
      <c r="WXD1" s="2"/>
      <c r="WXE1" s="2"/>
      <c r="WXF1" s="2"/>
      <c r="WXG1" s="2"/>
      <c r="WXH1" s="2"/>
      <c r="WXI1" s="2"/>
      <c r="WXJ1" s="2"/>
      <c r="WXK1" s="2"/>
      <c r="WXL1" s="2"/>
      <c r="WXM1" s="2"/>
      <c r="WXN1" s="2"/>
      <c r="WXO1" s="2"/>
      <c r="WXP1" s="2"/>
      <c r="WXQ1" s="2"/>
      <c r="WXR1" s="2"/>
      <c r="WXS1" s="2"/>
      <c r="WXT1" s="2"/>
      <c r="WXU1" s="2"/>
      <c r="WXV1" s="2"/>
      <c r="WXW1" s="2"/>
      <c r="WXX1" s="2"/>
      <c r="WXY1" s="2"/>
      <c r="WXZ1" s="2"/>
      <c r="WYA1" s="2"/>
      <c r="WYB1" s="2"/>
      <c r="WYC1" s="2"/>
      <c r="WYD1" s="2"/>
      <c r="WYE1" s="2"/>
      <c r="WYF1" s="2"/>
      <c r="WYG1" s="2"/>
      <c r="WYH1" s="2"/>
      <c r="WYI1" s="2"/>
      <c r="WYJ1" s="2"/>
      <c r="WYK1" s="2"/>
      <c r="WYL1" s="2"/>
      <c r="WYM1" s="2"/>
      <c r="WYN1" s="2"/>
      <c r="WYO1" s="2"/>
      <c r="WYP1" s="2"/>
      <c r="WYQ1" s="2"/>
      <c r="WYR1" s="2"/>
      <c r="WYS1" s="2"/>
      <c r="WYT1" s="2"/>
      <c r="WYU1" s="2"/>
      <c r="WYV1" s="2"/>
      <c r="WYW1" s="2"/>
      <c r="WYX1" s="2"/>
      <c r="WYY1" s="2"/>
      <c r="WYZ1" s="2"/>
      <c r="WZA1" s="2"/>
      <c r="WZB1" s="2"/>
      <c r="WZC1" s="2"/>
      <c r="WZD1" s="2"/>
      <c r="WZE1" s="2"/>
      <c r="WZF1" s="2"/>
      <c r="WZG1" s="2"/>
      <c r="WZH1" s="2"/>
      <c r="WZI1" s="2"/>
      <c r="WZJ1" s="2"/>
      <c r="WZK1" s="2"/>
      <c r="WZL1" s="2"/>
      <c r="WZM1" s="2"/>
      <c r="WZN1" s="2"/>
      <c r="WZO1" s="2"/>
      <c r="WZP1" s="2"/>
      <c r="WZQ1" s="2"/>
      <c r="WZR1" s="2"/>
      <c r="WZS1" s="2"/>
      <c r="WZT1" s="2"/>
      <c r="WZU1" s="2"/>
      <c r="WZV1" s="2"/>
      <c r="WZW1" s="2"/>
      <c r="WZX1" s="2"/>
      <c r="WZY1" s="2"/>
      <c r="WZZ1" s="2"/>
      <c r="XAA1" s="2"/>
      <c r="XAB1" s="2"/>
      <c r="XAC1" s="2"/>
      <c r="XAD1" s="2"/>
      <c r="XAE1" s="2"/>
      <c r="XAF1" s="2"/>
      <c r="XAG1" s="2"/>
      <c r="XAH1" s="2"/>
      <c r="XAI1" s="2"/>
      <c r="XAJ1" s="2"/>
      <c r="XAK1" s="2"/>
      <c r="XAL1" s="2"/>
      <c r="XAM1" s="2"/>
      <c r="XAN1" s="2"/>
      <c r="XAO1" s="2"/>
      <c r="XAP1" s="2"/>
      <c r="XAQ1" s="2"/>
      <c r="XAR1" s="2"/>
      <c r="XAS1" s="2"/>
      <c r="XAT1" s="2"/>
      <c r="XAU1" s="2"/>
      <c r="XAV1" s="2"/>
      <c r="XAW1" s="2"/>
      <c r="XAX1" s="2"/>
      <c r="XAY1" s="2"/>
      <c r="XAZ1" s="2"/>
      <c r="XBA1" s="2"/>
      <c r="XBB1" s="2"/>
      <c r="XBC1" s="2"/>
      <c r="XBD1" s="2"/>
      <c r="XBE1" s="2"/>
      <c r="XBF1" s="2"/>
      <c r="XBG1" s="2"/>
      <c r="XBH1" s="2"/>
      <c r="XBI1" s="2"/>
      <c r="XBJ1" s="2"/>
      <c r="XBK1" s="2"/>
      <c r="XBL1" s="2"/>
      <c r="XBM1" s="2"/>
      <c r="XBN1" s="2"/>
      <c r="XBO1" s="2"/>
      <c r="XBP1" s="2"/>
      <c r="XBQ1" s="2"/>
      <c r="XBR1" s="2"/>
      <c r="XBS1" s="2"/>
      <c r="XBT1" s="2"/>
      <c r="XBU1" s="2"/>
      <c r="XBV1" s="2"/>
      <c r="XBW1" s="2"/>
      <c r="XBX1" s="2"/>
      <c r="XBY1" s="2"/>
      <c r="XBZ1" s="2"/>
      <c r="XCA1" s="2"/>
      <c r="XCB1" s="2"/>
      <c r="XCC1" s="2"/>
      <c r="XCD1" s="2"/>
      <c r="XCE1" s="2"/>
      <c r="XCF1" s="2"/>
      <c r="XCG1" s="2"/>
      <c r="XCH1" s="2"/>
      <c r="XCI1" s="2"/>
      <c r="XCJ1" s="2"/>
      <c r="XCK1" s="2"/>
      <c r="XCL1" s="2"/>
      <c r="XCM1" s="2"/>
      <c r="XCN1" s="2"/>
      <c r="XCO1" s="2"/>
      <c r="XCP1" s="2"/>
      <c r="XCQ1" s="2"/>
      <c r="XCR1" s="2"/>
      <c r="XCS1" s="2"/>
      <c r="XCT1" s="2"/>
      <c r="XCU1" s="2"/>
      <c r="XCV1" s="2"/>
      <c r="XCW1" s="2"/>
      <c r="XCX1" s="2"/>
      <c r="XCY1" s="2"/>
      <c r="XCZ1" s="2"/>
      <c r="XDA1" s="2"/>
      <c r="XDB1" s="2"/>
      <c r="XDC1" s="2"/>
      <c r="XDD1" s="2"/>
      <c r="XDE1" s="2"/>
      <c r="XDF1" s="2"/>
      <c r="XDG1" s="2"/>
      <c r="XDH1" s="2"/>
      <c r="XDI1" s="2"/>
      <c r="XDJ1" s="2"/>
      <c r="XDK1" s="2"/>
      <c r="XDL1" s="2"/>
      <c r="XDM1" s="2"/>
      <c r="XDN1" s="2"/>
      <c r="XDO1" s="2"/>
      <c r="XDP1" s="2"/>
      <c r="XDQ1" s="2"/>
      <c r="XDR1" s="2"/>
      <c r="XDS1" s="2"/>
      <c r="XDT1" s="2"/>
      <c r="XDU1" s="2"/>
      <c r="XDV1" s="2"/>
      <c r="XDW1" s="2"/>
      <c r="XDX1" s="2"/>
      <c r="XDY1" s="2"/>
      <c r="XDZ1" s="2"/>
      <c r="XEA1" s="2"/>
      <c r="XEB1" s="2"/>
      <c r="XEC1" s="2"/>
    </row>
    <row r="2" spans="1:16384" s="10" customFormat="1" ht="15.95" customHeight="1" x14ac:dyDescent="0.25">
      <c r="A2" s="100"/>
      <c r="B2" s="100"/>
      <c r="C2" s="30" t="s">
        <v>3</v>
      </c>
      <c r="D2" s="30" t="s">
        <v>389</v>
      </c>
      <c r="E2" s="30" t="s">
        <v>390</v>
      </c>
      <c r="F2" s="100"/>
      <c r="G2" s="100"/>
      <c r="H2" s="100"/>
      <c r="I2" s="100"/>
      <c r="J2" s="100"/>
      <c r="K2" s="100"/>
      <c r="L2" s="100"/>
      <c r="M2" s="30" t="s">
        <v>456</v>
      </c>
      <c r="N2" s="30" t="s">
        <v>457</v>
      </c>
      <c r="O2" s="30" t="s">
        <v>458</v>
      </c>
      <c r="P2" s="30" t="s">
        <v>459</v>
      </c>
      <c r="Q2" s="100"/>
      <c r="R2" s="107"/>
      <c r="XED2" s="4"/>
      <c r="XEE2" s="4"/>
      <c r="XEF2" s="4"/>
      <c r="XEG2" s="4"/>
      <c r="XEH2" s="4"/>
      <c r="XEI2" s="4"/>
      <c r="XEJ2" s="4"/>
      <c r="XEK2" s="4"/>
      <c r="XEL2" s="4"/>
      <c r="XEM2" s="4"/>
      <c r="XEN2" s="4"/>
      <c r="XEO2" s="4"/>
      <c r="XEP2" s="4"/>
      <c r="XEQ2" s="4"/>
      <c r="XER2" s="4"/>
      <c r="XES2" s="4"/>
      <c r="XET2" s="4"/>
      <c r="XEU2" s="4"/>
      <c r="XEV2" s="4"/>
      <c r="XEW2" s="4"/>
      <c r="XEX2" s="4"/>
      <c r="XEY2" s="4"/>
      <c r="XEZ2" s="4"/>
      <c r="XFA2" s="4"/>
      <c r="XFB2" s="4"/>
      <c r="XFC2"/>
      <c r="XFD2"/>
    </row>
    <row r="3" spans="1:16384" s="11" customFormat="1" ht="15.95" customHeight="1" x14ac:dyDescent="0.25">
      <c r="A3" s="19" t="s">
        <v>149</v>
      </c>
      <c r="B3" s="19" t="s">
        <v>150</v>
      </c>
      <c r="C3" s="33">
        <v>1</v>
      </c>
      <c r="D3" s="33">
        <v>1</v>
      </c>
      <c r="E3" s="33">
        <v>1</v>
      </c>
      <c r="F3" s="33">
        <v>67</v>
      </c>
      <c r="G3" s="33">
        <v>1</v>
      </c>
      <c r="H3" s="33" cm="1">
        <f t="array" ref="H3">G3*_xlfn.IFS(Настройки!$B$2="M",'Печатные изд.'!C3,Настройки!$B$2="L",'Печатные изд.'!D3,Настройки!$B$2="XL",'Печатные изд.'!E3)</f>
        <v>1</v>
      </c>
      <c r="I3" s="41">
        <f>F3*H3</f>
        <v>67</v>
      </c>
      <c r="J3" s="33" t="s">
        <v>509</v>
      </c>
      <c r="K3" s="41" cm="1">
        <f t="array" ref="K3">_xlfn.IFS(J3="Высоконагруженная",Настройки!$B$6,J3="Средне-нагруженная",Настройки!$B$7,J3="Ненагруженная",Настройки!$B$8,J3="Гибкая",Настройки!$B$9)</f>
        <v>1.21</v>
      </c>
      <c r="L3" s="41" cm="1">
        <f t="array" ref="L3">_xlfn.IFS(J3="Высоконагруженная",Настройки!$C$6,J3="Средне-нагруженная",Настройки!$C$7,J3="Ненагруженная",Настройки!$C$8,J3="Гибкая",Настройки!$C$9)/1000</f>
        <v>5</v>
      </c>
      <c r="M3" s="51">
        <f>IF(J3="Высоконагруженная",1,0)*G3*I3*K3</f>
        <v>81.069999999999993</v>
      </c>
      <c r="N3" s="51">
        <f>IF(J3="Средне-нагруженная",1,0)*G3*I3*K3</f>
        <v>0</v>
      </c>
      <c r="O3" s="51">
        <f>IF(J3="Ненагруженная",1,0)*G3*I3*K3</f>
        <v>0</v>
      </c>
      <c r="P3" s="51">
        <f>IF(J3="Гибкая",1,0)*G3*I3*K3</f>
        <v>0</v>
      </c>
      <c r="Q3" s="52">
        <f>SUM(M3:P3)*L3</f>
        <v>405.34999999999997</v>
      </c>
      <c r="R3" s="43"/>
      <c r="XED3"/>
      <c r="XEE3"/>
      <c r="XEF3"/>
      <c r="XEG3"/>
      <c r="XEH3"/>
      <c r="XEI3"/>
      <c r="XEJ3"/>
      <c r="XEK3"/>
      <c r="XEL3"/>
      <c r="XEM3"/>
      <c r="XEN3"/>
      <c r="XEO3"/>
      <c r="XEP3"/>
      <c r="XEQ3"/>
      <c r="XER3"/>
      <c r="XES3"/>
      <c r="XET3"/>
      <c r="XEU3"/>
      <c r="XEV3"/>
      <c r="XEW3"/>
      <c r="XEX3"/>
      <c r="XEY3"/>
      <c r="XEZ3"/>
      <c r="XFA3"/>
      <c r="XFB3"/>
      <c r="XFC3"/>
      <c r="XFD3"/>
    </row>
    <row r="4" spans="1:16384" s="11" customFormat="1" ht="15.95" customHeight="1" x14ac:dyDescent="0.25">
      <c r="A4" s="19" t="s">
        <v>151</v>
      </c>
      <c r="B4" s="19" t="s">
        <v>150</v>
      </c>
      <c r="C4" s="33">
        <v>1</v>
      </c>
      <c r="D4" s="33">
        <v>1</v>
      </c>
      <c r="E4" s="33">
        <v>1</v>
      </c>
      <c r="F4" s="33">
        <v>67</v>
      </c>
      <c r="G4" s="33">
        <v>1</v>
      </c>
      <c r="H4" s="33" cm="1">
        <f t="array" ref="H4">G4*_xlfn.IFS(Настройки!$B$2="M",'Печатные изд.'!C4,Настройки!$B$2="L",'Печатные изд.'!D4,Настройки!$B$2="XL",'Печатные изд.'!E4)</f>
        <v>1</v>
      </c>
      <c r="I4" s="41">
        <f t="shared" ref="I4:I55" si="0">F4*H4</f>
        <v>67</v>
      </c>
      <c r="J4" s="33" t="s">
        <v>509</v>
      </c>
      <c r="K4" s="41" cm="1">
        <f t="array" ref="K4">_xlfn.IFS(J4="Высоконагруженная",Настройки!$B$6,J4="Средне-нагруженная",Настройки!$B$7,J4="Ненагруженная",Настройки!$B$8,J4="Гибкая",Настройки!$B$9)</f>
        <v>1.21</v>
      </c>
      <c r="L4" s="41" cm="1">
        <f t="array" ref="L4">_xlfn.IFS(J4="Высоконагруженная",Настройки!$C$6,J4="Средне-нагруженная",Настройки!$C$7,J4="Ненагруженная",Настройки!$C$8,J4="Гибкая",Настройки!$C$9)/1000</f>
        <v>5</v>
      </c>
      <c r="M4" s="51">
        <f t="shared" ref="M4:M68" si="1">IF(J4="Высоконагруженная",1,0)*G4*I4*K4</f>
        <v>81.069999999999993</v>
      </c>
      <c r="N4" s="51">
        <f t="shared" ref="N4:N68" si="2">IF(J4="Средне-нагруженная",1,0)*G4*I4*K4</f>
        <v>0</v>
      </c>
      <c r="O4" s="51">
        <f t="shared" ref="O4:O68" si="3">IF(J4="Ненагруженная",1,0)*G4*I4*K4</f>
        <v>0</v>
      </c>
      <c r="P4" s="51">
        <f t="shared" ref="P4:P68" si="4">IF(J4="Гибкая",1,0)*G4*I4*K4</f>
        <v>0</v>
      </c>
      <c r="Q4" s="52">
        <f t="shared" ref="Q4:Q55" si="5">SUM(M4:P4)*L4</f>
        <v>405.34999999999997</v>
      </c>
      <c r="R4" s="43"/>
      <c r="XED4"/>
      <c r="XEE4"/>
      <c r="XEF4"/>
      <c r="XEG4"/>
      <c r="XEH4"/>
      <c r="XEI4"/>
      <c r="XEJ4"/>
      <c r="XEK4"/>
      <c r="XEL4"/>
      <c r="XEM4"/>
      <c r="XEN4"/>
      <c r="XEO4"/>
      <c r="XEP4"/>
      <c r="XEQ4"/>
      <c r="XER4"/>
      <c r="XES4"/>
      <c r="XET4"/>
      <c r="XEU4"/>
      <c r="XEV4"/>
      <c r="XEW4"/>
      <c r="XEX4"/>
      <c r="XEY4"/>
      <c r="XEZ4"/>
      <c r="XFA4"/>
      <c r="XFB4"/>
      <c r="XFC4"/>
      <c r="XFD4"/>
    </row>
    <row r="5" spans="1:16384" customFormat="1" ht="15.95" customHeight="1" x14ac:dyDescent="0.25">
      <c r="A5" s="19" t="s">
        <v>152</v>
      </c>
      <c r="B5" s="19" t="s">
        <v>153</v>
      </c>
      <c r="C5" s="33">
        <v>1</v>
      </c>
      <c r="D5" s="33">
        <v>1</v>
      </c>
      <c r="E5" s="33">
        <v>1</v>
      </c>
      <c r="F5" s="33">
        <v>11</v>
      </c>
      <c r="G5" s="33">
        <v>1</v>
      </c>
      <c r="H5" s="33" cm="1">
        <f t="array" ref="H5">G5*_xlfn.IFS(Настройки!$B$2="M",'Печатные изд.'!C5,Настройки!$B$2="L",'Печатные изд.'!D5,Настройки!$B$2="XL",'Печатные изд.'!E5)</f>
        <v>1</v>
      </c>
      <c r="I5" s="41">
        <f t="shared" si="0"/>
        <v>11</v>
      </c>
      <c r="J5" s="33" t="s">
        <v>509</v>
      </c>
      <c r="K5" s="41" cm="1">
        <f t="array" ref="K5">_xlfn.IFS(J5="Высоконагруженная",Настройки!$B$6,J5="Средне-нагруженная",Настройки!$B$7,J5="Ненагруженная",Настройки!$B$8,J5="Гибкая",Настройки!$B$9)</f>
        <v>1.21</v>
      </c>
      <c r="L5" s="41" cm="1">
        <f t="array" ref="L5">_xlfn.IFS(J5="Высоконагруженная",Настройки!$C$6,J5="Средне-нагруженная",Настройки!$C$7,J5="Ненагруженная",Настройки!$C$8,J5="Гибкая",Настройки!$C$9)/1000</f>
        <v>5</v>
      </c>
      <c r="M5" s="51">
        <f t="shared" si="1"/>
        <v>13.309999999999999</v>
      </c>
      <c r="N5" s="51">
        <f t="shared" si="2"/>
        <v>0</v>
      </c>
      <c r="O5" s="51">
        <f t="shared" si="3"/>
        <v>0</v>
      </c>
      <c r="P5" s="51">
        <f t="shared" si="4"/>
        <v>0</v>
      </c>
      <c r="Q5" s="52">
        <f t="shared" si="5"/>
        <v>66.55</v>
      </c>
      <c r="R5" s="4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  <c r="CEP5" s="2"/>
      <c r="CEQ5" s="2"/>
      <c r="CER5" s="2"/>
      <c r="CES5" s="2"/>
      <c r="CET5" s="2"/>
      <c r="CEU5" s="2"/>
      <c r="CEV5" s="2"/>
      <c r="CEW5" s="2"/>
      <c r="CEX5" s="2"/>
      <c r="CEY5" s="2"/>
      <c r="CEZ5" s="2"/>
      <c r="CFA5" s="2"/>
      <c r="CFB5" s="2"/>
      <c r="CFC5" s="2"/>
      <c r="CFD5" s="2"/>
      <c r="CFE5" s="2"/>
      <c r="CFF5" s="2"/>
      <c r="CFG5" s="2"/>
      <c r="CFH5" s="2"/>
      <c r="CFI5" s="2"/>
      <c r="CFJ5" s="2"/>
      <c r="CFK5" s="2"/>
      <c r="CFL5" s="2"/>
      <c r="CFM5" s="2"/>
      <c r="CFN5" s="2"/>
      <c r="CFO5" s="2"/>
      <c r="CFP5" s="2"/>
      <c r="CFQ5" s="2"/>
      <c r="CFR5" s="2"/>
      <c r="CFS5" s="2"/>
      <c r="CFT5" s="2"/>
      <c r="CFU5" s="2"/>
      <c r="CFV5" s="2"/>
      <c r="CFW5" s="2"/>
      <c r="CFX5" s="2"/>
      <c r="CFY5" s="2"/>
      <c r="CFZ5" s="2"/>
      <c r="CGA5" s="2"/>
      <c r="CGB5" s="2"/>
      <c r="CGC5" s="2"/>
      <c r="CGD5" s="2"/>
      <c r="CGE5" s="2"/>
      <c r="CGF5" s="2"/>
      <c r="CGG5" s="2"/>
      <c r="CGH5" s="2"/>
      <c r="CGI5" s="2"/>
      <c r="CGJ5" s="2"/>
      <c r="CGK5" s="2"/>
      <c r="CGL5" s="2"/>
      <c r="CGM5" s="2"/>
      <c r="CGN5" s="2"/>
      <c r="CGO5" s="2"/>
      <c r="CGP5" s="2"/>
      <c r="CGQ5" s="2"/>
      <c r="CGR5" s="2"/>
      <c r="CGS5" s="2"/>
      <c r="CGT5" s="2"/>
      <c r="CGU5" s="2"/>
      <c r="CGV5" s="2"/>
      <c r="CGW5" s="2"/>
      <c r="CGX5" s="2"/>
      <c r="CGY5" s="2"/>
      <c r="CGZ5" s="2"/>
      <c r="CHA5" s="2"/>
      <c r="CHB5" s="2"/>
      <c r="CHC5" s="2"/>
      <c r="CHD5" s="2"/>
      <c r="CHE5" s="2"/>
      <c r="CHF5" s="2"/>
      <c r="CHG5" s="2"/>
      <c r="CHH5" s="2"/>
      <c r="CHI5" s="2"/>
      <c r="CHJ5" s="2"/>
      <c r="CHK5" s="2"/>
      <c r="CHL5" s="2"/>
      <c r="CHM5" s="2"/>
      <c r="CHN5" s="2"/>
      <c r="CHO5" s="2"/>
      <c r="CHP5" s="2"/>
      <c r="CHQ5" s="2"/>
      <c r="CHR5" s="2"/>
      <c r="CHS5" s="2"/>
      <c r="CHT5" s="2"/>
      <c r="CHU5" s="2"/>
      <c r="CHV5" s="2"/>
      <c r="CHW5" s="2"/>
      <c r="CHX5" s="2"/>
      <c r="CHY5" s="2"/>
      <c r="CHZ5" s="2"/>
      <c r="CIA5" s="2"/>
      <c r="CIB5" s="2"/>
      <c r="CIC5" s="2"/>
      <c r="CID5" s="2"/>
      <c r="CIE5" s="2"/>
      <c r="CIF5" s="2"/>
      <c r="CIG5" s="2"/>
      <c r="CIH5" s="2"/>
      <c r="CII5" s="2"/>
      <c r="CIJ5" s="2"/>
      <c r="CIK5" s="2"/>
      <c r="CIL5" s="2"/>
      <c r="CIM5" s="2"/>
      <c r="CIN5" s="2"/>
      <c r="CIO5" s="2"/>
      <c r="CIP5" s="2"/>
      <c r="CIQ5" s="2"/>
      <c r="CIR5" s="2"/>
      <c r="CIS5" s="2"/>
      <c r="CIT5" s="2"/>
      <c r="CIU5" s="2"/>
      <c r="CIV5" s="2"/>
      <c r="CIW5" s="2"/>
      <c r="CIX5" s="2"/>
      <c r="CIY5" s="2"/>
      <c r="CIZ5" s="2"/>
      <c r="CJA5" s="2"/>
      <c r="CJB5" s="2"/>
      <c r="CJC5" s="2"/>
      <c r="CJD5" s="2"/>
      <c r="CJE5" s="2"/>
      <c r="CJF5" s="2"/>
      <c r="CJG5" s="2"/>
      <c r="CJH5" s="2"/>
      <c r="CJI5" s="2"/>
      <c r="CJJ5" s="2"/>
      <c r="CJK5" s="2"/>
      <c r="CJL5" s="2"/>
      <c r="CJM5" s="2"/>
      <c r="CJN5" s="2"/>
      <c r="CJO5" s="2"/>
      <c r="CJP5" s="2"/>
      <c r="CJQ5" s="2"/>
      <c r="CJR5" s="2"/>
      <c r="CJS5" s="2"/>
      <c r="CJT5" s="2"/>
      <c r="CJU5" s="2"/>
      <c r="CJV5" s="2"/>
      <c r="CJW5" s="2"/>
      <c r="CJX5" s="2"/>
      <c r="CJY5" s="2"/>
      <c r="CJZ5" s="2"/>
      <c r="CKA5" s="2"/>
      <c r="CKB5" s="2"/>
      <c r="CKC5" s="2"/>
      <c r="CKD5" s="2"/>
      <c r="CKE5" s="2"/>
      <c r="CKF5" s="2"/>
      <c r="CKG5" s="2"/>
      <c r="CKH5" s="2"/>
      <c r="CKI5" s="2"/>
      <c r="CKJ5" s="2"/>
      <c r="CKK5" s="2"/>
      <c r="CKL5" s="2"/>
      <c r="CKM5" s="2"/>
      <c r="CKN5" s="2"/>
      <c r="CKO5" s="2"/>
      <c r="CKP5" s="2"/>
      <c r="CKQ5" s="2"/>
      <c r="CKR5" s="2"/>
      <c r="CKS5" s="2"/>
      <c r="CKT5" s="2"/>
      <c r="CKU5" s="2"/>
      <c r="CKV5" s="2"/>
      <c r="CKW5" s="2"/>
      <c r="CKX5" s="2"/>
      <c r="CKY5" s="2"/>
      <c r="CKZ5" s="2"/>
      <c r="CLA5" s="2"/>
      <c r="CLB5" s="2"/>
      <c r="CLC5" s="2"/>
      <c r="CLD5" s="2"/>
      <c r="CLE5" s="2"/>
      <c r="CLF5" s="2"/>
      <c r="CLG5" s="2"/>
      <c r="CLH5" s="2"/>
      <c r="CLI5" s="2"/>
      <c r="CLJ5" s="2"/>
      <c r="CLK5" s="2"/>
      <c r="CLL5" s="2"/>
      <c r="CLM5" s="2"/>
      <c r="CLN5" s="2"/>
      <c r="CLO5" s="2"/>
      <c r="CLP5" s="2"/>
      <c r="CLQ5" s="2"/>
      <c r="CLR5" s="2"/>
      <c r="CLS5" s="2"/>
      <c r="CLT5" s="2"/>
      <c r="CLU5" s="2"/>
      <c r="CLV5" s="2"/>
      <c r="CLW5" s="2"/>
      <c r="CLX5" s="2"/>
      <c r="CLY5" s="2"/>
      <c r="CLZ5" s="2"/>
      <c r="CMA5" s="2"/>
      <c r="CMB5" s="2"/>
      <c r="CMC5" s="2"/>
      <c r="CMD5" s="2"/>
      <c r="CME5" s="2"/>
      <c r="CMF5" s="2"/>
      <c r="CMG5" s="2"/>
      <c r="CMH5" s="2"/>
      <c r="CMI5" s="2"/>
      <c r="CMJ5" s="2"/>
      <c r="CMK5" s="2"/>
      <c r="CML5" s="2"/>
      <c r="CMM5" s="2"/>
      <c r="CMN5" s="2"/>
      <c r="CMO5" s="2"/>
      <c r="CMP5" s="2"/>
      <c r="CMQ5" s="2"/>
      <c r="CMR5" s="2"/>
      <c r="CMS5" s="2"/>
      <c r="CMT5" s="2"/>
      <c r="CMU5" s="2"/>
      <c r="CMV5" s="2"/>
      <c r="CMW5" s="2"/>
      <c r="CMX5" s="2"/>
      <c r="CMY5" s="2"/>
      <c r="CMZ5" s="2"/>
      <c r="CNA5" s="2"/>
      <c r="CNB5" s="2"/>
      <c r="CNC5" s="2"/>
      <c r="CND5" s="2"/>
      <c r="CNE5" s="2"/>
      <c r="CNF5" s="2"/>
      <c r="CNG5" s="2"/>
      <c r="CNH5" s="2"/>
      <c r="CNI5" s="2"/>
      <c r="CNJ5" s="2"/>
      <c r="CNK5" s="2"/>
      <c r="CNL5" s="2"/>
      <c r="CNM5" s="2"/>
      <c r="CNN5" s="2"/>
      <c r="CNO5" s="2"/>
      <c r="CNP5" s="2"/>
      <c r="CNQ5" s="2"/>
      <c r="CNR5" s="2"/>
      <c r="CNS5" s="2"/>
      <c r="CNT5" s="2"/>
      <c r="CNU5" s="2"/>
      <c r="CNV5" s="2"/>
      <c r="CNW5" s="2"/>
      <c r="CNX5" s="2"/>
      <c r="CNY5" s="2"/>
      <c r="CNZ5" s="2"/>
      <c r="COA5" s="2"/>
      <c r="COB5" s="2"/>
      <c r="COC5" s="2"/>
      <c r="COD5" s="2"/>
      <c r="COE5" s="2"/>
      <c r="COF5" s="2"/>
      <c r="COG5" s="2"/>
      <c r="COH5" s="2"/>
      <c r="COI5" s="2"/>
      <c r="COJ5" s="2"/>
      <c r="COK5" s="2"/>
      <c r="COL5" s="2"/>
      <c r="COM5" s="2"/>
      <c r="CON5" s="2"/>
      <c r="COO5" s="2"/>
      <c r="COP5" s="2"/>
      <c r="COQ5" s="2"/>
      <c r="COR5" s="2"/>
      <c r="COS5" s="2"/>
      <c r="COT5" s="2"/>
      <c r="COU5" s="2"/>
      <c r="COV5" s="2"/>
      <c r="COW5" s="2"/>
      <c r="COX5" s="2"/>
      <c r="COY5" s="2"/>
      <c r="COZ5" s="2"/>
      <c r="CPA5" s="2"/>
      <c r="CPB5" s="2"/>
      <c r="CPC5" s="2"/>
      <c r="CPD5" s="2"/>
      <c r="CPE5" s="2"/>
      <c r="CPF5" s="2"/>
      <c r="CPG5" s="2"/>
      <c r="CPH5" s="2"/>
      <c r="CPI5" s="2"/>
      <c r="CPJ5" s="2"/>
      <c r="CPK5" s="2"/>
      <c r="CPL5" s="2"/>
      <c r="CPM5" s="2"/>
      <c r="CPN5" s="2"/>
      <c r="CPO5" s="2"/>
      <c r="CPP5" s="2"/>
      <c r="CPQ5" s="2"/>
      <c r="CPR5" s="2"/>
      <c r="CPS5" s="2"/>
      <c r="CPT5" s="2"/>
      <c r="CPU5" s="2"/>
      <c r="CPV5" s="2"/>
      <c r="CPW5" s="2"/>
      <c r="CPX5" s="2"/>
      <c r="CPY5" s="2"/>
      <c r="CPZ5" s="2"/>
      <c r="CQA5" s="2"/>
      <c r="CQB5" s="2"/>
      <c r="CQC5" s="2"/>
      <c r="CQD5" s="2"/>
      <c r="CQE5" s="2"/>
      <c r="CQF5" s="2"/>
      <c r="CQG5" s="2"/>
      <c r="CQH5" s="2"/>
      <c r="CQI5" s="2"/>
      <c r="CQJ5" s="2"/>
      <c r="CQK5" s="2"/>
      <c r="CQL5" s="2"/>
      <c r="CQM5" s="2"/>
      <c r="CQN5" s="2"/>
      <c r="CQO5" s="2"/>
      <c r="CQP5" s="2"/>
      <c r="CQQ5" s="2"/>
      <c r="CQR5" s="2"/>
      <c r="CQS5" s="2"/>
      <c r="CQT5" s="2"/>
      <c r="CQU5" s="2"/>
      <c r="CQV5" s="2"/>
      <c r="CQW5" s="2"/>
      <c r="CQX5" s="2"/>
      <c r="CQY5" s="2"/>
      <c r="CQZ5" s="2"/>
      <c r="CRA5" s="2"/>
      <c r="CRB5" s="2"/>
      <c r="CRC5" s="2"/>
      <c r="CRD5" s="2"/>
      <c r="CRE5" s="2"/>
      <c r="CRF5" s="2"/>
      <c r="CRG5" s="2"/>
      <c r="CRH5" s="2"/>
      <c r="CRI5" s="2"/>
      <c r="CRJ5" s="2"/>
      <c r="CRK5" s="2"/>
      <c r="CRL5" s="2"/>
      <c r="CRM5" s="2"/>
      <c r="CRN5" s="2"/>
      <c r="CRO5" s="2"/>
      <c r="CRP5" s="2"/>
      <c r="CRQ5" s="2"/>
      <c r="CRR5" s="2"/>
      <c r="CRS5" s="2"/>
      <c r="CRT5" s="2"/>
      <c r="CRU5" s="2"/>
      <c r="CRV5" s="2"/>
      <c r="CRW5" s="2"/>
      <c r="CRX5" s="2"/>
      <c r="CRY5" s="2"/>
      <c r="CRZ5" s="2"/>
      <c r="CSA5" s="2"/>
      <c r="CSB5" s="2"/>
      <c r="CSC5" s="2"/>
      <c r="CSD5" s="2"/>
      <c r="CSE5" s="2"/>
      <c r="CSF5" s="2"/>
      <c r="CSG5" s="2"/>
      <c r="CSH5" s="2"/>
      <c r="CSI5" s="2"/>
      <c r="CSJ5" s="2"/>
      <c r="CSK5" s="2"/>
      <c r="CSL5" s="2"/>
      <c r="CSM5" s="2"/>
      <c r="CSN5" s="2"/>
      <c r="CSO5" s="2"/>
      <c r="CSP5" s="2"/>
      <c r="CSQ5" s="2"/>
      <c r="CSR5" s="2"/>
      <c r="CSS5" s="2"/>
      <c r="CST5" s="2"/>
      <c r="CSU5" s="2"/>
      <c r="CSV5" s="2"/>
      <c r="CSW5" s="2"/>
      <c r="CSX5" s="2"/>
      <c r="CSY5" s="2"/>
      <c r="CSZ5" s="2"/>
      <c r="CTA5" s="2"/>
      <c r="CTB5" s="2"/>
      <c r="CTC5" s="2"/>
      <c r="CTD5" s="2"/>
      <c r="CTE5" s="2"/>
      <c r="CTF5" s="2"/>
      <c r="CTG5" s="2"/>
      <c r="CTH5" s="2"/>
      <c r="CTI5" s="2"/>
      <c r="CTJ5" s="2"/>
      <c r="CTK5" s="2"/>
      <c r="CTL5" s="2"/>
      <c r="CTM5" s="2"/>
      <c r="CTN5" s="2"/>
      <c r="CTO5" s="2"/>
      <c r="CTP5" s="2"/>
      <c r="CTQ5" s="2"/>
      <c r="CTR5" s="2"/>
      <c r="CTS5" s="2"/>
      <c r="CTT5" s="2"/>
      <c r="CTU5" s="2"/>
      <c r="CTV5" s="2"/>
      <c r="CTW5" s="2"/>
      <c r="CTX5" s="2"/>
      <c r="CTY5" s="2"/>
      <c r="CTZ5" s="2"/>
      <c r="CUA5" s="2"/>
      <c r="CUB5" s="2"/>
      <c r="CUC5" s="2"/>
      <c r="CUD5" s="2"/>
      <c r="CUE5" s="2"/>
      <c r="CUF5" s="2"/>
      <c r="CUG5" s="2"/>
      <c r="CUH5" s="2"/>
      <c r="CUI5" s="2"/>
      <c r="CUJ5" s="2"/>
      <c r="CUK5" s="2"/>
      <c r="CUL5" s="2"/>
      <c r="CUM5" s="2"/>
      <c r="CUN5" s="2"/>
      <c r="CUO5" s="2"/>
      <c r="CUP5" s="2"/>
      <c r="CUQ5" s="2"/>
      <c r="CUR5" s="2"/>
      <c r="CUS5" s="2"/>
      <c r="CUT5" s="2"/>
      <c r="CUU5" s="2"/>
      <c r="CUV5" s="2"/>
      <c r="CUW5" s="2"/>
      <c r="CUX5" s="2"/>
      <c r="CUY5" s="2"/>
      <c r="CUZ5" s="2"/>
      <c r="CVA5" s="2"/>
      <c r="CVB5" s="2"/>
      <c r="CVC5" s="2"/>
      <c r="CVD5" s="2"/>
      <c r="CVE5" s="2"/>
      <c r="CVF5" s="2"/>
      <c r="CVG5" s="2"/>
      <c r="CVH5" s="2"/>
      <c r="CVI5" s="2"/>
      <c r="CVJ5" s="2"/>
      <c r="CVK5" s="2"/>
      <c r="CVL5" s="2"/>
      <c r="CVM5" s="2"/>
      <c r="CVN5" s="2"/>
      <c r="CVO5" s="2"/>
      <c r="CVP5" s="2"/>
      <c r="CVQ5" s="2"/>
      <c r="CVR5" s="2"/>
      <c r="CVS5" s="2"/>
      <c r="CVT5" s="2"/>
      <c r="CVU5" s="2"/>
      <c r="CVV5" s="2"/>
      <c r="CVW5" s="2"/>
      <c r="CVX5" s="2"/>
      <c r="CVY5" s="2"/>
      <c r="CVZ5" s="2"/>
      <c r="CWA5" s="2"/>
      <c r="CWB5" s="2"/>
      <c r="CWC5" s="2"/>
      <c r="CWD5" s="2"/>
      <c r="CWE5" s="2"/>
      <c r="CWF5" s="2"/>
      <c r="CWG5" s="2"/>
      <c r="CWH5" s="2"/>
      <c r="CWI5" s="2"/>
      <c r="CWJ5" s="2"/>
      <c r="CWK5" s="2"/>
      <c r="CWL5" s="2"/>
      <c r="CWM5" s="2"/>
      <c r="CWN5" s="2"/>
      <c r="CWO5" s="2"/>
      <c r="CWP5" s="2"/>
      <c r="CWQ5" s="2"/>
      <c r="CWR5" s="2"/>
      <c r="CWS5" s="2"/>
      <c r="CWT5" s="2"/>
      <c r="CWU5" s="2"/>
      <c r="CWV5" s="2"/>
      <c r="CWW5" s="2"/>
      <c r="CWX5" s="2"/>
      <c r="CWY5" s="2"/>
      <c r="CWZ5" s="2"/>
      <c r="CXA5" s="2"/>
      <c r="CXB5" s="2"/>
      <c r="CXC5" s="2"/>
      <c r="CXD5" s="2"/>
      <c r="CXE5" s="2"/>
      <c r="CXF5" s="2"/>
      <c r="CXG5" s="2"/>
      <c r="CXH5" s="2"/>
      <c r="CXI5" s="2"/>
      <c r="CXJ5" s="2"/>
      <c r="CXK5" s="2"/>
      <c r="CXL5" s="2"/>
      <c r="CXM5" s="2"/>
      <c r="CXN5" s="2"/>
      <c r="CXO5" s="2"/>
      <c r="CXP5" s="2"/>
      <c r="CXQ5" s="2"/>
      <c r="CXR5" s="2"/>
      <c r="CXS5" s="2"/>
      <c r="CXT5" s="2"/>
      <c r="CXU5" s="2"/>
      <c r="CXV5" s="2"/>
      <c r="CXW5" s="2"/>
      <c r="CXX5" s="2"/>
      <c r="CXY5" s="2"/>
      <c r="CXZ5" s="2"/>
      <c r="CYA5" s="2"/>
      <c r="CYB5" s="2"/>
      <c r="CYC5" s="2"/>
      <c r="CYD5" s="2"/>
      <c r="CYE5" s="2"/>
      <c r="CYF5" s="2"/>
      <c r="CYG5" s="2"/>
      <c r="CYH5" s="2"/>
      <c r="CYI5" s="2"/>
      <c r="CYJ5" s="2"/>
      <c r="CYK5" s="2"/>
      <c r="CYL5" s="2"/>
      <c r="CYM5" s="2"/>
      <c r="CYN5" s="2"/>
      <c r="CYO5" s="2"/>
      <c r="CYP5" s="2"/>
      <c r="CYQ5" s="2"/>
      <c r="CYR5" s="2"/>
      <c r="CYS5" s="2"/>
      <c r="CYT5" s="2"/>
      <c r="CYU5" s="2"/>
      <c r="CYV5" s="2"/>
      <c r="CYW5" s="2"/>
      <c r="CYX5" s="2"/>
      <c r="CYY5" s="2"/>
      <c r="CYZ5" s="2"/>
      <c r="CZA5" s="2"/>
      <c r="CZB5" s="2"/>
      <c r="CZC5" s="2"/>
      <c r="CZD5" s="2"/>
      <c r="CZE5" s="2"/>
      <c r="CZF5" s="2"/>
      <c r="CZG5" s="2"/>
      <c r="CZH5" s="2"/>
      <c r="CZI5" s="2"/>
      <c r="CZJ5" s="2"/>
      <c r="CZK5" s="2"/>
      <c r="CZL5" s="2"/>
      <c r="CZM5" s="2"/>
      <c r="CZN5" s="2"/>
      <c r="CZO5" s="2"/>
      <c r="CZP5" s="2"/>
      <c r="CZQ5" s="2"/>
      <c r="CZR5" s="2"/>
      <c r="CZS5" s="2"/>
      <c r="CZT5" s="2"/>
      <c r="CZU5" s="2"/>
      <c r="CZV5" s="2"/>
      <c r="CZW5" s="2"/>
      <c r="CZX5" s="2"/>
      <c r="CZY5" s="2"/>
      <c r="CZZ5" s="2"/>
      <c r="DAA5" s="2"/>
      <c r="DAB5" s="2"/>
      <c r="DAC5" s="2"/>
      <c r="DAD5" s="2"/>
      <c r="DAE5" s="2"/>
      <c r="DAF5" s="2"/>
      <c r="DAG5" s="2"/>
      <c r="DAH5" s="2"/>
      <c r="DAI5" s="2"/>
      <c r="DAJ5" s="2"/>
      <c r="DAK5" s="2"/>
      <c r="DAL5" s="2"/>
      <c r="DAM5" s="2"/>
      <c r="DAN5" s="2"/>
      <c r="DAO5" s="2"/>
      <c r="DAP5" s="2"/>
      <c r="DAQ5" s="2"/>
      <c r="DAR5" s="2"/>
      <c r="DAS5" s="2"/>
      <c r="DAT5" s="2"/>
      <c r="DAU5" s="2"/>
      <c r="DAV5" s="2"/>
      <c r="DAW5" s="2"/>
      <c r="DAX5" s="2"/>
      <c r="DAY5" s="2"/>
      <c r="DAZ5" s="2"/>
      <c r="DBA5" s="2"/>
      <c r="DBB5" s="2"/>
      <c r="DBC5" s="2"/>
      <c r="DBD5" s="2"/>
      <c r="DBE5" s="2"/>
      <c r="DBF5" s="2"/>
      <c r="DBG5" s="2"/>
      <c r="DBH5" s="2"/>
      <c r="DBI5" s="2"/>
      <c r="DBJ5" s="2"/>
      <c r="DBK5" s="2"/>
      <c r="DBL5" s="2"/>
      <c r="DBM5" s="2"/>
      <c r="DBN5" s="2"/>
      <c r="DBO5" s="2"/>
      <c r="DBP5" s="2"/>
      <c r="DBQ5" s="2"/>
      <c r="DBR5" s="2"/>
      <c r="DBS5" s="2"/>
      <c r="DBT5" s="2"/>
      <c r="DBU5" s="2"/>
      <c r="DBV5" s="2"/>
      <c r="DBW5" s="2"/>
      <c r="DBX5" s="2"/>
      <c r="DBY5" s="2"/>
      <c r="DBZ5" s="2"/>
      <c r="DCA5" s="2"/>
      <c r="DCB5" s="2"/>
      <c r="DCC5" s="2"/>
      <c r="DCD5" s="2"/>
      <c r="DCE5" s="2"/>
      <c r="DCF5" s="2"/>
      <c r="DCG5" s="2"/>
      <c r="DCH5" s="2"/>
      <c r="DCI5" s="2"/>
      <c r="DCJ5" s="2"/>
      <c r="DCK5" s="2"/>
      <c r="DCL5" s="2"/>
      <c r="DCM5" s="2"/>
      <c r="DCN5" s="2"/>
      <c r="DCO5" s="2"/>
      <c r="DCP5" s="2"/>
      <c r="DCQ5" s="2"/>
      <c r="DCR5" s="2"/>
      <c r="DCS5" s="2"/>
      <c r="DCT5" s="2"/>
      <c r="DCU5" s="2"/>
      <c r="DCV5" s="2"/>
      <c r="DCW5" s="2"/>
      <c r="DCX5" s="2"/>
      <c r="DCY5" s="2"/>
      <c r="DCZ5" s="2"/>
      <c r="DDA5" s="2"/>
      <c r="DDB5" s="2"/>
      <c r="DDC5" s="2"/>
      <c r="DDD5" s="2"/>
      <c r="DDE5" s="2"/>
      <c r="DDF5" s="2"/>
      <c r="DDG5" s="2"/>
      <c r="DDH5" s="2"/>
      <c r="DDI5" s="2"/>
      <c r="DDJ5" s="2"/>
      <c r="DDK5" s="2"/>
      <c r="DDL5" s="2"/>
      <c r="DDM5" s="2"/>
      <c r="DDN5" s="2"/>
      <c r="DDO5" s="2"/>
      <c r="DDP5" s="2"/>
      <c r="DDQ5" s="2"/>
      <c r="DDR5" s="2"/>
      <c r="DDS5" s="2"/>
      <c r="DDT5" s="2"/>
      <c r="DDU5" s="2"/>
      <c r="DDV5" s="2"/>
      <c r="DDW5" s="2"/>
      <c r="DDX5" s="2"/>
      <c r="DDY5" s="2"/>
      <c r="DDZ5" s="2"/>
      <c r="DEA5" s="2"/>
      <c r="DEB5" s="2"/>
      <c r="DEC5" s="2"/>
      <c r="DED5" s="2"/>
      <c r="DEE5" s="2"/>
      <c r="DEF5" s="2"/>
      <c r="DEG5" s="2"/>
      <c r="DEH5" s="2"/>
      <c r="DEI5" s="2"/>
      <c r="DEJ5" s="2"/>
      <c r="DEK5" s="2"/>
      <c r="DEL5" s="2"/>
      <c r="DEM5" s="2"/>
      <c r="DEN5" s="2"/>
      <c r="DEO5" s="2"/>
      <c r="DEP5" s="2"/>
      <c r="DEQ5" s="2"/>
      <c r="DER5" s="2"/>
      <c r="DES5" s="2"/>
      <c r="DET5" s="2"/>
      <c r="DEU5" s="2"/>
      <c r="DEV5" s="2"/>
      <c r="DEW5" s="2"/>
      <c r="DEX5" s="2"/>
      <c r="DEY5" s="2"/>
      <c r="DEZ5" s="2"/>
      <c r="DFA5" s="2"/>
      <c r="DFB5" s="2"/>
      <c r="DFC5" s="2"/>
      <c r="DFD5" s="2"/>
      <c r="DFE5" s="2"/>
      <c r="DFF5" s="2"/>
      <c r="DFG5" s="2"/>
      <c r="DFH5" s="2"/>
      <c r="DFI5" s="2"/>
      <c r="DFJ5" s="2"/>
      <c r="DFK5" s="2"/>
      <c r="DFL5" s="2"/>
      <c r="DFM5" s="2"/>
      <c r="DFN5" s="2"/>
      <c r="DFO5" s="2"/>
      <c r="DFP5" s="2"/>
      <c r="DFQ5" s="2"/>
      <c r="DFR5" s="2"/>
      <c r="DFS5" s="2"/>
      <c r="DFT5" s="2"/>
      <c r="DFU5" s="2"/>
      <c r="DFV5" s="2"/>
      <c r="DFW5" s="2"/>
      <c r="DFX5" s="2"/>
      <c r="DFY5" s="2"/>
      <c r="DFZ5" s="2"/>
      <c r="DGA5" s="2"/>
      <c r="DGB5" s="2"/>
      <c r="DGC5" s="2"/>
      <c r="DGD5" s="2"/>
      <c r="DGE5" s="2"/>
      <c r="DGF5" s="2"/>
      <c r="DGG5" s="2"/>
      <c r="DGH5" s="2"/>
      <c r="DGI5" s="2"/>
      <c r="DGJ5" s="2"/>
      <c r="DGK5" s="2"/>
      <c r="DGL5" s="2"/>
      <c r="DGM5" s="2"/>
      <c r="DGN5" s="2"/>
      <c r="DGO5" s="2"/>
      <c r="DGP5" s="2"/>
      <c r="DGQ5" s="2"/>
      <c r="DGR5" s="2"/>
      <c r="DGS5" s="2"/>
      <c r="DGT5" s="2"/>
      <c r="DGU5" s="2"/>
      <c r="DGV5" s="2"/>
      <c r="DGW5" s="2"/>
      <c r="DGX5" s="2"/>
      <c r="DGY5" s="2"/>
      <c r="DGZ5" s="2"/>
      <c r="DHA5" s="2"/>
      <c r="DHB5" s="2"/>
      <c r="DHC5" s="2"/>
      <c r="DHD5" s="2"/>
      <c r="DHE5" s="2"/>
      <c r="DHF5" s="2"/>
      <c r="DHG5" s="2"/>
      <c r="DHH5" s="2"/>
      <c r="DHI5" s="2"/>
      <c r="DHJ5" s="2"/>
      <c r="DHK5" s="2"/>
      <c r="DHL5" s="2"/>
      <c r="DHM5" s="2"/>
      <c r="DHN5" s="2"/>
      <c r="DHO5" s="2"/>
      <c r="DHP5" s="2"/>
      <c r="DHQ5" s="2"/>
      <c r="DHR5" s="2"/>
      <c r="DHS5" s="2"/>
      <c r="DHT5" s="2"/>
      <c r="DHU5" s="2"/>
      <c r="DHV5" s="2"/>
      <c r="DHW5" s="2"/>
      <c r="DHX5" s="2"/>
      <c r="DHY5" s="2"/>
      <c r="DHZ5" s="2"/>
      <c r="DIA5" s="2"/>
      <c r="DIB5" s="2"/>
      <c r="DIC5" s="2"/>
      <c r="DID5" s="2"/>
      <c r="DIE5" s="2"/>
      <c r="DIF5" s="2"/>
      <c r="DIG5" s="2"/>
      <c r="DIH5" s="2"/>
      <c r="DII5" s="2"/>
      <c r="DIJ5" s="2"/>
      <c r="DIK5" s="2"/>
      <c r="DIL5" s="2"/>
      <c r="DIM5" s="2"/>
      <c r="DIN5" s="2"/>
      <c r="DIO5" s="2"/>
      <c r="DIP5" s="2"/>
      <c r="DIQ5" s="2"/>
      <c r="DIR5" s="2"/>
      <c r="DIS5" s="2"/>
      <c r="DIT5" s="2"/>
      <c r="DIU5" s="2"/>
      <c r="DIV5" s="2"/>
      <c r="DIW5" s="2"/>
      <c r="DIX5" s="2"/>
      <c r="DIY5" s="2"/>
      <c r="DIZ5" s="2"/>
      <c r="DJA5" s="2"/>
      <c r="DJB5" s="2"/>
      <c r="DJC5" s="2"/>
      <c r="DJD5" s="2"/>
      <c r="DJE5" s="2"/>
      <c r="DJF5" s="2"/>
      <c r="DJG5" s="2"/>
      <c r="DJH5" s="2"/>
      <c r="DJI5" s="2"/>
      <c r="DJJ5" s="2"/>
      <c r="DJK5" s="2"/>
      <c r="DJL5" s="2"/>
      <c r="DJM5" s="2"/>
      <c r="DJN5" s="2"/>
      <c r="DJO5" s="2"/>
      <c r="DJP5" s="2"/>
      <c r="DJQ5" s="2"/>
      <c r="DJR5" s="2"/>
      <c r="DJS5" s="2"/>
      <c r="DJT5" s="2"/>
      <c r="DJU5" s="2"/>
      <c r="DJV5" s="2"/>
      <c r="DJW5" s="2"/>
      <c r="DJX5" s="2"/>
      <c r="DJY5" s="2"/>
      <c r="DJZ5" s="2"/>
      <c r="DKA5" s="2"/>
      <c r="DKB5" s="2"/>
      <c r="DKC5" s="2"/>
      <c r="DKD5" s="2"/>
      <c r="DKE5" s="2"/>
      <c r="DKF5" s="2"/>
      <c r="DKG5" s="2"/>
      <c r="DKH5" s="2"/>
      <c r="DKI5" s="2"/>
      <c r="DKJ5" s="2"/>
      <c r="DKK5" s="2"/>
      <c r="DKL5" s="2"/>
      <c r="DKM5" s="2"/>
      <c r="DKN5" s="2"/>
      <c r="DKO5" s="2"/>
      <c r="DKP5" s="2"/>
      <c r="DKQ5" s="2"/>
      <c r="DKR5" s="2"/>
      <c r="DKS5" s="2"/>
      <c r="DKT5" s="2"/>
      <c r="DKU5" s="2"/>
      <c r="DKV5" s="2"/>
      <c r="DKW5" s="2"/>
      <c r="DKX5" s="2"/>
      <c r="DKY5" s="2"/>
      <c r="DKZ5" s="2"/>
      <c r="DLA5" s="2"/>
      <c r="DLB5" s="2"/>
      <c r="DLC5" s="2"/>
      <c r="DLD5" s="2"/>
      <c r="DLE5" s="2"/>
      <c r="DLF5" s="2"/>
      <c r="DLG5" s="2"/>
      <c r="DLH5" s="2"/>
      <c r="DLI5" s="2"/>
      <c r="DLJ5" s="2"/>
      <c r="DLK5" s="2"/>
      <c r="DLL5" s="2"/>
      <c r="DLM5" s="2"/>
      <c r="DLN5" s="2"/>
      <c r="DLO5" s="2"/>
      <c r="DLP5" s="2"/>
      <c r="DLQ5" s="2"/>
      <c r="DLR5" s="2"/>
      <c r="DLS5" s="2"/>
      <c r="DLT5" s="2"/>
      <c r="DLU5" s="2"/>
      <c r="DLV5" s="2"/>
      <c r="DLW5" s="2"/>
      <c r="DLX5" s="2"/>
      <c r="DLY5" s="2"/>
      <c r="DLZ5" s="2"/>
      <c r="DMA5" s="2"/>
      <c r="DMB5" s="2"/>
      <c r="DMC5" s="2"/>
      <c r="DMD5" s="2"/>
      <c r="DME5" s="2"/>
      <c r="DMF5" s="2"/>
      <c r="DMG5" s="2"/>
      <c r="DMH5" s="2"/>
      <c r="DMI5" s="2"/>
      <c r="DMJ5" s="2"/>
      <c r="DMK5" s="2"/>
      <c r="DML5" s="2"/>
      <c r="DMM5" s="2"/>
      <c r="DMN5" s="2"/>
      <c r="DMO5" s="2"/>
      <c r="DMP5" s="2"/>
      <c r="DMQ5" s="2"/>
      <c r="DMR5" s="2"/>
      <c r="DMS5" s="2"/>
      <c r="DMT5" s="2"/>
      <c r="DMU5" s="2"/>
      <c r="DMV5" s="2"/>
      <c r="DMW5" s="2"/>
      <c r="DMX5" s="2"/>
      <c r="DMY5" s="2"/>
      <c r="DMZ5" s="2"/>
      <c r="DNA5" s="2"/>
      <c r="DNB5" s="2"/>
      <c r="DNC5" s="2"/>
      <c r="DND5" s="2"/>
      <c r="DNE5" s="2"/>
      <c r="DNF5" s="2"/>
      <c r="DNG5" s="2"/>
      <c r="DNH5" s="2"/>
      <c r="DNI5" s="2"/>
      <c r="DNJ5" s="2"/>
      <c r="DNK5" s="2"/>
      <c r="DNL5" s="2"/>
      <c r="DNM5" s="2"/>
      <c r="DNN5" s="2"/>
      <c r="DNO5" s="2"/>
      <c r="DNP5" s="2"/>
      <c r="DNQ5" s="2"/>
      <c r="DNR5" s="2"/>
      <c r="DNS5" s="2"/>
      <c r="DNT5" s="2"/>
      <c r="DNU5" s="2"/>
      <c r="DNV5" s="2"/>
      <c r="DNW5" s="2"/>
      <c r="DNX5" s="2"/>
      <c r="DNY5" s="2"/>
      <c r="DNZ5" s="2"/>
      <c r="DOA5" s="2"/>
      <c r="DOB5" s="2"/>
      <c r="DOC5" s="2"/>
      <c r="DOD5" s="2"/>
      <c r="DOE5" s="2"/>
      <c r="DOF5" s="2"/>
      <c r="DOG5" s="2"/>
      <c r="DOH5" s="2"/>
      <c r="DOI5" s="2"/>
      <c r="DOJ5" s="2"/>
      <c r="DOK5" s="2"/>
      <c r="DOL5" s="2"/>
      <c r="DOM5" s="2"/>
      <c r="DON5" s="2"/>
      <c r="DOO5" s="2"/>
      <c r="DOP5" s="2"/>
      <c r="DOQ5" s="2"/>
      <c r="DOR5" s="2"/>
      <c r="DOS5" s="2"/>
      <c r="DOT5" s="2"/>
      <c r="DOU5" s="2"/>
      <c r="DOV5" s="2"/>
      <c r="DOW5" s="2"/>
      <c r="DOX5" s="2"/>
      <c r="DOY5" s="2"/>
      <c r="DOZ5" s="2"/>
      <c r="DPA5" s="2"/>
      <c r="DPB5" s="2"/>
      <c r="DPC5" s="2"/>
      <c r="DPD5" s="2"/>
      <c r="DPE5" s="2"/>
      <c r="DPF5" s="2"/>
      <c r="DPG5" s="2"/>
      <c r="DPH5" s="2"/>
      <c r="DPI5" s="2"/>
      <c r="DPJ5" s="2"/>
      <c r="DPK5" s="2"/>
      <c r="DPL5" s="2"/>
      <c r="DPM5" s="2"/>
      <c r="DPN5" s="2"/>
      <c r="DPO5" s="2"/>
      <c r="DPP5" s="2"/>
      <c r="DPQ5" s="2"/>
      <c r="DPR5" s="2"/>
      <c r="DPS5" s="2"/>
      <c r="DPT5" s="2"/>
      <c r="DPU5" s="2"/>
      <c r="DPV5" s="2"/>
      <c r="DPW5" s="2"/>
      <c r="DPX5" s="2"/>
      <c r="DPY5" s="2"/>
      <c r="DPZ5" s="2"/>
      <c r="DQA5" s="2"/>
      <c r="DQB5" s="2"/>
      <c r="DQC5" s="2"/>
      <c r="DQD5" s="2"/>
      <c r="DQE5" s="2"/>
      <c r="DQF5" s="2"/>
      <c r="DQG5" s="2"/>
      <c r="DQH5" s="2"/>
      <c r="DQI5" s="2"/>
      <c r="DQJ5" s="2"/>
      <c r="DQK5" s="2"/>
      <c r="DQL5" s="2"/>
      <c r="DQM5" s="2"/>
      <c r="DQN5" s="2"/>
      <c r="DQO5" s="2"/>
      <c r="DQP5" s="2"/>
      <c r="DQQ5" s="2"/>
      <c r="DQR5" s="2"/>
      <c r="DQS5" s="2"/>
      <c r="DQT5" s="2"/>
      <c r="DQU5" s="2"/>
      <c r="DQV5" s="2"/>
      <c r="DQW5" s="2"/>
      <c r="DQX5" s="2"/>
      <c r="DQY5" s="2"/>
      <c r="DQZ5" s="2"/>
      <c r="DRA5" s="2"/>
      <c r="DRB5" s="2"/>
      <c r="DRC5" s="2"/>
      <c r="DRD5" s="2"/>
      <c r="DRE5" s="2"/>
      <c r="DRF5" s="2"/>
      <c r="DRG5" s="2"/>
      <c r="DRH5" s="2"/>
      <c r="DRI5" s="2"/>
      <c r="DRJ5" s="2"/>
      <c r="DRK5" s="2"/>
      <c r="DRL5" s="2"/>
      <c r="DRM5" s="2"/>
      <c r="DRN5" s="2"/>
      <c r="DRO5" s="2"/>
      <c r="DRP5" s="2"/>
      <c r="DRQ5" s="2"/>
      <c r="DRR5" s="2"/>
      <c r="DRS5" s="2"/>
      <c r="DRT5" s="2"/>
      <c r="DRU5" s="2"/>
      <c r="DRV5" s="2"/>
      <c r="DRW5" s="2"/>
      <c r="DRX5" s="2"/>
      <c r="DRY5" s="2"/>
      <c r="DRZ5" s="2"/>
      <c r="DSA5" s="2"/>
      <c r="DSB5" s="2"/>
      <c r="DSC5" s="2"/>
      <c r="DSD5" s="2"/>
      <c r="DSE5" s="2"/>
      <c r="DSF5" s="2"/>
      <c r="DSG5" s="2"/>
      <c r="DSH5" s="2"/>
      <c r="DSI5" s="2"/>
      <c r="DSJ5" s="2"/>
      <c r="DSK5" s="2"/>
      <c r="DSL5" s="2"/>
      <c r="DSM5" s="2"/>
      <c r="DSN5" s="2"/>
      <c r="DSO5" s="2"/>
      <c r="DSP5" s="2"/>
      <c r="DSQ5" s="2"/>
      <c r="DSR5" s="2"/>
      <c r="DSS5" s="2"/>
      <c r="DST5" s="2"/>
      <c r="DSU5" s="2"/>
      <c r="DSV5" s="2"/>
      <c r="DSW5" s="2"/>
      <c r="DSX5" s="2"/>
      <c r="DSY5" s="2"/>
      <c r="DSZ5" s="2"/>
      <c r="DTA5" s="2"/>
      <c r="DTB5" s="2"/>
      <c r="DTC5" s="2"/>
      <c r="DTD5" s="2"/>
      <c r="DTE5" s="2"/>
      <c r="DTF5" s="2"/>
      <c r="DTG5" s="2"/>
      <c r="DTH5" s="2"/>
      <c r="DTI5" s="2"/>
      <c r="DTJ5" s="2"/>
      <c r="DTK5" s="2"/>
      <c r="DTL5" s="2"/>
      <c r="DTM5" s="2"/>
      <c r="DTN5" s="2"/>
      <c r="DTO5" s="2"/>
      <c r="DTP5" s="2"/>
      <c r="DTQ5" s="2"/>
      <c r="DTR5" s="2"/>
      <c r="DTS5" s="2"/>
      <c r="DTT5" s="2"/>
      <c r="DTU5" s="2"/>
      <c r="DTV5" s="2"/>
      <c r="DTW5" s="2"/>
      <c r="DTX5" s="2"/>
      <c r="DTY5" s="2"/>
      <c r="DTZ5" s="2"/>
      <c r="DUA5" s="2"/>
      <c r="DUB5" s="2"/>
      <c r="DUC5" s="2"/>
      <c r="DUD5" s="2"/>
      <c r="DUE5" s="2"/>
      <c r="DUF5" s="2"/>
      <c r="DUG5" s="2"/>
      <c r="DUH5" s="2"/>
      <c r="DUI5" s="2"/>
      <c r="DUJ5" s="2"/>
      <c r="DUK5" s="2"/>
      <c r="DUL5" s="2"/>
      <c r="DUM5" s="2"/>
      <c r="DUN5" s="2"/>
      <c r="DUO5" s="2"/>
      <c r="DUP5" s="2"/>
      <c r="DUQ5" s="2"/>
      <c r="DUR5" s="2"/>
      <c r="DUS5" s="2"/>
      <c r="DUT5" s="2"/>
      <c r="DUU5" s="2"/>
      <c r="DUV5" s="2"/>
      <c r="DUW5" s="2"/>
      <c r="DUX5" s="2"/>
      <c r="DUY5" s="2"/>
      <c r="DUZ5" s="2"/>
      <c r="DVA5" s="2"/>
      <c r="DVB5" s="2"/>
      <c r="DVC5" s="2"/>
      <c r="DVD5" s="2"/>
      <c r="DVE5" s="2"/>
      <c r="DVF5" s="2"/>
      <c r="DVG5" s="2"/>
      <c r="DVH5" s="2"/>
      <c r="DVI5" s="2"/>
      <c r="DVJ5" s="2"/>
      <c r="DVK5" s="2"/>
      <c r="DVL5" s="2"/>
      <c r="DVM5" s="2"/>
      <c r="DVN5" s="2"/>
      <c r="DVO5" s="2"/>
      <c r="DVP5" s="2"/>
      <c r="DVQ5" s="2"/>
      <c r="DVR5" s="2"/>
      <c r="DVS5" s="2"/>
      <c r="DVT5" s="2"/>
      <c r="DVU5" s="2"/>
      <c r="DVV5" s="2"/>
      <c r="DVW5" s="2"/>
      <c r="DVX5" s="2"/>
      <c r="DVY5" s="2"/>
      <c r="DVZ5" s="2"/>
      <c r="DWA5" s="2"/>
      <c r="DWB5" s="2"/>
      <c r="DWC5" s="2"/>
      <c r="DWD5" s="2"/>
      <c r="DWE5" s="2"/>
      <c r="DWF5" s="2"/>
      <c r="DWG5" s="2"/>
      <c r="DWH5" s="2"/>
      <c r="DWI5" s="2"/>
      <c r="DWJ5" s="2"/>
      <c r="DWK5" s="2"/>
      <c r="DWL5" s="2"/>
      <c r="DWM5" s="2"/>
      <c r="DWN5" s="2"/>
      <c r="DWO5" s="2"/>
      <c r="DWP5" s="2"/>
      <c r="DWQ5" s="2"/>
      <c r="DWR5" s="2"/>
      <c r="DWS5" s="2"/>
      <c r="DWT5" s="2"/>
      <c r="DWU5" s="2"/>
      <c r="DWV5" s="2"/>
      <c r="DWW5" s="2"/>
      <c r="DWX5" s="2"/>
      <c r="DWY5" s="2"/>
      <c r="DWZ5" s="2"/>
      <c r="DXA5" s="2"/>
      <c r="DXB5" s="2"/>
      <c r="DXC5" s="2"/>
      <c r="DXD5" s="2"/>
      <c r="DXE5" s="2"/>
      <c r="DXF5" s="2"/>
      <c r="DXG5" s="2"/>
      <c r="DXH5" s="2"/>
      <c r="DXI5" s="2"/>
      <c r="DXJ5" s="2"/>
      <c r="DXK5" s="2"/>
      <c r="DXL5" s="2"/>
      <c r="DXM5" s="2"/>
      <c r="DXN5" s="2"/>
      <c r="DXO5" s="2"/>
      <c r="DXP5" s="2"/>
      <c r="DXQ5" s="2"/>
      <c r="DXR5" s="2"/>
      <c r="DXS5" s="2"/>
      <c r="DXT5" s="2"/>
      <c r="DXU5" s="2"/>
      <c r="DXV5" s="2"/>
      <c r="DXW5" s="2"/>
      <c r="DXX5" s="2"/>
      <c r="DXY5" s="2"/>
      <c r="DXZ5" s="2"/>
      <c r="DYA5" s="2"/>
      <c r="DYB5" s="2"/>
      <c r="DYC5" s="2"/>
      <c r="DYD5" s="2"/>
      <c r="DYE5" s="2"/>
      <c r="DYF5" s="2"/>
      <c r="DYG5" s="2"/>
      <c r="DYH5" s="2"/>
      <c r="DYI5" s="2"/>
      <c r="DYJ5" s="2"/>
      <c r="DYK5" s="2"/>
      <c r="DYL5" s="2"/>
      <c r="DYM5" s="2"/>
      <c r="DYN5" s="2"/>
      <c r="DYO5" s="2"/>
      <c r="DYP5" s="2"/>
      <c r="DYQ5" s="2"/>
      <c r="DYR5" s="2"/>
      <c r="DYS5" s="2"/>
      <c r="DYT5" s="2"/>
      <c r="DYU5" s="2"/>
      <c r="DYV5" s="2"/>
      <c r="DYW5" s="2"/>
      <c r="DYX5" s="2"/>
      <c r="DYY5" s="2"/>
      <c r="DYZ5" s="2"/>
      <c r="DZA5" s="2"/>
      <c r="DZB5" s="2"/>
      <c r="DZC5" s="2"/>
      <c r="DZD5" s="2"/>
      <c r="DZE5" s="2"/>
      <c r="DZF5" s="2"/>
      <c r="DZG5" s="2"/>
      <c r="DZH5" s="2"/>
      <c r="DZI5" s="2"/>
      <c r="DZJ5" s="2"/>
      <c r="DZK5" s="2"/>
      <c r="DZL5" s="2"/>
      <c r="DZM5" s="2"/>
      <c r="DZN5" s="2"/>
      <c r="DZO5" s="2"/>
      <c r="DZP5" s="2"/>
      <c r="DZQ5" s="2"/>
      <c r="DZR5" s="2"/>
      <c r="DZS5" s="2"/>
      <c r="DZT5" s="2"/>
      <c r="DZU5" s="2"/>
      <c r="DZV5" s="2"/>
      <c r="DZW5" s="2"/>
      <c r="DZX5" s="2"/>
      <c r="DZY5" s="2"/>
      <c r="DZZ5" s="2"/>
      <c r="EAA5" s="2"/>
      <c r="EAB5" s="2"/>
      <c r="EAC5" s="2"/>
      <c r="EAD5" s="2"/>
      <c r="EAE5" s="2"/>
      <c r="EAF5" s="2"/>
      <c r="EAG5" s="2"/>
      <c r="EAH5" s="2"/>
      <c r="EAI5" s="2"/>
      <c r="EAJ5" s="2"/>
      <c r="EAK5" s="2"/>
      <c r="EAL5" s="2"/>
      <c r="EAM5" s="2"/>
      <c r="EAN5" s="2"/>
      <c r="EAO5" s="2"/>
      <c r="EAP5" s="2"/>
      <c r="EAQ5" s="2"/>
      <c r="EAR5" s="2"/>
      <c r="EAS5" s="2"/>
      <c r="EAT5" s="2"/>
      <c r="EAU5" s="2"/>
      <c r="EAV5" s="2"/>
      <c r="EAW5" s="2"/>
      <c r="EAX5" s="2"/>
      <c r="EAY5" s="2"/>
      <c r="EAZ5" s="2"/>
      <c r="EBA5" s="2"/>
      <c r="EBB5" s="2"/>
      <c r="EBC5" s="2"/>
      <c r="EBD5" s="2"/>
      <c r="EBE5" s="2"/>
      <c r="EBF5" s="2"/>
      <c r="EBG5" s="2"/>
      <c r="EBH5" s="2"/>
      <c r="EBI5" s="2"/>
      <c r="EBJ5" s="2"/>
      <c r="EBK5" s="2"/>
      <c r="EBL5" s="2"/>
      <c r="EBM5" s="2"/>
      <c r="EBN5" s="2"/>
      <c r="EBO5" s="2"/>
      <c r="EBP5" s="2"/>
      <c r="EBQ5" s="2"/>
      <c r="EBR5" s="2"/>
      <c r="EBS5" s="2"/>
      <c r="EBT5" s="2"/>
      <c r="EBU5" s="2"/>
      <c r="EBV5" s="2"/>
      <c r="EBW5" s="2"/>
      <c r="EBX5" s="2"/>
      <c r="EBY5" s="2"/>
      <c r="EBZ5" s="2"/>
      <c r="ECA5" s="2"/>
      <c r="ECB5" s="2"/>
      <c r="ECC5" s="2"/>
      <c r="ECD5" s="2"/>
      <c r="ECE5" s="2"/>
      <c r="ECF5" s="2"/>
      <c r="ECG5" s="2"/>
      <c r="ECH5" s="2"/>
      <c r="ECI5" s="2"/>
      <c r="ECJ5" s="2"/>
      <c r="ECK5" s="2"/>
      <c r="ECL5" s="2"/>
      <c r="ECM5" s="2"/>
      <c r="ECN5" s="2"/>
      <c r="ECO5" s="2"/>
      <c r="ECP5" s="2"/>
      <c r="ECQ5" s="2"/>
      <c r="ECR5" s="2"/>
      <c r="ECS5" s="2"/>
      <c r="ECT5" s="2"/>
      <c r="ECU5" s="2"/>
      <c r="ECV5" s="2"/>
      <c r="ECW5" s="2"/>
      <c r="ECX5" s="2"/>
      <c r="ECY5" s="2"/>
      <c r="ECZ5" s="2"/>
      <c r="EDA5" s="2"/>
      <c r="EDB5" s="2"/>
      <c r="EDC5" s="2"/>
      <c r="EDD5" s="2"/>
      <c r="EDE5" s="2"/>
      <c r="EDF5" s="2"/>
      <c r="EDG5" s="2"/>
      <c r="EDH5" s="2"/>
      <c r="EDI5" s="2"/>
      <c r="EDJ5" s="2"/>
      <c r="EDK5" s="2"/>
      <c r="EDL5" s="2"/>
      <c r="EDM5" s="2"/>
      <c r="EDN5" s="2"/>
      <c r="EDO5" s="2"/>
      <c r="EDP5" s="2"/>
      <c r="EDQ5" s="2"/>
      <c r="EDR5" s="2"/>
      <c r="EDS5" s="2"/>
      <c r="EDT5" s="2"/>
      <c r="EDU5" s="2"/>
      <c r="EDV5" s="2"/>
      <c r="EDW5" s="2"/>
      <c r="EDX5" s="2"/>
      <c r="EDY5" s="2"/>
      <c r="EDZ5" s="2"/>
      <c r="EEA5" s="2"/>
      <c r="EEB5" s="2"/>
      <c r="EEC5" s="2"/>
      <c r="EED5" s="2"/>
      <c r="EEE5" s="2"/>
      <c r="EEF5" s="2"/>
      <c r="EEG5" s="2"/>
      <c r="EEH5" s="2"/>
      <c r="EEI5" s="2"/>
      <c r="EEJ5" s="2"/>
      <c r="EEK5" s="2"/>
      <c r="EEL5" s="2"/>
      <c r="EEM5" s="2"/>
      <c r="EEN5" s="2"/>
      <c r="EEO5" s="2"/>
      <c r="EEP5" s="2"/>
      <c r="EEQ5" s="2"/>
      <c r="EER5" s="2"/>
      <c r="EES5" s="2"/>
      <c r="EET5" s="2"/>
      <c r="EEU5" s="2"/>
      <c r="EEV5" s="2"/>
      <c r="EEW5" s="2"/>
      <c r="EEX5" s="2"/>
      <c r="EEY5" s="2"/>
      <c r="EEZ5" s="2"/>
      <c r="EFA5" s="2"/>
      <c r="EFB5" s="2"/>
      <c r="EFC5" s="2"/>
      <c r="EFD5" s="2"/>
      <c r="EFE5" s="2"/>
      <c r="EFF5" s="2"/>
      <c r="EFG5" s="2"/>
      <c r="EFH5" s="2"/>
      <c r="EFI5" s="2"/>
      <c r="EFJ5" s="2"/>
      <c r="EFK5" s="2"/>
      <c r="EFL5" s="2"/>
      <c r="EFM5" s="2"/>
      <c r="EFN5" s="2"/>
      <c r="EFO5" s="2"/>
      <c r="EFP5" s="2"/>
      <c r="EFQ5" s="2"/>
      <c r="EFR5" s="2"/>
      <c r="EFS5" s="2"/>
      <c r="EFT5" s="2"/>
      <c r="EFU5" s="2"/>
      <c r="EFV5" s="2"/>
      <c r="EFW5" s="2"/>
      <c r="EFX5" s="2"/>
      <c r="EFY5" s="2"/>
      <c r="EFZ5" s="2"/>
      <c r="EGA5" s="2"/>
      <c r="EGB5" s="2"/>
      <c r="EGC5" s="2"/>
      <c r="EGD5" s="2"/>
      <c r="EGE5" s="2"/>
      <c r="EGF5" s="2"/>
      <c r="EGG5" s="2"/>
      <c r="EGH5" s="2"/>
      <c r="EGI5" s="2"/>
      <c r="EGJ5" s="2"/>
      <c r="EGK5" s="2"/>
      <c r="EGL5" s="2"/>
      <c r="EGM5" s="2"/>
      <c r="EGN5" s="2"/>
      <c r="EGO5" s="2"/>
      <c r="EGP5" s="2"/>
      <c r="EGQ5" s="2"/>
      <c r="EGR5" s="2"/>
      <c r="EGS5" s="2"/>
      <c r="EGT5" s="2"/>
      <c r="EGU5" s="2"/>
      <c r="EGV5" s="2"/>
      <c r="EGW5" s="2"/>
      <c r="EGX5" s="2"/>
      <c r="EGY5" s="2"/>
      <c r="EGZ5" s="2"/>
      <c r="EHA5" s="2"/>
      <c r="EHB5" s="2"/>
      <c r="EHC5" s="2"/>
      <c r="EHD5" s="2"/>
      <c r="EHE5" s="2"/>
      <c r="EHF5" s="2"/>
      <c r="EHG5" s="2"/>
      <c r="EHH5" s="2"/>
      <c r="EHI5" s="2"/>
      <c r="EHJ5" s="2"/>
      <c r="EHK5" s="2"/>
      <c r="EHL5" s="2"/>
      <c r="EHM5" s="2"/>
      <c r="EHN5" s="2"/>
      <c r="EHO5" s="2"/>
      <c r="EHP5" s="2"/>
      <c r="EHQ5" s="2"/>
      <c r="EHR5" s="2"/>
      <c r="EHS5" s="2"/>
      <c r="EHT5" s="2"/>
      <c r="EHU5" s="2"/>
      <c r="EHV5" s="2"/>
      <c r="EHW5" s="2"/>
      <c r="EHX5" s="2"/>
      <c r="EHY5" s="2"/>
      <c r="EHZ5" s="2"/>
      <c r="EIA5" s="2"/>
      <c r="EIB5" s="2"/>
      <c r="EIC5" s="2"/>
      <c r="EID5" s="2"/>
      <c r="EIE5" s="2"/>
      <c r="EIF5" s="2"/>
      <c r="EIG5" s="2"/>
      <c r="EIH5" s="2"/>
      <c r="EII5" s="2"/>
      <c r="EIJ5" s="2"/>
      <c r="EIK5" s="2"/>
      <c r="EIL5" s="2"/>
      <c r="EIM5" s="2"/>
      <c r="EIN5" s="2"/>
      <c r="EIO5" s="2"/>
      <c r="EIP5" s="2"/>
      <c r="EIQ5" s="2"/>
      <c r="EIR5" s="2"/>
      <c r="EIS5" s="2"/>
      <c r="EIT5" s="2"/>
      <c r="EIU5" s="2"/>
      <c r="EIV5" s="2"/>
      <c r="EIW5" s="2"/>
      <c r="EIX5" s="2"/>
      <c r="EIY5" s="2"/>
      <c r="EIZ5" s="2"/>
      <c r="EJA5" s="2"/>
      <c r="EJB5" s="2"/>
      <c r="EJC5" s="2"/>
      <c r="EJD5" s="2"/>
      <c r="EJE5" s="2"/>
      <c r="EJF5" s="2"/>
      <c r="EJG5" s="2"/>
      <c r="EJH5" s="2"/>
      <c r="EJI5" s="2"/>
      <c r="EJJ5" s="2"/>
      <c r="EJK5" s="2"/>
      <c r="EJL5" s="2"/>
      <c r="EJM5" s="2"/>
      <c r="EJN5" s="2"/>
      <c r="EJO5" s="2"/>
      <c r="EJP5" s="2"/>
      <c r="EJQ5" s="2"/>
      <c r="EJR5" s="2"/>
      <c r="EJS5" s="2"/>
      <c r="EJT5" s="2"/>
      <c r="EJU5" s="2"/>
      <c r="EJV5" s="2"/>
      <c r="EJW5" s="2"/>
      <c r="EJX5" s="2"/>
      <c r="EJY5" s="2"/>
      <c r="EJZ5" s="2"/>
      <c r="EKA5" s="2"/>
      <c r="EKB5" s="2"/>
      <c r="EKC5" s="2"/>
      <c r="EKD5" s="2"/>
      <c r="EKE5" s="2"/>
      <c r="EKF5" s="2"/>
      <c r="EKG5" s="2"/>
      <c r="EKH5" s="2"/>
      <c r="EKI5" s="2"/>
      <c r="EKJ5" s="2"/>
      <c r="EKK5" s="2"/>
      <c r="EKL5" s="2"/>
      <c r="EKM5" s="2"/>
      <c r="EKN5" s="2"/>
      <c r="EKO5" s="2"/>
      <c r="EKP5" s="2"/>
      <c r="EKQ5" s="2"/>
      <c r="EKR5" s="2"/>
      <c r="EKS5" s="2"/>
      <c r="EKT5" s="2"/>
      <c r="EKU5" s="2"/>
      <c r="EKV5" s="2"/>
      <c r="EKW5" s="2"/>
      <c r="EKX5" s="2"/>
      <c r="EKY5" s="2"/>
      <c r="EKZ5" s="2"/>
      <c r="ELA5" s="2"/>
      <c r="ELB5" s="2"/>
      <c r="ELC5" s="2"/>
      <c r="ELD5" s="2"/>
      <c r="ELE5" s="2"/>
      <c r="ELF5" s="2"/>
      <c r="ELG5" s="2"/>
      <c r="ELH5" s="2"/>
      <c r="ELI5" s="2"/>
      <c r="ELJ5" s="2"/>
      <c r="ELK5" s="2"/>
      <c r="ELL5" s="2"/>
      <c r="ELM5" s="2"/>
      <c r="ELN5" s="2"/>
      <c r="ELO5" s="2"/>
      <c r="ELP5" s="2"/>
      <c r="ELQ5" s="2"/>
      <c r="ELR5" s="2"/>
      <c r="ELS5" s="2"/>
      <c r="ELT5" s="2"/>
      <c r="ELU5" s="2"/>
      <c r="ELV5" s="2"/>
      <c r="ELW5" s="2"/>
      <c r="ELX5" s="2"/>
      <c r="ELY5" s="2"/>
      <c r="ELZ5" s="2"/>
      <c r="EMA5" s="2"/>
      <c r="EMB5" s="2"/>
      <c r="EMC5" s="2"/>
      <c r="EMD5" s="2"/>
      <c r="EME5" s="2"/>
      <c r="EMF5" s="2"/>
      <c r="EMG5" s="2"/>
      <c r="EMH5" s="2"/>
      <c r="EMI5" s="2"/>
      <c r="EMJ5" s="2"/>
      <c r="EMK5" s="2"/>
      <c r="EML5" s="2"/>
      <c r="EMM5" s="2"/>
      <c r="EMN5" s="2"/>
      <c r="EMO5" s="2"/>
      <c r="EMP5" s="2"/>
      <c r="EMQ5" s="2"/>
      <c r="EMR5" s="2"/>
      <c r="EMS5" s="2"/>
      <c r="EMT5" s="2"/>
      <c r="EMU5" s="2"/>
      <c r="EMV5" s="2"/>
      <c r="EMW5" s="2"/>
      <c r="EMX5" s="2"/>
      <c r="EMY5" s="2"/>
      <c r="EMZ5" s="2"/>
      <c r="ENA5" s="2"/>
      <c r="ENB5" s="2"/>
      <c r="ENC5" s="2"/>
      <c r="END5" s="2"/>
      <c r="ENE5" s="2"/>
      <c r="ENF5" s="2"/>
      <c r="ENG5" s="2"/>
      <c r="ENH5" s="2"/>
      <c r="ENI5" s="2"/>
      <c r="ENJ5" s="2"/>
      <c r="ENK5" s="2"/>
      <c r="ENL5" s="2"/>
      <c r="ENM5" s="2"/>
      <c r="ENN5" s="2"/>
      <c r="ENO5" s="2"/>
      <c r="ENP5" s="2"/>
      <c r="ENQ5" s="2"/>
      <c r="ENR5" s="2"/>
      <c r="ENS5" s="2"/>
      <c r="ENT5" s="2"/>
      <c r="ENU5" s="2"/>
      <c r="ENV5" s="2"/>
      <c r="ENW5" s="2"/>
      <c r="ENX5" s="2"/>
      <c r="ENY5" s="2"/>
      <c r="ENZ5" s="2"/>
      <c r="EOA5" s="2"/>
      <c r="EOB5" s="2"/>
      <c r="EOC5" s="2"/>
      <c r="EOD5" s="2"/>
      <c r="EOE5" s="2"/>
      <c r="EOF5" s="2"/>
      <c r="EOG5" s="2"/>
      <c r="EOH5" s="2"/>
      <c r="EOI5" s="2"/>
      <c r="EOJ5" s="2"/>
      <c r="EOK5" s="2"/>
      <c r="EOL5" s="2"/>
      <c r="EOM5" s="2"/>
      <c r="EON5" s="2"/>
      <c r="EOO5" s="2"/>
      <c r="EOP5" s="2"/>
      <c r="EOQ5" s="2"/>
      <c r="EOR5" s="2"/>
      <c r="EOS5" s="2"/>
      <c r="EOT5" s="2"/>
      <c r="EOU5" s="2"/>
      <c r="EOV5" s="2"/>
      <c r="EOW5" s="2"/>
      <c r="EOX5" s="2"/>
      <c r="EOY5" s="2"/>
      <c r="EOZ5" s="2"/>
      <c r="EPA5" s="2"/>
      <c r="EPB5" s="2"/>
      <c r="EPC5" s="2"/>
      <c r="EPD5" s="2"/>
      <c r="EPE5" s="2"/>
      <c r="EPF5" s="2"/>
      <c r="EPG5" s="2"/>
      <c r="EPH5" s="2"/>
      <c r="EPI5" s="2"/>
      <c r="EPJ5" s="2"/>
      <c r="EPK5" s="2"/>
      <c r="EPL5" s="2"/>
      <c r="EPM5" s="2"/>
      <c r="EPN5" s="2"/>
      <c r="EPO5" s="2"/>
      <c r="EPP5" s="2"/>
      <c r="EPQ5" s="2"/>
      <c r="EPR5" s="2"/>
      <c r="EPS5" s="2"/>
      <c r="EPT5" s="2"/>
      <c r="EPU5" s="2"/>
      <c r="EPV5" s="2"/>
      <c r="EPW5" s="2"/>
      <c r="EPX5" s="2"/>
      <c r="EPY5" s="2"/>
      <c r="EPZ5" s="2"/>
      <c r="EQA5" s="2"/>
      <c r="EQB5" s="2"/>
      <c r="EQC5" s="2"/>
      <c r="EQD5" s="2"/>
      <c r="EQE5" s="2"/>
      <c r="EQF5" s="2"/>
      <c r="EQG5" s="2"/>
      <c r="EQH5" s="2"/>
      <c r="EQI5" s="2"/>
      <c r="EQJ5" s="2"/>
      <c r="EQK5" s="2"/>
      <c r="EQL5" s="2"/>
      <c r="EQM5" s="2"/>
      <c r="EQN5" s="2"/>
      <c r="EQO5" s="2"/>
      <c r="EQP5" s="2"/>
      <c r="EQQ5" s="2"/>
      <c r="EQR5" s="2"/>
      <c r="EQS5" s="2"/>
      <c r="EQT5" s="2"/>
      <c r="EQU5" s="2"/>
      <c r="EQV5" s="2"/>
      <c r="EQW5" s="2"/>
      <c r="EQX5" s="2"/>
      <c r="EQY5" s="2"/>
      <c r="EQZ5" s="2"/>
      <c r="ERA5" s="2"/>
      <c r="ERB5" s="2"/>
      <c r="ERC5" s="2"/>
      <c r="ERD5" s="2"/>
      <c r="ERE5" s="2"/>
      <c r="ERF5" s="2"/>
      <c r="ERG5" s="2"/>
      <c r="ERH5" s="2"/>
      <c r="ERI5" s="2"/>
      <c r="ERJ5" s="2"/>
      <c r="ERK5" s="2"/>
      <c r="ERL5" s="2"/>
      <c r="ERM5" s="2"/>
      <c r="ERN5" s="2"/>
      <c r="ERO5" s="2"/>
      <c r="ERP5" s="2"/>
      <c r="ERQ5" s="2"/>
      <c r="ERR5" s="2"/>
      <c r="ERS5" s="2"/>
      <c r="ERT5" s="2"/>
      <c r="ERU5" s="2"/>
      <c r="ERV5" s="2"/>
      <c r="ERW5" s="2"/>
      <c r="ERX5" s="2"/>
      <c r="ERY5" s="2"/>
      <c r="ERZ5" s="2"/>
      <c r="ESA5" s="2"/>
      <c r="ESB5" s="2"/>
      <c r="ESC5" s="2"/>
      <c r="ESD5" s="2"/>
      <c r="ESE5" s="2"/>
      <c r="ESF5" s="2"/>
      <c r="ESG5" s="2"/>
      <c r="ESH5" s="2"/>
      <c r="ESI5" s="2"/>
      <c r="ESJ5" s="2"/>
      <c r="ESK5" s="2"/>
      <c r="ESL5" s="2"/>
      <c r="ESM5" s="2"/>
      <c r="ESN5" s="2"/>
      <c r="ESO5" s="2"/>
      <c r="ESP5" s="2"/>
      <c r="ESQ5" s="2"/>
      <c r="ESR5" s="2"/>
      <c r="ESS5" s="2"/>
      <c r="EST5" s="2"/>
      <c r="ESU5" s="2"/>
      <c r="ESV5" s="2"/>
      <c r="ESW5" s="2"/>
      <c r="ESX5" s="2"/>
      <c r="ESY5" s="2"/>
      <c r="ESZ5" s="2"/>
      <c r="ETA5" s="2"/>
      <c r="ETB5" s="2"/>
      <c r="ETC5" s="2"/>
      <c r="ETD5" s="2"/>
      <c r="ETE5" s="2"/>
      <c r="ETF5" s="2"/>
      <c r="ETG5" s="2"/>
      <c r="ETH5" s="2"/>
      <c r="ETI5" s="2"/>
      <c r="ETJ5" s="2"/>
      <c r="ETK5" s="2"/>
      <c r="ETL5" s="2"/>
      <c r="ETM5" s="2"/>
      <c r="ETN5" s="2"/>
      <c r="ETO5" s="2"/>
      <c r="ETP5" s="2"/>
      <c r="ETQ5" s="2"/>
      <c r="ETR5" s="2"/>
      <c r="ETS5" s="2"/>
      <c r="ETT5" s="2"/>
      <c r="ETU5" s="2"/>
      <c r="ETV5" s="2"/>
      <c r="ETW5" s="2"/>
      <c r="ETX5" s="2"/>
      <c r="ETY5" s="2"/>
      <c r="ETZ5" s="2"/>
      <c r="EUA5" s="2"/>
      <c r="EUB5" s="2"/>
      <c r="EUC5" s="2"/>
      <c r="EUD5" s="2"/>
      <c r="EUE5" s="2"/>
      <c r="EUF5" s="2"/>
      <c r="EUG5" s="2"/>
      <c r="EUH5" s="2"/>
      <c r="EUI5" s="2"/>
      <c r="EUJ5" s="2"/>
      <c r="EUK5" s="2"/>
      <c r="EUL5" s="2"/>
      <c r="EUM5" s="2"/>
      <c r="EUN5" s="2"/>
      <c r="EUO5" s="2"/>
      <c r="EUP5" s="2"/>
      <c r="EUQ5" s="2"/>
      <c r="EUR5" s="2"/>
      <c r="EUS5" s="2"/>
      <c r="EUT5" s="2"/>
      <c r="EUU5" s="2"/>
      <c r="EUV5" s="2"/>
      <c r="EUW5" s="2"/>
      <c r="EUX5" s="2"/>
      <c r="EUY5" s="2"/>
      <c r="EUZ5" s="2"/>
      <c r="EVA5" s="2"/>
      <c r="EVB5" s="2"/>
      <c r="EVC5" s="2"/>
      <c r="EVD5" s="2"/>
      <c r="EVE5" s="2"/>
      <c r="EVF5" s="2"/>
      <c r="EVG5" s="2"/>
      <c r="EVH5" s="2"/>
      <c r="EVI5" s="2"/>
      <c r="EVJ5" s="2"/>
      <c r="EVK5" s="2"/>
      <c r="EVL5" s="2"/>
      <c r="EVM5" s="2"/>
      <c r="EVN5" s="2"/>
      <c r="EVO5" s="2"/>
      <c r="EVP5" s="2"/>
      <c r="EVQ5" s="2"/>
      <c r="EVR5" s="2"/>
      <c r="EVS5" s="2"/>
      <c r="EVT5" s="2"/>
      <c r="EVU5" s="2"/>
      <c r="EVV5" s="2"/>
      <c r="EVW5" s="2"/>
      <c r="EVX5" s="2"/>
      <c r="EVY5" s="2"/>
      <c r="EVZ5" s="2"/>
      <c r="EWA5" s="2"/>
      <c r="EWB5" s="2"/>
      <c r="EWC5" s="2"/>
      <c r="EWD5" s="2"/>
      <c r="EWE5" s="2"/>
      <c r="EWF5" s="2"/>
      <c r="EWG5" s="2"/>
      <c r="EWH5" s="2"/>
      <c r="EWI5" s="2"/>
      <c r="EWJ5" s="2"/>
      <c r="EWK5" s="2"/>
      <c r="EWL5" s="2"/>
      <c r="EWM5" s="2"/>
      <c r="EWN5" s="2"/>
      <c r="EWO5" s="2"/>
      <c r="EWP5" s="2"/>
      <c r="EWQ5" s="2"/>
      <c r="EWR5" s="2"/>
      <c r="EWS5" s="2"/>
      <c r="EWT5" s="2"/>
      <c r="EWU5" s="2"/>
      <c r="EWV5" s="2"/>
      <c r="EWW5" s="2"/>
      <c r="EWX5" s="2"/>
      <c r="EWY5" s="2"/>
      <c r="EWZ5" s="2"/>
      <c r="EXA5" s="2"/>
      <c r="EXB5" s="2"/>
      <c r="EXC5" s="2"/>
      <c r="EXD5" s="2"/>
      <c r="EXE5" s="2"/>
      <c r="EXF5" s="2"/>
      <c r="EXG5" s="2"/>
      <c r="EXH5" s="2"/>
      <c r="EXI5" s="2"/>
      <c r="EXJ5" s="2"/>
      <c r="EXK5" s="2"/>
      <c r="EXL5" s="2"/>
      <c r="EXM5" s="2"/>
      <c r="EXN5" s="2"/>
      <c r="EXO5" s="2"/>
      <c r="EXP5" s="2"/>
      <c r="EXQ5" s="2"/>
      <c r="EXR5" s="2"/>
      <c r="EXS5" s="2"/>
      <c r="EXT5" s="2"/>
      <c r="EXU5" s="2"/>
      <c r="EXV5" s="2"/>
      <c r="EXW5" s="2"/>
      <c r="EXX5" s="2"/>
      <c r="EXY5" s="2"/>
      <c r="EXZ5" s="2"/>
      <c r="EYA5" s="2"/>
      <c r="EYB5" s="2"/>
      <c r="EYC5" s="2"/>
      <c r="EYD5" s="2"/>
      <c r="EYE5" s="2"/>
      <c r="EYF5" s="2"/>
      <c r="EYG5" s="2"/>
      <c r="EYH5" s="2"/>
      <c r="EYI5" s="2"/>
      <c r="EYJ5" s="2"/>
      <c r="EYK5" s="2"/>
      <c r="EYL5" s="2"/>
      <c r="EYM5" s="2"/>
      <c r="EYN5" s="2"/>
      <c r="EYO5" s="2"/>
      <c r="EYP5" s="2"/>
      <c r="EYQ5" s="2"/>
      <c r="EYR5" s="2"/>
      <c r="EYS5" s="2"/>
      <c r="EYT5" s="2"/>
      <c r="EYU5" s="2"/>
      <c r="EYV5" s="2"/>
      <c r="EYW5" s="2"/>
      <c r="EYX5" s="2"/>
      <c r="EYY5" s="2"/>
      <c r="EYZ5" s="2"/>
      <c r="EZA5" s="2"/>
      <c r="EZB5" s="2"/>
      <c r="EZC5" s="2"/>
      <c r="EZD5" s="2"/>
      <c r="EZE5" s="2"/>
      <c r="EZF5" s="2"/>
      <c r="EZG5" s="2"/>
      <c r="EZH5" s="2"/>
      <c r="EZI5" s="2"/>
      <c r="EZJ5" s="2"/>
      <c r="EZK5" s="2"/>
      <c r="EZL5" s="2"/>
      <c r="EZM5" s="2"/>
      <c r="EZN5" s="2"/>
      <c r="EZO5" s="2"/>
      <c r="EZP5" s="2"/>
      <c r="EZQ5" s="2"/>
      <c r="EZR5" s="2"/>
      <c r="EZS5" s="2"/>
      <c r="EZT5" s="2"/>
      <c r="EZU5" s="2"/>
      <c r="EZV5" s="2"/>
      <c r="EZW5" s="2"/>
      <c r="EZX5" s="2"/>
      <c r="EZY5" s="2"/>
      <c r="EZZ5" s="2"/>
      <c r="FAA5" s="2"/>
      <c r="FAB5" s="2"/>
      <c r="FAC5" s="2"/>
      <c r="FAD5" s="2"/>
      <c r="FAE5" s="2"/>
      <c r="FAF5" s="2"/>
      <c r="FAG5" s="2"/>
      <c r="FAH5" s="2"/>
      <c r="FAI5" s="2"/>
      <c r="FAJ5" s="2"/>
      <c r="FAK5" s="2"/>
      <c r="FAL5" s="2"/>
      <c r="FAM5" s="2"/>
      <c r="FAN5" s="2"/>
      <c r="FAO5" s="2"/>
      <c r="FAP5" s="2"/>
      <c r="FAQ5" s="2"/>
      <c r="FAR5" s="2"/>
      <c r="FAS5" s="2"/>
      <c r="FAT5" s="2"/>
      <c r="FAU5" s="2"/>
      <c r="FAV5" s="2"/>
      <c r="FAW5" s="2"/>
      <c r="FAX5" s="2"/>
      <c r="FAY5" s="2"/>
      <c r="FAZ5" s="2"/>
      <c r="FBA5" s="2"/>
      <c r="FBB5" s="2"/>
      <c r="FBC5" s="2"/>
      <c r="FBD5" s="2"/>
      <c r="FBE5" s="2"/>
      <c r="FBF5" s="2"/>
      <c r="FBG5" s="2"/>
      <c r="FBH5" s="2"/>
      <c r="FBI5" s="2"/>
      <c r="FBJ5" s="2"/>
      <c r="FBK5" s="2"/>
      <c r="FBL5" s="2"/>
      <c r="FBM5" s="2"/>
      <c r="FBN5" s="2"/>
      <c r="FBO5" s="2"/>
      <c r="FBP5" s="2"/>
      <c r="FBQ5" s="2"/>
      <c r="FBR5" s="2"/>
      <c r="FBS5" s="2"/>
      <c r="FBT5" s="2"/>
      <c r="FBU5" s="2"/>
      <c r="FBV5" s="2"/>
      <c r="FBW5" s="2"/>
      <c r="FBX5" s="2"/>
      <c r="FBY5" s="2"/>
      <c r="FBZ5" s="2"/>
      <c r="FCA5" s="2"/>
      <c r="FCB5" s="2"/>
      <c r="FCC5" s="2"/>
      <c r="FCD5" s="2"/>
      <c r="FCE5" s="2"/>
      <c r="FCF5" s="2"/>
      <c r="FCG5" s="2"/>
      <c r="FCH5" s="2"/>
      <c r="FCI5" s="2"/>
      <c r="FCJ5" s="2"/>
      <c r="FCK5" s="2"/>
      <c r="FCL5" s="2"/>
      <c r="FCM5" s="2"/>
      <c r="FCN5" s="2"/>
      <c r="FCO5" s="2"/>
      <c r="FCP5" s="2"/>
      <c r="FCQ5" s="2"/>
      <c r="FCR5" s="2"/>
      <c r="FCS5" s="2"/>
      <c r="FCT5" s="2"/>
      <c r="FCU5" s="2"/>
      <c r="FCV5" s="2"/>
      <c r="FCW5" s="2"/>
      <c r="FCX5" s="2"/>
      <c r="FCY5" s="2"/>
      <c r="FCZ5" s="2"/>
      <c r="FDA5" s="2"/>
      <c r="FDB5" s="2"/>
      <c r="FDC5" s="2"/>
      <c r="FDD5" s="2"/>
      <c r="FDE5" s="2"/>
      <c r="FDF5" s="2"/>
      <c r="FDG5" s="2"/>
      <c r="FDH5" s="2"/>
      <c r="FDI5" s="2"/>
      <c r="FDJ5" s="2"/>
      <c r="FDK5" s="2"/>
      <c r="FDL5" s="2"/>
      <c r="FDM5" s="2"/>
      <c r="FDN5" s="2"/>
      <c r="FDO5" s="2"/>
      <c r="FDP5" s="2"/>
      <c r="FDQ5" s="2"/>
      <c r="FDR5" s="2"/>
      <c r="FDS5" s="2"/>
      <c r="FDT5" s="2"/>
      <c r="FDU5" s="2"/>
      <c r="FDV5" s="2"/>
      <c r="FDW5" s="2"/>
      <c r="FDX5" s="2"/>
      <c r="FDY5" s="2"/>
      <c r="FDZ5" s="2"/>
      <c r="FEA5" s="2"/>
      <c r="FEB5" s="2"/>
      <c r="FEC5" s="2"/>
      <c r="FED5" s="2"/>
      <c r="FEE5" s="2"/>
      <c r="FEF5" s="2"/>
      <c r="FEG5" s="2"/>
      <c r="FEH5" s="2"/>
      <c r="FEI5" s="2"/>
      <c r="FEJ5" s="2"/>
      <c r="FEK5" s="2"/>
      <c r="FEL5" s="2"/>
      <c r="FEM5" s="2"/>
      <c r="FEN5" s="2"/>
      <c r="FEO5" s="2"/>
      <c r="FEP5" s="2"/>
      <c r="FEQ5" s="2"/>
      <c r="FER5" s="2"/>
      <c r="FES5" s="2"/>
      <c r="FET5" s="2"/>
      <c r="FEU5" s="2"/>
      <c r="FEV5" s="2"/>
      <c r="FEW5" s="2"/>
      <c r="FEX5" s="2"/>
      <c r="FEY5" s="2"/>
      <c r="FEZ5" s="2"/>
      <c r="FFA5" s="2"/>
      <c r="FFB5" s="2"/>
      <c r="FFC5" s="2"/>
      <c r="FFD5" s="2"/>
      <c r="FFE5" s="2"/>
      <c r="FFF5" s="2"/>
      <c r="FFG5" s="2"/>
      <c r="FFH5" s="2"/>
      <c r="FFI5" s="2"/>
      <c r="FFJ5" s="2"/>
      <c r="FFK5" s="2"/>
      <c r="FFL5" s="2"/>
      <c r="FFM5" s="2"/>
      <c r="FFN5" s="2"/>
      <c r="FFO5" s="2"/>
      <c r="FFP5" s="2"/>
      <c r="FFQ5" s="2"/>
      <c r="FFR5" s="2"/>
      <c r="FFS5" s="2"/>
      <c r="FFT5" s="2"/>
      <c r="FFU5" s="2"/>
      <c r="FFV5" s="2"/>
      <c r="FFW5" s="2"/>
      <c r="FFX5" s="2"/>
      <c r="FFY5" s="2"/>
      <c r="FFZ5" s="2"/>
      <c r="FGA5" s="2"/>
      <c r="FGB5" s="2"/>
      <c r="FGC5" s="2"/>
      <c r="FGD5" s="2"/>
      <c r="FGE5" s="2"/>
      <c r="FGF5" s="2"/>
      <c r="FGG5" s="2"/>
      <c r="FGH5" s="2"/>
      <c r="FGI5" s="2"/>
      <c r="FGJ5" s="2"/>
      <c r="FGK5" s="2"/>
      <c r="FGL5" s="2"/>
      <c r="FGM5" s="2"/>
      <c r="FGN5" s="2"/>
      <c r="FGO5" s="2"/>
      <c r="FGP5" s="2"/>
      <c r="FGQ5" s="2"/>
      <c r="FGR5" s="2"/>
      <c r="FGS5" s="2"/>
      <c r="FGT5" s="2"/>
      <c r="FGU5" s="2"/>
      <c r="FGV5" s="2"/>
      <c r="FGW5" s="2"/>
      <c r="FGX5" s="2"/>
      <c r="FGY5" s="2"/>
      <c r="FGZ5" s="2"/>
      <c r="FHA5" s="2"/>
      <c r="FHB5" s="2"/>
      <c r="FHC5" s="2"/>
      <c r="FHD5" s="2"/>
      <c r="FHE5" s="2"/>
      <c r="FHF5" s="2"/>
      <c r="FHG5" s="2"/>
      <c r="FHH5" s="2"/>
      <c r="FHI5" s="2"/>
      <c r="FHJ5" s="2"/>
      <c r="FHK5" s="2"/>
      <c r="FHL5" s="2"/>
      <c r="FHM5" s="2"/>
      <c r="FHN5" s="2"/>
      <c r="FHO5" s="2"/>
      <c r="FHP5" s="2"/>
      <c r="FHQ5" s="2"/>
      <c r="FHR5" s="2"/>
      <c r="FHS5" s="2"/>
      <c r="FHT5" s="2"/>
      <c r="FHU5" s="2"/>
      <c r="FHV5" s="2"/>
      <c r="FHW5" s="2"/>
      <c r="FHX5" s="2"/>
      <c r="FHY5" s="2"/>
      <c r="FHZ5" s="2"/>
      <c r="FIA5" s="2"/>
      <c r="FIB5" s="2"/>
      <c r="FIC5" s="2"/>
      <c r="FID5" s="2"/>
      <c r="FIE5" s="2"/>
      <c r="FIF5" s="2"/>
      <c r="FIG5" s="2"/>
      <c r="FIH5" s="2"/>
      <c r="FII5" s="2"/>
      <c r="FIJ5" s="2"/>
      <c r="FIK5" s="2"/>
      <c r="FIL5" s="2"/>
      <c r="FIM5" s="2"/>
      <c r="FIN5" s="2"/>
      <c r="FIO5" s="2"/>
      <c r="FIP5" s="2"/>
      <c r="FIQ5" s="2"/>
      <c r="FIR5" s="2"/>
      <c r="FIS5" s="2"/>
      <c r="FIT5" s="2"/>
      <c r="FIU5" s="2"/>
      <c r="FIV5" s="2"/>
      <c r="FIW5" s="2"/>
      <c r="FIX5" s="2"/>
      <c r="FIY5" s="2"/>
      <c r="FIZ5" s="2"/>
      <c r="FJA5" s="2"/>
      <c r="FJB5" s="2"/>
      <c r="FJC5" s="2"/>
      <c r="FJD5" s="2"/>
      <c r="FJE5" s="2"/>
      <c r="FJF5" s="2"/>
      <c r="FJG5" s="2"/>
      <c r="FJH5" s="2"/>
      <c r="FJI5" s="2"/>
      <c r="FJJ5" s="2"/>
      <c r="FJK5" s="2"/>
      <c r="FJL5" s="2"/>
      <c r="FJM5" s="2"/>
      <c r="FJN5" s="2"/>
      <c r="FJO5" s="2"/>
      <c r="FJP5" s="2"/>
      <c r="FJQ5" s="2"/>
      <c r="FJR5" s="2"/>
      <c r="FJS5" s="2"/>
      <c r="FJT5" s="2"/>
      <c r="FJU5" s="2"/>
      <c r="FJV5" s="2"/>
      <c r="FJW5" s="2"/>
      <c r="FJX5" s="2"/>
      <c r="FJY5" s="2"/>
      <c r="FJZ5" s="2"/>
      <c r="FKA5" s="2"/>
      <c r="FKB5" s="2"/>
      <c r="FKC5" s="2"/>
      <c r="FKD5" s="2"/>
      <c r="FKE5" s="2"/>
      <c r="FKF5" s="2"/>
      <c r="FKG5" s="2"/>
      <c r="FKH5" s="2"/>
      <c r="FKI5" s="2"/>
      <c r="FKJ5" s="2"/>
      <c r="FKK5" s="2"/>
      <c r="FKL5" s="2"/>
      <c r="FKM5" s="2"/>
      <c r="FKN5" s="2"/>
      <c r="FKO5" s="2"/>
      <c r="FKP5" s="2"/>
      <c r="FKQ5" s="2"/>
      <c r="FKR5" s="2"/>
      <c r="FKS5" s="2"/>
      <c r="FKT5" s="2"/>
      <c r="FKU5" s="2"/>
      <c r="FKV5" s="2"/>
      <c r="FKW5" s="2"/>
      <c r="FKX5" s="2"/>
      <c r="FKY5" s="2"/>
      <c r="FKZ5" s="2"/>
      <c r="FLA5" s="2"/>
      <c r="FLB5" s="2"/>
      <c r="FLC5" s="2"/>
      <c r="FLD5" s="2"/>
      <c r="FLE5" s="2"/>
      <c r="FLF5" s="2"/>
      <c r="FLG5" s="2"/>
      <c r="FLH5" s="2"/>
      <c r="FLI5" s="2"/>
      <c r="FLJ5" s="2"/>
      <c r="FLK5" s="2"/>
      <c r="FLL5" s="2"/>
      <c r="FLM5" s="2"/>
      <c r="FLN5" s="2"/>
      <c r="FLO5" s="2"/>
      <c r="FLP5" s="2"/>
      <c r="FLQ5" s="2"/>
      <c r="FLR5" s="2"/>
      <c r="FLS5" s="2"/>
      <c r="FLT5" s="2"/>
      <c r="FLU5" s="2"/>
      <c r="FLV5" s="2"/>
      <c r="FLW5" s="2"/>
      <c r="FLX5" s="2"/>
      <c r="FLY5" s="2"/>
      <c r="FLZ5" s="2"/>
      <c r="FMA5" s="2"/>
      <c r="FMB5" s="2"/>
      <c r="FMC5" s="2"/>
      <c r="FMD5" s="2"/>
      <c r="FME5" s="2"/>
      <c r="FMF5" s="2"/>
      <c r="FMG5" s="2"/>
      <c r="FMH5" s="2"/>
      <c r="FMI5" s="2"/>
      <c r="FMJ5" s="2"/>
      <c r="FMK5" s="2"/>
      <c r="FML5" s="2"/>
      <c r="FMM5" s="2"/>
      <c r="FMN5" s="2"/>
      <c r="FMO5" s="2"/>
      <c r="FMP5" s="2"/>
      <c r="FMQ5" s="2"/>
      <c r="FMR5" s="2"/>
      <c r="FMS5" s="2"/>
      <c r="FMT5" s="2"/>
      <c r="FMU5" s="2"/>
      <c r="FMV5" s="2"/>
      <c r="FMW5" s="2"/>
      <c r="FMX5" s="2"/>
      <c r="FMY5" s="2"/>
      <c r="FMZ5" s="2"/>
      <c r="FNA5" s="2"/>
      <c r="FNB5" s="2"/>
      <c r="FNC5" s="2"/>
      <c r="FND5" s="2"/>
      <c r="FNE5" s="2"/>
      <c r="FNF5" s="2"/>
      <c r="FNG5" s="2"/>
      <c r="FNH5" s="2"/>
      <c r="FNI5" s="2"/>
      <c r="FNJ5" s="2"/>
      <c r="FNK5" s="2"/>
      <c r="FNL5" s="2"/>
      <c r="FNM5" s="2"/>
      <c r="FNN5" s="2"/>
      <c r="FNO5" s="2"/>
      <c r="FNP5" s="2"/>
      <c r="FNQ5" s="2"/>
      <c r="FNR5" s="2"/>
      <c r="FNS5" s="2"/>
      <c r="FNT5" s="2"/>
      <c r="FNU5" s="2"/>
      <c r="FNV5" s="2"/>
      <c r="FNW5" s="2"/>
      <c r="FNX5" s="2"/>
      <c r="FNY5" s="2"/>
      <c r="FNZ5" s="2"/>
      <c r="FOA5" s="2"/>
      <c r="FOB5" s="2"/>
      <c r="FOC5" s="2"/>
      <c r="FOD5" s="2"/>
      <c r="FOE5" s="2"/>
      <c r="FOF5" s="2"/>
      <c r="FOG5" s="2"/>
      <c r="FOH5" s="2"/>
      <c r="FOI5" s="2"/>
      <c r="FOJ5" s="2"/>
      <c r="FOK5" s="2"/>
      <c r="FOL5" s="2"/>
      <c r="FOM5" s="2"/>
      <c r="FON5" s="2"/>
      <c r="FOO5" s="2"/>
      <c r="FOP5" s="2"/>
      <c r="FOQ5" s="2"/>
      <c r="FOR5" s="2"/>
      <c r="FOS5" s="2"/>
      <c r="FOT5" s="2"/>
      <c r="FOU5" s="2"/>
      <c r="FOV5" s="2"/>
      <c r="FOW5" s="2"/>
      <c r="FOX5" s="2"/>
      <c r="FOY5" s="2"/>
      <c r="FOZ5" s="2"/>
      <c r="FPA5" s="2"/>
      <c r="FPB5" s="2"/>
      <c r="FPC5" s="2"/>
      <c r="FPD5" s="2"/>
      <c r="FPE5" s="2"/>
      <c r="FPF5" s="2"/>
      <c r="FPG5" s="2"/>
      <c r="FPH5" s="2"/>
      <c r="FPI5" s="2"/>
      <c r="FPJ5" s="2"/>
      <c r="FPK5" s="2"/>
      <c r="FPL5" s="2"/>
      <c r="FPM5" s="2"/>
      <c r="FPN5" s="2"/>
      <c r="FPO5" s="2"/>
      <c r="FPP5" s="2"/>
      <c r="FPQ5" s="2"/>
      <c r="FPR5" s="2"/>
      <c r="FPS5" s="2"/>
      <c r="FPT5" s="2"/>
      <c r="FPU5" s="2"/>
      <c r="FPV5" s="2"/>
      <c r="FPW5" s="2"/>
      <c r="FPX5" s="2"/>
      <c r="FPY5" s="2"/>
      <c r="FPZ5" s="2"/>
      <c r="FQA5" s="2"/>
      <c r="FQB5" s="2"/>
      <c r="FQC5" s="2"/>
      <c r="FQD5" s="2"/>
      <c r="FQE5" s="2"/>
      <c r="FQF5" s="2"/>
      <c r="FQG5" s="2"/>
      <c r="FQH5" s="2"/>
      <c r="FQI5" s="2"/>
      <c r="FQJ5" s="2"/>
      <c r="FQK5" s="2"/>
      <c r="FQL5" s="2"/>
      <c r="FQM5" s="2"/>
      <c r="FQN5" s="2"/>
      <c r="FQO5" s="2"/>
      <c r="FQP5" s="2"/>
      <c r="FQQ5" s="2"/>
      <c r="FQR5" s="2"/>
      <c r="FQS5" s="2"/>
      <c r="FQT5" s="2"/>
      <c r="FQU5" s="2"/>
      <c r="FQV5" s="2"/>
      <c r="FQW5" s="2"/>
      <c r="FQX5" s="2"/>
      <c r="FQY5" s="2"/>
      <c r="FQZ5" s="2"/>
      <c r="FRA5" s="2"/>
      <c r="FRB5" s="2"/>
      <c r="FRC5" s="2"/>
      <c r="FRD5" s="2"/>
      <c r="FRE5" s="2"/>
      <c r="FRF5" s="2"/>
      <c r="FRG5" s="2"/>
      <c r="FRH5" s="2"/>
      <c r="FRI5" s="2"/>
      <c r="FRJ5" s="2"/>
      <c r="FRK5" s="2"/>
      <c r="FRL5" s="2"/>
      <c r="FRM5" s="2"/>
      <c r="FRN5" s="2"/>
      <c r="FRO5" s="2"/>
      <c r="FRP5" s="2"/>
      <c r="FRQ5" s="2"/>
      <c r="FRR5" s="2"/>
      <c r="FRS5" s="2"/>
      <c r="FRT5" s="2"/>
      <c r="FRU5" s="2"/>
      <c r="FRV5" s="2"/>
      <c r="FRW5" s="2"/>
      <c r="FRX5" s="2"/>
      <c r="FRY5" s="2"/>
      <c r="FRZ5" s="2"/>
      <c r="FSA5" s="2"/>
      <c r="FSB5" s="2"/>
      <c r="FSC5" s="2"/>
      <c r="FSD5" s="2"/>
      <c r="FSE5" s="2"/>
      <c r="FSF5" s="2"/>
      <c r="FSG5" s="2"/>
      <c r="FSH5" s="2"/>
      <c r="FSI5" s="2"/>
      <c r="FSJ5" s="2"/>
      <c r="FSK5" s="2"/>
      <c r="FSL5" s="2"/>
      <c r="FSM5" s="2"/>
      <c r="FSN5" s="2"/>
      <c r="FSO5" s="2"/>
      <c r="FSP5" s="2"/>
      <c r="FSQ5" s="2"/>
      <c r="FSR5" s="2"/>
      <c r="FSS5" s="2"/>
      <c r="FST5" s="2"/>
      <c r="FSU5" s="2"/>
      <c r="FSV5" s="2"/>
      <c r="FSW5" s="2"/>
      <c r="FSX5" s="2"/>
      <c r="FSY5" s="2"/>
      <c r="FSZ5" s="2"/>
      <c r="FTA5" s="2"/>
      <c r="FTB5" s="2"/>
      <c r="FTC5" s="2"/>
      <c r="FTD5" s="2"/>
      <c r="FTE5" s="2"/>
      <c r="FTF5" s="2"/>
      <c r="FTG5" s="2"/>
      <c r="FTH5" s="2"/>
      <c r="FTI5" s="2"/>
      <c r="FTJ5" s="2"/>
      <c r="FTK5" s="2"/>
      <c r="FTL5" s="2"/>
      <c r="FTM5" s="2"/>
      <c r="FTN5" s="2"/>
      <c r="FTO5" s="2"/>
      <c r="FTP5" s="2"/>
      <c r="FTQ5" s="2"/>
      <c r="FTR5" s="2"/>
      <c r="FTS5" s="2"/>
      <c r="FTT5" s="2"/>
      <c r="FTU5" s="2"/>
      <c r="FTV5" s="2"/>
      <c r="FTW5" s="2"/>
      <c r="FTX5" s="2"/>
      <c r="FTY5" s="2"/>
      <c r="FTZ5" s="2"/>
      <c r="FUA5" s="2"/>
      <c r="FUB5" s="2"/>
      <c r="FUC5" s="2"/>
      <c r="FUD5" s="2"/>
      <c r="FUE5" s="2"/>
      <c r="FUF5" s="2"/>
      <c r="FUG5" s="2"/>
      <c r="FUH5" s="2"/>
      <c r="FUI5" s="2"/>
      <c r="FUJ5" s="2"/>
      <c r="FUK5" s="2"/>
      <c r="FUL5" s="2"/>
      <c r="FUM5" s="2"/>
      <c r="FUN5" s="2"/>
      <c r="FUO5" s="2"/>
      <c r="FUP5" s="2"/>
      <c r="FUQ5" s="2"/>
      <c r="FUR5" s="2"/>
      <c r="FUS5" s="2"/>
      <c r="FUT5" s="2"/>
      <c r="FUU5" s="2"/>
      <c r="FUV5" s="2"/>
      <c r="FUW5" s="2"/>
      <c r="FUX5" s="2"/>
      <c r="FUY5" s="2"/>
      <c r="FUZ5" s="2"/>
      <c r="FVA5" s="2"/>
      <c r="FVB5" s="2"/>
      <c r="FVC5" s="2"/>
      <c r="FVD5" s="2"/>
      <c r="FVE5" s="2"/>
      <c r="FVF5" s="2"/>
      <c r="FVG5" s="2"/>
      <c r="FVH5" s="2"/>
      <c r="FVI5" s="2"/>
      <c r="FVJ5" s="2"/>
      <c r="FVK5" s="2"/>
      <c r="FVL5" s="2"/>
      <c r="FVM5" s="2"/>
      <c r="FVN5" s="2"/>
      <c r="FVO5" s="2"/>
      <c r="FVP5" s="2"/>
      <c r="FVQ5" s="2"/>
      <c r="FVR5" s="2"/>
      <c r="FVS5" s="2"/>
      <c r="FVT5" s="2"/>
      <c r="FVU5" s="2"/>
      <c r="FVV5" s="2"/>
      <c r="FVW5" s="2"/>
      <c r="FVX5" s="2"/>
      <c r="FVY5" s="2"/>
      <c r="FVZ5" s="2"/>
      <c r="FWA5" s="2"/>
      <c r="FWB5" s="2"/>
      <c r="FWC5" s="2"/>
      <c r="FWD5" s="2"/>
      <c r="FWE5" s="2"/>
      <c r="FWF5" s="2"/>
      <c r="FWG5" s="2"/>
      <c r="FWH5" s="2"/>
      <c r="FWI5" s="2"/>
      <c r="FWJ5" s="2"/>
      <c r="FWK5" s="2"/>
      <c r="FWL5" s="2"/>
      <c r="FWM5" s="2"/>
      <c r="FWN5" s="2"/>
      <c r="FWO5" s="2"/>
      <c r="FWP5" s="2"/>
      <c r="FWQ5" s="2"/>
      <c r="FWR5" s="2"/>
      <c r="FWS5" s="2"/>
      <c r="FWT5" s="2"/>
      <c r="FWU5" s="2"/>
      <c r="FWV5" s="2"/>
      <c r="FWW5" s="2"/>
      <c r="FWX5" s="2"/>
      <c r="FWY5" s="2"/>
      <c r="FWZ5" s="2"/>
      <c r="FXA5" s="2"/>
      <c r="FXB5" s="2"/>
      <c r="FXC5" s="2"/>
      <c r="FXD5" s="2"/>
      <c r="FXE5" s="2"/>
      <c r="FXF5" s="2"/>
      <c r="FXG5" s="2"/>
      <c r="FXH5" s="2"/>
      <c r="FXI5" s="2"/>
      <c r="FXJ5" s="2"/>
      <c r="FXK5" s="2"/>
      <c r="FXL5" s="2"/>
      <c r="FXM5" s="2"/>
      <c r="FXN5" s="2"/>
      <c r="FXO5" s="2"/>
      <c r="FXP5" s="2"/>
      <c r="FXQ5" s="2"/>
      <c r="FXR5" s="2"/>
      <c r="FXS5" s="2"/>
      <c r="FXT5" s="2"/>
      <c r="FXU5" s="2"/>
      <c r="FXV5" s="2"/>
      <c r="FXW5" s="2"/>
      <c r="FXX5" s="2"/>
      <c r="FXY5" s="2"/>
      <c r="FXZ5" s="2"/>
      <c r="FYA5" s="2"/>
      <c r="FYB5" s="2"/>
      <c r="FYC5" s="2"/>
      <c r="FYD5" s="2"/>
      <c r="FYE5" s="2"/>
      <c r="FYF5" s="2"/>
      <c r="FYG5" s="2"/>
      <c r="FYH5" s="2"/>
      <c r="FYI5" s="2"/>
      <c r="FYJ5" s="2"/>
      <c r="FYK5" s="2"/>
      <c r="FYL5" s="2"/>
      <c r="FYM5" s="2"/>
      <c r="FYN5" s="2"/>
      <c r="FYO5" s="2"/>
      <c r="FYP5" s="2"/>
      <c r="FYQ5" s="2"/>
      <c r="FYR5" s="2"/>
      <c r="FYS5" s="2"/>
      <c r="FYT5" s="2"/>
      <c r="FYU5" s="2"/>
      <c r="FYV5" s="2"/>
      <c r="FYW5" s="2"/>
      <c r="FYX5" s="2"/>
      <c r="FYY5" s="2"/>
      <c r="FYZ5" s="2"/>
      <c r="FZA5" s="2"/>
      <c r="FZB5" s="2"/>
      <c r="FZC5" s="2"/>
      <c r="FZD5" s="2"/>
      <c r="FZE5" s="2"/>
      <c r="FZF5" s="2"/>
      <c r="FZG5" s="2"/>
      <c r="FZH5" s="2"/>
      <c r="FZI5" s="2"/>
      <c r="FZJ5" s="2"/>
      <c r="FZK5" s="2"/>
      <c r="FZL5" s="2"/>
      <c r="FZM5" s="2"/>
      <c r="FZN5" s="2"/>
      <c r="FZO5" s="2"/>
      <c r="FZP5" s="2"/>
      <c r="FZQ5" s="2"/>
      <c r="FZR5" s="2"/>
      <c r="FZS5" s="2"/>
      <c r="FZT5" s="2"/>
      <c r="FZU5" s="2"/>
      <c r="FZV5" s="2"/>
      <c r="FZW5" s="2"/>
      <c r="FZX5" s="2"/>
      <c r="FZY5" s="2"/>
      <c r="FZZ5" s="2"/>
      <c r="GAA5" s="2"/>
      <c r="GAB5" s="2"/>
      <c r="GAC5" s="2"/>
      <c r="GAD5" s="2"/>
      <c r="GAE5" s="2"/>
      <c r="GAF5" s="2"/>
      <c r="GAG5" s="2"/>
      <c r="GAH5" s="2"/>
      <c r="GAI5" s="2"/>
      <c r="GAJ5" s="2"/>
      <c r="GAK5" s="2"/>
      <c r="GAL5" s="2"/>
      <c r="GAM5" s="2"/>
      <c r="GAN5" s="2"/>
      <c r="GAO5" s="2"/>
      <c r="GAP5" s="2"/>
      <c r="GAQ5" s="2"/>
      <c r="GAR5" s="2"/>
      <c r="GAS5" s="2"/>
      <c r="GAT5" s="2"/>
      <c r="GAU5" s="2"/>
      <c r="GAV5" s="2"/>
      <c r="GAW5" s="2"/>
      <c r="GAX5" s="2"/>
      <c r="GAY5" s="2"/>
      <c r="GAZ5" s="2"/>
      <c r="GBA5" s="2"/>
      <c r="GBB5" s="2"/>
      <c r="GBC5" s="2"/>
      <c r="GBD5" s="2"/>
      <c r="GBE5" s="2"/>
      <c r="GBF5" s="2"/>
      <c r="GBG5" s="2"/>
      <c r="GBH5" s="2"/>
      <c r="GBI5" s="2"/>
      <c r="GBJ5" s="2"/>
      <c r="GBK5" s="2"/>
      <c r="GBL5" s="2"/>
      <c r="GBM5" s="2"/>
      <c r="GBN5" s="2"/>
      <c r="GBO5" s="2"/>
      <c r="GBP5" s="2"/>
      <c r="GBQ5" s="2"/>
      <c r="GBR5" s="2"/>
      <c r="GBS5" s="2"/>
      <c r="GBT5" s="2"/>
      <c r="GBU5" s="2"/>
      <c r="GBV5" s="2"/>
      <c r="GBW5" s="2"/>
      <c r="GBX5" s="2"/>
      <c r="GBY5" s="2"/>
      <c r="GBZ5" s="2"/>
      <c r="GCA5" s="2"/>
      <c r="GCB5" s="2"/>
      <c r="GCC5" s="2"/>
      <c r="GCD5" s="2"/>
      <c r="GCE5" s="2"/>
      <c r="GCF5" s="2"/>
      <c r="GCG5" s="2"/>
      <c r="GCH5" s="2"/>
      <c r="GCI5" s="2"/>
      <c r="GCJ5" s="2"/>
      <c r="GCK5" s="2"/>
      <c r="GCL5" s="2"/>
      <c r="GCM5" s="2"/>
      <c r="GCN5" s="2"/>
      <c r="GCO5" s="2"/>
      <c r="GCP5" s="2"/>
      <c r="GCQ5" s="2"/>
      <c r="GCR5" s="2"/>
      <c r="GCS5" s="2"/>
      <c r="GCT5" s="2"/>
      <c r="GCU5" s="2"/>
      <c r="GCV5" s="2"/>
      <c r="GCW5" s="2"/>
      <c r="GCX5" s="2"/>
      <c r="GCY5" s="2"/>
      <c r="GCZ5" s="2"/>
      <c r="GDA5" s="2"/>
      <c r="GDB5" s="2"/>
      <c r="GDC5" s="2"/>
      <c r="GDD5" s="2"/>
      <c r="GDE5" s="2"/>
      <c r="GDF5" s="2"/>
      <c r="GDG5" s="2"/>
      <c r="GDH5" s="2"/>
      <c r="GDI5" s="2"/>
      <c r="GDJ5" s="2"/>
      <c r="GDK5" s="2"/>
      <c r="GDL5" s="2"/>
      <c r="GDM5" s="2"/>
      <c r="GDN5" s="2"/>
      <c r="GDO5" s="2"/>
      <c r="GDP5" s="2"/>
      <c r="GDQ5" s="2"/>
      <c r="GDR5" s="2"/>
      <c r="GDS5" s="2"/>
      <c r="GDT5" s="2"/>
      <c r="GDU5" s="2"/>
      <c r="GDV5" s="2"/>
      <c r="GDW5" s="2"/>
      <c r="GDX5" s="2"/>
      <c r="GDY5" s="2"/>
      <c r="GDZ5" s="2"/>
      <c r="GEA5" s="2"/>
      <c r="GEB5" s="2"/>
      <c r="GEC5" s="2"/>
      <c r="GED5" s="2"/>
      <c r="GEE5" s="2"/>
      <c r="GEF5" s="2"/>
      <c r="GEG5" s="2"/>
      <c r="GEH5" s="2"/>
      <c r="GEI5" s="2"/>
      <c r="GEJ5" s="2"/>
      <c r="GEK5" s="2"/>
      <c r="GEL5" s="2"/>
      <c r="GEM5" s="2"/>
      <c r="GEN5" s="2"/>
      <c r="GEO5" s="2"/>
      <c r="GEP5" s="2"/>
      <c r="GEQ5" s="2"/>
      <c r="GER5" s="2"/>
      <c r="GES5" s="2"/>
      <c r="GET5" s="2"/>
      <c r="GEU5" s="2"/>
      <c r="GEV5" s="2"/>
      <c r="GEW5" s="2"/>
      <c r="GEX5" s="2"/>
      <c r="GEY5" s="2"/>
      <c r="GEZ5" s="2"/>
      <c r="GFA5" s="2"/>
      <c r="GFB5" s="2"/>
      <c r="GFC5" s="2"/>
      <c r="GFD5" s="2"/>
      <c r="GFE5" s="2"/>
      <c r="GFF5" s="2"/>
      <c r="GFG5" s="2"/>
      <c r="GFH5" s="2"/>
      <c r="GFI5" s="2"/>
      <c r="GFJ5" s="2"/>
      <c r="GFK5" s="2"/>
      <c r="GFL5" s="2"/>
      <c r="GFM5" s="2"/>
      <c r="GFN5" s="2"/>
      <c r="GFO5" s="2"/>
      <c r="GFP5" s="2"/>
      <c r="GFQ5" s="2"/>
      <c r="GFR5" s="2"/>
      <c r="GFS5" s="2"/>
      <c r="GFT5" s="2"/>
      <c r="GFU5" s="2"/>
      <c r="GFV5" s="2"/>
      <c r="GFW5" s="2"/>
      <c r="GFX5" s="2"/>
      <c r="GFY5" s="2"/>
      <c r="GFZ5" s="2"/>
      <c r="GGA5" s="2"/>
      <c r="GGB5" s="2"/>
      <c r="GGC5" s="2"/>
      <c r="GGD5" s="2"/>
      <c r="GGE5" s="2"/>
      <c r="GGF5" s="2"/>
      <c r="GGG5" s="2"/>
      <c r="GGH5" s="2"/>
      <c r="GGI5" s="2"/>
      <c r="GGJ5" s="2"/>
      <c r="GGK5" s="2"/>
      <c r="GGL5" s="2"/>
      <c r="GGM5" s="2"/>
      <c r="GGN5" s="2"/>
      <c r="GGO5" s="2"/>
      <c r="GGP5" s="2"/>
      <c r="GGQ5" s="2"/>
      <c r="GGR5" s="2"/>
      <c r="GGS5" s="2"/>
      <c r="GGT5" s="2"/>
      <c r="GGU5" s="2"/>
      <c r="GGV5" s="2"/>
      <c r="GGW5" s="2"/>
      <c r="GGX5" s="2"/>
      <c r="GGY5" s="2"/>
      <c r="GGZ5" s="2"/>
      <c r="GHA5" s="2"/>
      <c r="GHB5" s="2"/>
      <c r="GHC5" s="2"/>
      <c r="GHD5" s="2"/>
      <c r="GHE5" s="2"/>
      <c r="GHF5" s="2"/>
      <c r="GHG5" s="2"/>
      <c r="GHH5" s="2"/>
      <c r="GHI5" s="2"/>
      <c r="GHJ5" s="2"/>
      <c r="GHK5" s="2"/>
      <c r="GHL5" s="2"/>
      <c r="GHM5" s="2"/>
      <c r="GHN5" s="2"/>
      <c r="GHO5" s="2"/>
      <c r="GHP5" s="2"/>
      <c r="GHQ5" s="2"/>
      <c r="GHR5" s="2"/>
      <c r="GHS5" s="2"/>
      <c r="GHT5" s="2"/>
      <c r="GHU5" s="2"/>
      <c r="GHV5" s="2"/>
      <c r="GHW5" s="2"/>
      <c r="GHX5" s="2"/>
      <c r="GHY5" s="2"/>
      <c r="GHZ5" s="2"/>
      <c r="GIA5" s="2"/>
      <c r="GIB5" s="2"/>
      <c r="GIC5" s="2"/>
      <c r="GID5" s="2"/>
      <c r="GIE5" s="2"/>
      <c r="GIF5" s="2"/>
      <c r="GIG5" s="2"/>
      <c r="GIH5" s="2"/>
      <c r="GII5" s="2"/>
      <c r="GIJ5" s="2"/>
      <c r="GIK5" s="2"/>
      <c r="GIL5" s="2"/>
      <c r="GIM5" s="2"/>
      <c r="GIN5" s="2"/>
      <c r="GIO5" s="2"/>
      <c r="GIP5" s="2"/>
      <c r="GIQ5" s="2"/>
      <c r="GIR5" s="2"/>
      <c r="GIS5" s="2"/>
      <c r="GIT5" s="2"/>
      <c r="GIU5" s="2"/>
      <c r="GIV5" s="2"/>
      <c r="GIW5" s="2"/>
      <c r="GIX5" s="2"/>
      <c r="GIY5" s="2"/>
      <c r="GIZ5" s="2"/>
      <c r="GJA5" s="2"/>
      <c r="GJB5" s="2"/>
      <c r="GJC5" s="2"/>
      <c r="GJD5" s="2"/>
      <c r="GJE5" s="2"/>
      <c r="GJF5" s="2"/>
      <c r="GJG5" s="2"/>
      <c r="GJH5" s="2"/>
      <c r="GJI5" s="2"/>
      <c r="GJJ5" s="2"/>
      <c r="GJK5" s="2"/>
      <c r="GJL5" s="2"/>
      <c r="GJM5" s="2"/>
      <c r="GJN5" s="2"/>
      <c r="GJO5" s="2"/>
      <c r="GJP5" s="2"/>
      <c r="GJQ5" s="2"/>
      <c r="GJR5" s="2"/>
      <c r="GJS5" s="2"/>
      <c r="GJT5" s="2"/>
      <c r="GJU5" s="2"/>
      <c r="GJV5" s="2"/>
      <c r="GJW5" s="2"/>
      <c r="GJX5" s="2"/>
      <c r="GJY5" s="2"/>
      <c r="GJZ5" s="2"/>
      <c r="GKA5" s="2"/>
      <c r="GKB5" s="2"/>
      <c r="GKC5" s="2"/>
      <c r="GKD5" s="2"/>
      <c r="GKE5" s="2"/>
      <c r="GKF5" s="2"/>
      <c r="GKG5" s="2"/>
      <c r="GKH5" s="2"/>
      <c r="GKI5" s="2"/>
      <c r="GKJ5" s="2"/>
      <c r="GKK5" s="2"/>
      <c r="GKL5" s="2"/>
      <c r="GKM5" s="2"/>
      <c r="GKN5" s="2"/>
      <c r="GKO5" s="2"/>
      <c r="GKP5" s="2"/>
      <c r="GKQ5" s="2"/>
      <c r="GKR5" s="2"/>
      <c r="GKS5" s="2"/>
      <c r="GKT5" s="2"/>
      <c r="GKU5" s="2"/>
      <c r="GKV5" s="2"/>
      <c r="GKW5" s="2"/>
      <c r="GKX5" s="2"/>
      <c r="GKY5" s="2"/>
      <c r="GKZ5" s="2"/>
      <c r="GLA5" s="2"/>
      <c r="GLB5" s="2"/>
      <c r="GLC5" s="2"/>
      <c r="GLD5" s="2"/>
      <c r="GLE5" s="2"/>
      <c r="GLF5" s="2"/>
      <c r="GLG5" s="2"/>
      <c r="GLH5" s="2"/>
      <c r="GLI5" s="2"/>
      <c r="GLJ5" s="2"/>
      <c r="GLK5" s="2"/>
      <c r="GLL5" s="2"/>
      <c r="GLM5" s="2"/>
      <c r="GLN5" s="2"/>
      <c r="GLO5" s="2"/>
      <c r="GLP5" s="2"/>
      <c r="GLQ5" s="2"/>
      <c r="GLR5" s="2"/>
      <c r="GLS5" s="2"/>
      <c r="GLT5" s="2"/>
      <c r="GLU5" s="2"/>
      <c r="GLV5" s="2"/>
      <c r="GLW5" s="2"/>
      <c r="GLX5" s="2"/>
      <c r="GLY5" s="2"/>
      <c r="GLZ5" s="2"/>
      <c r="GMA5" s="2"/>
      <c r="GMB5" s="2"/>
      <c r="GMC5" s="2"/>
      <c r="GMD5" s="2"/>
      <c r="GME5" s="2"/>
      <c r="GMF5" s="2"/>
      <c r="GMG5" s="2"/>
      <c r="GMH5" s="2"/>
      <c r="GMI5" s="2"/>
      <c r="GMJ5" s="2"/>
      <c r="GMK5" s="2"/>
      <c r="GML5" s="2"/>
      <c r="GMM5" s="2"/>
      <c r="GMN5" s="2"/>
      <c r="GMO5" s="2"/>
      <c r="GMP5" s="2"/>
      <c r="GMQ5" s="2"/>
      <c r="GMR5" s="2"/>
      <c r="GMS5" s="2"/>
      <c r="GMT5" s="2"/>
      <c r="GMU5" s="2"/>
      <c r="GMV5" s="2"/>
      <c r="GMW5" s="2"/>
      <c r="GMX5" s="2"/>
      <c r="GMY5" s="2"/>
      <c r="GMZ5" s="2"/>
      <c r="GNA5" s="2"/>
      <c r="GNB5" s="2"/>
      <c r="GNC5" s="2"/>
      <c r="GND5" s="2"/>
      <c r="GNE5" s="2"/>
      <c r="GNF5" s="2"/>
      <c r="GNG5" s="2"/>
      <c r="GNH5" s="2"/>
      <c r="GNI5" s="2"/>
      <c r="GNJ5" s="2"/>
      <c r="GNK5" s="2"/>
      <c r="GNL5" s="2"/>
      <c r="GNM5" s="2"/>
      <c r="GNN5" s="2"/>
      <c r="GNO5" s="2"/>
      <c r="GNP5" s="2"/>
      <c r="GNQ5" s="2"/>
      <c r="GNR5" s="2"/>
      <c r="GNS5" s="2"/>
      <c r="GNT5" s="2"/>
      <c r="GNU5" s="2"/>
      <c r="GNV5" s="2"/>
      <c r="GNW5" s="2"/>
      <c r="GNX5" s="2"/>
      <c r="GNY5" s="2"/>
      <c r="GNZ5" s="2"/>
      <c r="GOA5" s="2"/>
      <c r="GOB5" s="2"/>
      <c r="GOC5" s="2"/>
      <c r="GOD5" s="2"/>
      <c r="GOE5" s="2"/>
      <c r="GOF5" s="2"/>
      <c r="GOG5" s="2"/>
      <c r="GOH5" s="2"/>
      <c r="GOI5" s="2"/>
      <c r="GOJ5" s="2"/>
      <c r="GOK5" s="2"/>
      <c r="GOL5" s="2"/>
      <c r="GOM5" s="2"/>
      <c r="GON5" s="2"/>
      <c r="GOO5" s="2"/>
      <c r="GOP5" s="2"/>
      <c r="GOQ5" s="2"/>
      <c r="GOR5" s="2"/>
      <c r="GOS5" s="2"/>
      <c r="GOT5" s="2"/>
      <c r="GOU5" s="2"/>
      <c r="GOV5" s="2"/>
      <c r="GOW5" s="2"/>
      <c r="GOX5" s="2"/>
      <c r="GOY5" s="2"/>
      <c r="GOZ5" s="2"/>
      <c r="GPA5" s="2"/>
      <c r="GPB5" s="2"/>
      <c r="GPC5" s="2"/>
      <c r="GPD5" s="2"/>
      <c r="GPE5" s="2"/>
      <c r="GPF5" s="2"/>
      <c r="GPG5" s="2"/>
      <c r="GPH5" s="2"/>
      <c r="GPI5" s="2"/>
      <c r="GPJ5" s="2"/>
      <c r="GPK5" s="2"/>
      <c r="GPL5" s="2"/>
      <c r="GPM5" s="2"/>
      <c r="GPN5" s="2"/>
      <c r="GPO5" s="2"/>
      <c r="GPP5" s="2"/>
      <c r="GPQ5" s="2"/>
      <c r="GPR5" s="2"/>
      <c r="GPS5" s="2"/>
      <c r="GPT5" s="2"/>
      <c r="GPU5" s="2"/>
      <c r="GPV5" s="2"/>
      <c r="GPW5" s="2"/>
      <c r="GPX5" s="2"/>
      <c r="GPY5" s="2"/>
      <c r="GPZ5" s="2"/>
      <c r="GQA5" s="2"/>
      <c r="GQB5" s="2"/>
      <c r="GQC5" s="2"/>
      <c r="GQD5" s="2"/>
      <c r="GQE5" s="2"/>
      <c r="GQF5" s="2"/>
      <c r="GQG5" s="2"/>
      <c r="GQH5" s="2"/>
      <c r="GQI5" s="2"/>
      <c r="GQJ5" s="2"/>
      <c r="GQK5" s="2"/>
      <c r="GQL5" s="2"/>
      <c r="GQM5" s="2"/>
      <c r="GQN5" s="2"/>
      <c r="GQO5" s="2"/>
      <c r="GQP5" s="2"/>
      <c r="GQQ5" s="2"/>
      <c r="GQR5" s="2"/>
      <c r="GQS5" s="2"/>
      <c r="GQT5" s="2"/>
      <c r="GQU5" s="2"/>
      <c r="GQV5" s="2"/>
      <c r="GQW5" s="2"/>
      <c r="GQX5" s="2"/>
      <c r="GQY5" s="2"/>
      <c r="GQZ5" s="2"/>
      <c r="GRA5" s="2"/>
      <c r="GRB5" s="2"/>
      <c r="GRC5" s="2"/>
      <c r="GRD5" s="2"/>
      <c r="GRE5" s="2"/>
      <c r="GRF5" s="2"/>
      <c r="GRG5" s="2"/>
      <c r="GRH5" s="2"/>
      <c r="GRI5" s="2"/>
      <c r="GRJ5" s="2"/>
      <c r="GRK5" s="2"/>
      <c r="GRL5" s="2"/>
      <c r="GRM5" s="2"/>
      <c r="GRN5" s="2"/>
      <c r="GRO5" s="2"/>
      <c r="GRP5" s="2"/>
      <c r="GRQ5" s="2"/>
      <c r="GRR5" s="2"/>
      <c r="GRS5" s="2"/>
      <c r="GRT5" s="2"/>
      <c r="GRU5" s="2"/>
      <c r="GRV5" s="2"/>
      <c r="GRW5" s="2"/>
      <c r="GRX5" s="2"/>
      <c r="GRY5" s="2"/>
      <c r="GRZ5" s="2"/>
      <c r="GSA5" s="2"/>
      <c r="GSB5" s="2"/>
      <c r="GSC5" s="2"/>
      <c r="GSD5" s="2"/>
      <c r="GSE5" s="2"/>
      <c r="GSF5" s="2"/>
      <c r="GSG5" s="2"/>
      <c r="GSH5" s="2"/>
      <c r="GSI5" s="2"/>
      <c r="GSJ5" s="2"/>
      <c r="GSK5" s="2"/>
      <c r="GSL5" s="2"/>
      <c r="GSM5" s="2"/>
      <c r="GSN5" s="2"/>
      <c r="GSO5" s="2"/>
      <c r="GSP5" s="2"/>
      <c r="GSQ5" s="2"/>
      <c r="GSR5" s="2"/>
      <c r="GSS5" s="2"/>
      <c r="GST5" s="2"/>
      <c r="GSU5" s="2"/>
      <c r="GSV5" s="2"/>
      <c r="GSW5" s="2"/>
      <c r="GSX5" s="2"/>
      <c r="GSY5" s="2"/>
      <c r="GSZ5" s="2"/>
      <c r="GTA5" s="2"/>
      <c r="GTB5" s="2"/>
      <c r="GTC5" s="2"/>
      <c r="GTD5" s="2"/>
      <c r="GTE5" s="2"/>
      <c r="GTF5" s="2"/>
      <c r="GTG5" s="2"/>
      <c r="GTH5" s="2"/>
      <c r="GTI5" s="2"/>
      <c r="GTJ5" s="2"/>
      <c r="GTK5" s="2"/>
      <c r="GTL5" s="2"/>
      <c r="GTM5" s="2"/>
      <c r="GTN5" s="2"/>
      <c r="GTO5" s="2"/>
      <c r="GTP5" s="2"/>
      <c r="GTQ5" s="2"/>
      <c r="GTR5" s="2"/>
      <c r="GTS5" s="2"/>
      <c r="GTT5" s="2"/>
      <c r="GTU5" s="2"/>
      <c r="GTV5" s="2"/>
      <c r="GTW5" s="2"/>
      <c r="GTX5" s="2"/>
      <c r="GTY5" s="2"/>
      <c r="GTZ5" s="2"/>
      <c r="GUA5" s="2"/>
      <c r="GUB5" s="2"/>
      <c r="GUC5" s="2"/>
      <c r="GUD5" s="2"/>
      <c r="GUE5" s="2"/>
      <c r="GUF5" s="2"/>
      <c r="GUG5" s="2"/>
      <c r="GUH5" s="2"/>
      <c r="GUI5" s="2"/>
      <c r="GUJ5" s="2"/>
      <c r="GUK5" s="2"/>
      <c r="GUL5" s="2"/>
      <c r="GUM5" s="2"/>
      <c r="GUN5" s="2"/>
      <c r="GUO5" s="2"/>
      <c r="GUP5" s="2"/>
      <c r="GUQ5" s="2"/>
      <c r="GUR5" s="2"/>
      <c r="GUS5" s="2"/>
      <c r="GUT5" s="2"/>
      <c r="GUU5" s="2"/>
      <c r="GUV5" s="2"/>
      <c r="GUW5" s="2"/>
      <c r="GUX5" s="2"/>
      <c r="GUY5" s="2"/>
      <c r="GUZ5" s="2"/>
      <c r="GVA5" s="2"/>
      <c r="GVB5" s="2"/>
      <c r="GVC5" s="2"/>
      <c r="GVD5" s="2"/>
      <c r="GVE5" s="2"/>
      <c r="GVF5" s="2"/>
      <c r="GVG5" s="2"/>
      <c r="GVH5" s="2"/>
      <c r="GVI5" s="2"/>
      <c r="GVJ5" s="2"/>
      <c r="GVK5" s="2"/>
      <c r="GVL5" s="2"/>
      <c r="GVM5" s="2"/>
      <c r="GVN5" s="2"/>
      <c r="GVO5" s="2"/>
      <c r="GVP5" s="2"/>
      <c r="GVQ5" s="2"/>
      <c r="GVR5" s="2"/>
      <c r="GVS5" s="2"/>
      <c r="GVT5" s="2"/>
      <c r="GVU5" s="2"/>
      <c r="GVV5" s="2"/>
      <c r="GVW5" s="2"/>
      <c r="GVX5" s="2"/>
      <c r="GVY5" s="2"/>
      <c r="GVZ5" s="2"/>
      <c r="GWA5" s="2"/>
      <c r="GWB5" s="2"/>
      <c r="GWC5" s="2"/>
      <c r="GWD5" s="2"/>
      <c r="GWE5" s="2"/>
      <c r="GWF5" s="2"/>
      <c r="GWG5" s="2"/>
      <c r="GWH5" s="2"/>
      <c r="GWI5" s="2"/>
      <c r="GWJ5" s="2"/>
      <c r="GWK5" s="2"/>
      <c r="GWL5" s="2"/>
      <c r="GWM5" s="2"/>
      <c r="GWN5" s="2"/>
      <c r="GWO5" s="2"/>
      <c r="GWP5" s="2"/>
      <c r="GWQ5" s="2"/>
      <c r="GWR5" s="2"/>
      <c r="GWS5" s="2"/>
      <c r="GWT5" s="2"/>
      <c r="GWU5" s="2"/>
      <c r="GWV5" s="2"/>
      <c r="GWW5" s="2"/>
      <c r="GWX5" s="2"/>
      <c r="GWY5" s="2"/>
      <c r="GWZ5" s="2"/>
      <c r="GXA5" s="2"/>
      <c r="GXB5" s="2"/>
      <c r="GXC5" s="2"/>
      <c r="GXD5" s="2"/>
      <c r="GXE5" s="2"/>
      <c r="GXF5" s="2"/>
      <c r="GXG5" s="2"/>
      <c r="GXH5" s="2"/>
      <c r="GXI5" s="2"/>
      <c r="GXJ5" s="2"/>
      <c r="GXK5" s="2"/>
      <c r="GXL5" s="2"/>
      <c r="GXM5" s="2"/>
      <c r="GXN5" s="2"/>
      <c r="GXO5" s="2"/>
      <c r="GXP5" s="2"/>
      <c r="GXQ5" s="2"/>
      <c r="GXR5" s="2"/>
      <c r="GXS5" s="2"/>
      <c r="GXT5" s="2"/>
      <c r="GXU5" s="2"/>
      <c r="GXV5" s="2"/>
      <c r="GXW5" s="2"/>
      <c r="GXX5" s="2"/>
      <c r="GXY5" s="2"/>
      <c r="GXZ5" s="2"/>
      <c r="GYA5" s="2"/>
      <c r="GYB5" s="2"/>
      <c r="GYC5" s="2"/>
      <c r="GYD5" s="2"/>
      <c r="GYE5" s="2"/>
      <c r="GYF5" s="2"/>
      <c r="GYG5" s="2"/>
      <c r="GYH5" s="2"/>
      <c r="GYI5" s="2"/>
      <c r="GYJ5" s="2"/>
      <c r="GYK5" s="2"/>
      <c r="GYL5" s="2"/>
      <c r="GYM5" s="2"/>
      <c r="GYN5" s="2"/>
      <c r="GYO5" s="2"/>
      <c r="GYP5" s="2"/>
      <c r="GYQ5" s="2"/>
      <c r="GYR5" s="2"/>
      <c r="GYS5" s="2"/>
      <c r="GYT5" s="2"/>
      <c r="GYU5" s="2"/>
      <c r="GYV5" s="2"/>
      <c r="GYW5" s="2"/>
      <c r="GYX5" s="2"/>
      <c r="GYY5" s="2"/>
      <c r="GYZ5" s="2"/>
      <c r="GZA5" s="2"/>
      <c r="GZB5" s="2"/>
      <c r="GZC5" s="2"/>
      <c r="GZD5" s="2"/>
      <c r="GZE5" s="2"/>
      <c r="GZF5" s="2"/>
      <c r="GZG5" s="2"/>
      <c r="GZH5" s="2"/>
      <c r="GZI5" s="2"/>
      <c r="GZJ5" s="2"/>
      <c r="GZK5" s="2"/>
      <c r="GZL5" s="2"/>
      <c r="GZM5" s="2"/>
      <c r="GZN5" s="2"/>
      <c r="GZO5" s="2"/>
      <c r="GZP5" s="2"/>
      <c r="GZQ5" s="2"/>
      <c r="GZR5" s="2"/>
      <c r="GZS5" s="2"/>
      <c r="GZT5" s="2"/>
      <c r="GZU5" s="2"/>
      <c r="GZV5" s="2"/>
      <c r="GZW5" s="2"/>
      <c r="GZX5" s="2"/>
      <c r="GZY5" s="2"/>
      <c r="GZZ5" s="2"/>
      <c r="HAA5" s="2"/>
      <c r="HAB5" s="2"/>
      <c r="HAC5" s="2"/>
      <c r="HAD5" s="2"/>
      <c r="HAE5" s="2"/>
      <c r="HAF5" s="2"/>
      <c r="HAG5" s="2"/>
      <c r="HAH5" s="2"/>
      <c r="HAI5" s="2"/>
      <c r="HAJ5" s="2"/>
      <c r="HAK5" s="2"/>
      <c r="HAL5" s="2"/>
      <c r="HAM5" s="2"/>
      <c r="HAN5" s="2"/>
      <c r="HAO5" s="2"/>
      <c r="HAP5" s="2"/>
      <c r="HAQ5" s="2"/>
      <c r="HAR5" s="2"/>
      <c r="HAS5" s="2"/>
      <c r="HAT5" s="2"/>
      <c r="HAU5" s="2"/>
      <c r="HAV5" s="2"/>
      <c r="HAW5" s="2"/>
      <c r="HAX5" s="2"/>
      <c r="HAY5" s="2"/>
      <c r="HAZ5" s="2"/>
      <c r="HBA5" s="2"/>
      <c r="HBB5" s="2"/>
      <c r="HBC5" s="2"/>
      <c r="HBD5" s="2"/>
      <c r="HBE5" s="2"/>
      <c r="HBF5" s="2"/>
      <c r="HBG5" s="2"/>
      <c r="HBH5" s="2"/>
      <c r="HBI5" s="2"/>
      <c r="HBJ5" s="2"/>
      <c r="HBK5" s="2"/>
      <c r="HBL5" s="2"/>
      <c r="HBM5" s="2"/>
      <c r="HBN5" s="2"/>
      <c r="HBO5" s="2"/>
      <c r="HBP5" s="2"/>
      <c r="HBQ5" s="2"/>
      <c r="HBR5" s="2"/>
      <c r="HBS5" s="2"/>
      <c r="HBT5" s="2"/>
      <c r="HBU5" s="2"/>
      <c r="HBV5" s="2"/>
      <c r="HBW5" s="2"/>
      <c r="HBX5" s="2"/>
      <c r="HBY5" s="2"/>
      <c r="HBZ5" s="2"/>
      <c r="HCA5" s="2"/>
      <c r="HCB5" s="2"/>
      <c r="HCC5" s="2"/>
      <c r="HCD5" s="2"/>
      <c r="HCE5" s="2"/>
      <c r="HCF5" s="2"/>
      <c r="HCG5" s="2"/>
      <c r="HCH5" s="2"/>
      <c r="HCI5" s="2"/>
      <c r="HCJ5" s="2"/>
      <c r="HCK5" s="2"/>
      <c r="HCL5" s="2"/>
      <c r="HCM5" s="2"/>
      <c r="HCN5" s="2"/>
      <c r="HCO5" s="2"/>
      <c r="HCP5" s="2"/>
      <c r="HCQ5" s="2"/>
      <c r="HCR5" s="2"/>
      <c r="HCS5" s="2"/>
      <c r="HCT5" s="2"/>
      <c r="HCU5" s="2"/>
      <c r="HCV5" s="2"/>
      <c r="HCW5" s="2"/>
      <c r="HCX5" s="2"/>
      <c r="HCY5" s="2"/>
      <c r="HCZ5" s="2"/>
      <c r="HDA5" s="2"/>
      <c r="HDB5" s="2"/>
      <c r="HDC5" s="2"/>
      <c r="HDD5" s="2"/>
      <c r="HDE5" s="2"/>
      <c r="HDF5" s="2"/>
      <c r="HDG5" s="2"/>
      <c r="HDH5" s="2"/>
      <c r="HDI5" s="2"/>
      <c r="HDJ5" s="2"/>
      <c r="HDK5" s="2"/>
      <c r="HDL5" s="2"/>
      <c r="HDM5" s="2"/>
      <c r="HDN5" s="2"/>
      <c r="HDO5" s="2"/>
      <c r="HDP5" s="2"/>
      <c r="HDQ5" s="2"/>
      <c r="HDR5" s="2"/>
      <c r="HDS5" s="2"/>
      <c r="HDT5" s="2"/>
      <c r="HDU5" s="2"/>
      <c r="HDV5" s="2"/>
      <c r="HDW5" s="2"/>
      <c r="HDX5" s="2"/>
      <c r="HDY5" s="2"/>
      <c r="HDZ5" s="2"/>
      <c r="HEA5" s="2"/>
      <c r="HEB5" s="2"/>
      <c r="HEC5" s="2"/>
      <c r="HED5" s="2"/>
      <c r="HEE5" s="2"/>
      <c r="HEF5" s="2"/>
      <c r="HEG5" s="2"/>
      <c r="HEH5" s="2"/>
      <c r="HEI5" s="2"/>
      <c r="HEJ5" s="2"/>
      <c r="HEK5" s="2"/>
      <c r="HEL5" s="2"/>
      <c r="HEM5" s="2"/>
      <c r="HEN5" s="2"/>
      <c r="HEO5" s="2"/>
      <c r="HEP5" s="2"/>
      <c r="HEQ5" s="2"/>
      <c r="HER5" s="2"/>
      <c r="HES5" s="2"/>
      <c r="HET5" s="2"/>
      <c r="HEU5" s="2"/>
      <c r="HEV5" s="2"/>
      <c r="HEW5" s="2"/>
      <c r="HEX5" s="2"/>
      <c r="HEY5" s="2"/>
      <c r="HEZ5" s="2"/>
      <c r="HFA5" s="2"/>
      <c r="HFB5" s="2"/>
      <c r="HFC5" s="2"/>
      <c r="HFD5" s="2"/>
      <c r="HFE5" s="2"/>
      <c r="HFF5" s="2"/>
      <c r="HFG5" s="2"/>
      <c r="HFH5" s="2"/>
      <c r="HFI5" s="2"/>
      <c r="HFJ5" s="2"/>
      <c r="HFK5" s="2"/>
      <c r="HFL5" s="2"/>
      <c r="HFM5" s="2"/>
      <c r="HFN5" s="2"/>
      <c r="HFO5" s="2"/>
      <c r="HFP5" s="2"/>
      <c r="HFQ5" s="2"/>
      <c r="HFR5" s="2"/>
      <c r="HFS5" s="2"/>
      <c r="HFT5" s="2"/>
      <c r="HFU5" s="2"/>
      <c r="HFV5" s="2"/>
      <c r="HFW5" s="2"/>
      <c r="HFX5" s="2"/>
      <c r="HFY5" s="2"/>
      <c r="HFZ5" s="2"/>
      <c r="HGA5" s="2"/>
      <c r="HGB5" s="2"/>
      <c r="HGC5" s="2"/>
      <c r="HGD5" s="2"/>
      <c r="HGE5" s="2"/>
      <c r="HGF5" s="2"/>
      <c r="HGG5" s="2"/>
      <c r="HGH5" s="2"/>
      <c r="HGI5" s="2"/>
      <c r="HGJ5" s="2"/>
      <c r="HGK5" s="2"/>
      <c r="HGL5" s="2"/>
      <c r="HGM5" s="2"/>
      <c r="HGN5" s="2"/>
      <c r="HGO5" s="2"/>
      <c r="HGP5" s="2"/>
      <c r="HGQ5" s="2"/>
      <c r="HGR5" s="2"/>
      <c r="HGS5" s="2"/>
      <c r="HGT5" s="2"/>
      <c r="HGU5" s="2"/>
      <c r="HGV5" s="2"/>
      <c r="HGW5" s="2"/>
      <c r="HGX5" s="2"/>
      <c r="HGY5" s="2"/>
      <c r="HGZ5" s="2"/>
      <c r="HHA5" s="2"/>
      <c r="HHB5" s="2"/>
      <c r="HHC5" s="2"/>
      <c r="HHD5" s="2"/>
      <c r="HHE5" s="2"/>
      <c r="HHF5" s="2"/>
      <c r="HHG5" s="2"/>
      <c r="HHH5" s="2"/>
      <c r="HHI5" s="2"/>
      <c r="HHJ5" s="2"/>
      <c r="HHK5" s="2"/>
      <c r="HHL5" s="2"/>
      <c r="HHM5" s="2"/>
      <c r="HHN5" s="2"/>
      <c r="HHO5" s="2"/>
      <c r="HHP5" s="2"/>
      <c r="HHQ5" s="2"/>
      <c r="HHR5" s="2"/>
      <c r="HHS5" s="2"/>
      <c r="HHT5" s="2"/>
      <c r="HHU5" s="2"/>
      <c r="HHV5" s="2"/>
      <c r="HHW5" s="2"/>
      <c r="HHX5" s="2"/>
      <c r="HHY5" s="2"/>
      <c r="HHZ5" s="2"/>
      <c r="HIA5" s="2"/>
      <c r="HIB5" s="2"/>
      <c r="HIC5" s="2"/>
      <c r="HID5" s="2"/>
      <c r="HIE5" s="2"/>
      <c r="HIF5" s="2"/>
      <c r="HIG5" s="2"/>
      <c r="HIH5" s="2"/>
      <c r="HII5" s="2"/>
      <c r="HIJ5" s="2"/>
      <c r="HIK5" s="2"/>
      <c r="HIL5" s="2"/>
      <c r="HIM5" s="2"/>
      <c r="HIN5" s="2"/>
      <c r="HIO5" s="2"/>
      <c r="HIP5" s="2"/>
      <c r="HIQ5" s="2"/>
      <c r="HIR5" s="2"/>
      <c r="HIS5" s="2"/>
      <c r="HIT5" s="2"/>
      <c r="HIU5" s="2"/>
      <c r="HIV5" s="2"/>
      <c r="HIW5" s="2"/>
      <c r="HIX5" s="2"/>
      <c r="HIY5" s="2"/>
      <c r="HIZ5" s="2"/>
      <c r="HJA5" s="2"/>
      <c r="HJB5" s="2"/>
      <c r="HJC5" s="2"/>
      <c r="HJD5" s="2"/>
      <c r="HJE5" s="2"/>
      <c r="HJF5" s="2"/>
      <c r="HJG5" s="2"/>
      <c r="HJH5" s="2"/>
      <c r="HJI5" s="2"/>
      <c r="HJJ5" s="2"/>
      <c r="HJK5" s="2"/>
      <c r="HJL5" s="2"/>
      <c r="HJM5" s="2"/>
      <c r="HJN5" s="2"/>
      <c r="HJO5" s="2"/>
      <c r="HJP5" s="2"/>
      <c r="HJQ5" s="2"/>
      <c r="HJR5" s="2"/>
      <c r="HJS5" s="2"/>
      <c r="HJT5" s="2"/>
      <c r="HJU5" s="2"/>
      <c r="HJV5" s="2"/>
      <c r="HJW5" s="2"/>
      <c r="HJX5" s="2"/>
      <c r="HJY5" s="2"/>
      <c r="HJZ5" s="2"/>
      <c r="HKA5" s="2"/>
      <c r="HKB5" s="2"/>
      <c r="HKC5" s="2"/>
      <c r="HKD5" s="2"/>
      <c r="HKE5" s="2"/>
      <c r="HKF5" s="2"/>
      <c r="HKG5" s="2"/>
      <c r="HKH5" s="2"/>
      <c r="HKI5" s="2"/>
      <c r="HKJ5" s="2"/>
      <c r="HKK5" s="2"/>
      <c r="HKL5" s="2"/>
      <c r="HKM5" s="2"/>
      <c r="HKN5" s="2"/>
      <c r="HKO5" s="2"/>
      <c r="HKP5" s="2"/>
      <c r="HKQ5" s="2"/>
      <c r="HKR5" s="2"/>
      <c r="HKS5" s="2"/>
      <c r="HKT5" s="2"/>
      <c r="HKU5" s="2"/>
      <c r="HKV5" s="2"/>
      <c r="HKW5" s="2"/>
      <c r="HKX5" s="2"/>
      <c r="HKY5" s="2"/>
      <c r="HKZ5" s="2"/>
      <c r="HLA5" s="2"/>
      <c r="HLB5" s="2"/>
      <c r="HLC5" s="2"/>
      <c r="HLD5" s="2"/>
      <c r="HLE5" s="2"/>
      <c r="HLF5" s="2"/>
      <c r="HLG5" s="2"/>
      <c r="HLH5" s="2"/>
      <c r="HLI5" s="2"/>
      <c r="HLJ5" s="2"/>
      <c r="HLK5" s="2"/>
      <c r="HLL5" s="2"/>
      <c r="HLM5" s="2"/>
      <c r="HLN5" s="2"/>
      <c r="HLO5" s="2"/>
      <c r="HLP5" s="2"/>
      <c r="HLQ5" s="2"/>
      <c r="HLR5" s="2"/>
      <c r="HLS5" s="2"/>
      <c r="HLT5" s="2"/>
      <c r="HLU5" s="2"/>
      <c r="HLV5" s="2"/>
      <c r="HLW5" s="2"/>
      <c r="HLX5" s="2"/>
      <c r="HLY5" s="2"/>
      <c r="HLZ5" s="2"/>
      <c r="HMA5" s="2"/>
      <c r="HMB5" s="2"/>
      <c r="HMC5" s="2"/>
      <c r="HMD5" s="2"/>
      <c r="HME5" s="2"/>
      <c r="HMF5" s="2"/>
      <c r="HMG5" s="2"/>
      <c r="HMH5" s="2"/>
      <c r="HMI5" s="2"/>
      <c r="HMJ5" s="2"/>
      <c r="HMK5" s="2"/>
      <c r="HML5" s="2"/>
      <c r="HMM5" s="2"/>
      <c r="HMN5" s="2"/>
      <c r="HMO5" s="2"/>
      <c r="HMP5" s="2"/>
      <c r="HMQ5" s="2"/>
      <c r="HMR5" s="2"/>
      <c r="HMS5" s="2"/>
      <c r="HMT5" s="2"/>
      <c r="HMU5" s="2"/>
      <c r="HMV5" s="2"/>
      <c r="HMW5" s="2"/>
      <c r="HMX5" s="2"/>
      <c r="HMY5" s="2"/>
      <c r="HMZ5" s="2"/>
      <c r="HNA5" s="2"/>
      <c r="HNB5" s="2"/>
      <c r="HNC5" s="2"/>
      <c r="HND5" s="2"/>
      <c r="HNE5" s="2"/>
      <c r="HNF5" s="2"/>
      <c r="HNG5" s="2"/>
      <c r="HNH5" s="2"/>
      <c r="HNI5" s="2"/>
      <c r="HNJ5" s="2"/>
      <c r="HNK5" s="2"/>
      <c r="HNL5" s="2"/>
      <c r="HNM5" s="2"/>
      <c r="HNN5" s="2"/>
      <c r="HNO5" s="2"/>
      <c r="HNP5" s="2"/>
      <c r="HNQ5" s="2"/>
      <c r="HNR5" s="2"/>
      <c r="HNS5" s="2"/>
      <c r="HNT5" s="2"/>
      <c r="HNU5" s="2"/>
      <c r="HNV5" s="2"/>
      <c r="HNW5" s="2"/>
      <c r="HNX5" s="2"/>
      <c r="HNY5" s="2"/>
      <c r="HNZ5" s="2"/>
      <c r="HOA5" s="2"/>
      <c r="HOB5" s="2"/>
      <c r="HOC5" s="2"/>
      <c r="HOD5" s="2"/>
      <c r="HOE5" s="2"/>
      <c r="HOF5" s="2"/>
      <c r="HOG5" s="2"/>
      <c r="HOH5" s="2"/>
      <c r="HOI5" s="2"/>
      <c r="HOJ5" s="2"/>
      <c r="HOK5" s="2"/>
      <c r="HOL5" s="2"/>
      <c r="HOM5" s="2"/>
      <c r="HON5" s="2"/>
      <c r="HOO5" s="2"/>
      <c r="HOP5" s="2"/>
      <c r="HOQ5" s="2"/>
      <c r="HOR5" s="2"/>
      <c r="HOS5" s="2"/>
      <c r="HOT5" s="2"/>
      <c r="HOU5" s="2"/>
      <c r="HOV5" s="2"/>
      <c r="HOW5" s="2"/>
      <c r="HOX5" s="2"/>
      <c r="HOY5" s="2"/>
      <c r="HOZ5" s="2"/>
      <c r="HPA5" s="2"/>
      <c r="HPB5" s="2"/>
      <c r="HPC5" s="2"/>
      <c r="HPD5" s="2"/>
      <c r="HPE5" s="2"/>
      <c r="HPF5" s="2"/>
      <c r="HPG5" s="2"/>
      <c r="HPH5" s="2"/>
      <c r="HPI5" s="2"/>
      <c r="HPJ5" s="2"/>
      <c r="HPK5" s="2"/>
      <c r="HPL5" s="2"/>
      <c r="HPM5" s="2"/>
      <c r="HPN5" s="2"/>
      <c r="HPO5" s="2"/>
      <c r="HPP5" s="2"/>
      <c r="HPQ5" s="2"/>
      <c r="HPR5" s="2"/>
      <c r="HPS5" s="2"/>
      <c r="HPT5" s="2"/>
      <c r="HPU5" s="2"/>
      <c r="HPV5" s="2"/>
      <c r="HPW5" s="2"/>
      <c r="HPX5" s="2"/>
      <c r="HPY5" s="2"/>
      <c r="HPZ5" s="2"/>
      <c r="HQA5" s="2"/>
      <c r="HQB5" s="2"/>
      <c r="HQC5" s="2"/>
      <c r="HQD5" s="2"/>
      <c r="HQE5" s="2"/>
      <c r="HQF5" s="2"/>
      <c r="HQG5" s="2"/>
      <c r="HQH5" s="2"/>
      <c r="HQI5" s="2"/>
      <c r="HQJ5" s="2"/>
      <c r="HQK5" s="2"/>
      <c r="HQL5" s="2"/>
      <c r="HQM5" s="2"/>
      <c r="HQN5" s="2"/>
      <c r="HQO5" s="2"/>
      <c r="HQP5" s="2"/>
      <c r="HQQ5" s="2"/>
      <c r="HQR5" s="2"/>
      <c r="HQS5" s="2"/>
      <c r="HQT5" s="2"/>
      <c r="HQU5" s="2"/>
      <c r="HQV5" s="2"/>
      <c r="HQW5" s="2"/>
      <c r="HQX5" s="2"/>
      <c r="HQY5" s="2"/>
      <c r="HQZ5" s="2"/>
      <c r="HRA5" s="2"/>
      <c r="HRB5" s="2"/>
      <c r="HRC5" s="2"/>
      <c r="HRD5" s="2"/>
      <c r="HRE5" s="2"/>
      <c r="HRF5" s="2"/>
      <c r="HRG5" s="2"/>
      <c r="HRH5" s="2"/>
      <c r="HRI5" s="2"/>
      <c r="HRJ5" s="2"/>
      <c r="HRK5" s="2"/>
      <c r="HRL5" s="2"/>
      <c r="HRM5" s="2"/>
      <c r="HRN5" s="2"/>
      <c r="HRO5" s="2"/>
      <c r="HRP5" s="2"/>
      <c r="HRQ5" s="2"/>
      <c r="HRR5" s="2"/>
      <c r="HRS5" s="2"/>
      <c r="HRT5" s="2"/>
      <c r="HRU5" s="2"/>
      <c r="HRV5" s="2"/>
      <c r="HRW5" s="2"/>
      <c r="HRX5" s="2"/>
      <c r="HRY5" s="2"/>
      <c r="HRZ5" s="2"/>
      <c r="HSA5" s="2"/>
      <c r="HSB5" s="2"/>
      <c r="HSC5" s="2"/>
      <c r="HSD5" s="2"/>
      <c r="HSE5" s="2"/>
      <c r="HSF5" s="2"/>
      <c r="HSG5" s="2"/>
      <c r="HSH5" s="2"/>
      <c r="HSI5" s="2"/>
      <c r="HSJ5" s="2"/>
      <c r="HSK5" s="2"/>
      <c r="HSL5" s="2"/>
      <c r="HSM5" s="2"/>
      <c r="HSN5" s="2"/>
      <c r="HSO5" s="2"/>
      <c r="HSP5" s="2"/>
      <c r="HSQ5" s="2"/>
      <c r="HSR5" s="2"/>
      <c r="HSS5" s="2"/>
      <c r="HST5" s="2"/>
      <c r="HSU5" s="2"/>
      <c r="HSV5" s="2"/>
      <c r="HSW5" s="2"/>
      <c r="HSX5" s="2"/>
      <c r="HSY5" s="2"/>
      <c r="HSZ5" s="2"/>
      <c r="HTA5" s="2"/>
      <c r="HTB5" s="2"/>
      <c r="HTC5" s="2"/>
      <c r="HTD5" s="2"/>
      <c r="HTE5" s="2"/>
      <c r="HTF5" s="2"/>
      <c r="HTG5" s="2"/>
      <c r="HTH5" s="2"/>
      <c r="HTI5" s="2"/>
      <c r="HTJ5" s="2"/>
      <c r="HTK5" s="2"/>
      <c r="HTL5" s="2"/>
      <c r="HTM5" s="2"/>
      <c r="HTN5" s="2"/>
      <c r="HTO5" s="2"/>
      <c r="HTP5" s="2"/>
      <c r="HTQ5" s="2"/>
      <c r="HTR5" s="2"/>
      <c r="HTS5" s="2"/>
      <c r="HTT5" s="2"/>
      <c r="HTU5" s="2"/>
      <c r="HTV5" s="2"/>
      <c r="HTW5" s="2"/>
      <c r="HTX5" s="2"/>
      <c r="HTY5" s="2"/>
      <c r="HTZ5" s="2"/>
      <c r="HUA5" s="2"/>
      <c r="HUB5" s="2"/>
      <c r="HUC5" s="2"/>
      <c r="HUD5" s="2"/>
      <c r="HUE5" s="2"/>
      <c r="HUF5" s="2"/>
      <c r="HUG5" s="2"/>
      <c r="HUH5" s="2"/>
      <c r="HUI5" s="2"/>
      <c r="HUJ5" s="2"/>
      <c r="HUK5" s="2"/>
      <c r="HUL5" s="2"/>
      <c r="HUM5" s="2"/>
      <c r="HUN5" s="2"/>
      <c r="HUO5" s="2"/>
      <c r="HUP5" s="2"/>
      <c r="HUQ5" s="2"/>
      <c r="HUR5" s="2"/>
      <c r="HUS5" s="2"/>
      <c r="HUT5" s="2"/>
      <c r="HUU5" s="2"/>
      <c r="HUV5" s="2"/>
      <c r="HUW5" s="2"/>
      <c r="HUX5" s="2"/>
      <c r="HUY5" s="2"/>
      <c r="HUZ5" s="2"/>
      <c r="HVA5" s="2"/>
      <c r="HVB5" s="2"/>
      <c r="HVC5" s="2"/>
      <c r="HVD5" s="2"/>
      <c r="HVE5" s="2"/>
      <c r="HVF5" s="2"/>
      <c r="HVG5" s="2"/>
      <c r="HVH5" s="2"/>
      <c r="HVI5" s="2"/>
      <c r="HVJ5" s="2"/>
      <c r="HVK5" s="2"/>
      <c r="HVL5" s="2"/>
      <c r="HVM5" s="2"/>
      <c r="HVN5" s="2"/>
      <c r="HVO5" s="2"/>
      <c r="HVP5" s="2"/>
      <c r="HVQ5" s="2"/>
      <c r="HVR5" s="2"/>
      <c r="HVS5" s="2"/>
      <c r="HVT5" s="2"/>
      <c r="HVU5" s="2"/>
      <c r="HVV5" s="2"/>
      <c r="HVW5" s="2"/>
      <c r="HVX5" s="2"/>
      <c r="HVY5" s="2"/>
      <c r="HVZ5" s="2"/>
      <c r="HWA5" s="2"/>
      <c r="HWB5" s="2"/>
      <c r="HWC5" s="2"/>
      <c r="HWD5" s="2"/>
      <c r="HWE5" s="2"/>
      <c r="HWF5" s="2"/>
      <c r="HWG5" s="2"/>
      <c r="HWH5" s="2"/>
      <c r="HWI5" s="2"/>
      <c r="HWJ5" s="2"/>
      <c r="HWK5" s="2"/>
      <c r="HWL5" s="2"/>
      <c r="HWM5" s="2"/>
      <c r="HWN5" s="2"/>
      <c r="HWO5" s="2"/>
      <c r="HWP5" s="2"/>
      <c r="HWQ5" s="2"/>
      <c r="HWR5" s="2"/>
      <c r="HWS5" s="2"/>
      <c r="HWT5" s="2"/>
      <c r="HWU5" s="2"/>
      <c r="HWV5" s="2"/>
      <c r="HWW5" s="2"/>
      <c r="HWX5" s="2"/>
      <c r="HWY5" s="2"/>
      <c r="HWZ5" s="2"/>
      <c r="HXA5" s="2"/>
      <c r="HXB5" s="2"/>
      <c r="HXC5" s="2"/>
      <c r="HXD5" s="2"/>
      <c r="HXE5" s="2"/>
      <c r="HXF5" s="2"/>
      <c r="HXG5" s="2"/>
      <c r="HXH5" s="2"/>
      <c r="HXI5" s="2"/>
      <c r="HXJ5" s="2"/>
      <c r="HXK5" s="2"/>
      <c r="HXL5" s="2"/>
      <c r="HXM5" s="2"/>
      <c r="HXN5" s="2"/>
      <c r="HXO5" s="2"/>
      <c r="HXP5" s="2"/>
      <c r="HXQ5" s="2"/>
      <c r="HXR5" s="2"/>
      <c r="HXS5" s="2"/>
      <c r="HXT5" s="2"/>
      <c r="HXU5" s="2"/>
      <c r="HXV5" s="2"/>
      <c r="HXW5" s="2"/>
      <c r="HXX5" s="2"/>
      <c r="HXY5" s="2"/>
      <c r="HXZ5" s="2"/>
      <c r="HYA5" s="2"/>
      <c r="HYB5" s="2"/>
      <c r="HYC5" s="2"/>
      <c r="HYD5" s="2"/>
      <c r="HYE5" s="2"/>
      <c r="HYF5" s="2"/>
      <c r="HYG5" s="2"/>
      <c r="HYH5" s="2"/>
      <c r="HYI5" s="2"/>
      <c r="HYJ5" s="2"/>
      <c r="HYK5" s="2"/>
      <c r="HYL5" s="2"/>
      <c r="HYM5" s="2"/>
      <c r="HYN5" s="2"/>
      <c r="HYO5" s="2"/>
      <c r="HYP5" s="2"/>
      <c r="HYQ5" s="2"/>
      <c r="HYR5" s="2"/>
      <c r="HYS5" s="2"/>
      <c r="HYT5" s="2"/>
      <c r="HYU5" s="2"/>
      <c r="HYV5" s="2"/>
      <c r="HYW5" s="2"/>
      <c r="HYX5" s="2"/>
      <c r="HYY5" s="2"/>
      <c r="HYZ5" s="2"/>
      <c r="HZA5" s="2"/>
      <c r="HZB5" s="2"/>
      <c r="HZC5" s="2"/>
      <c r="HZD5" s="2"/>
      <c r="HZE5" s="2"/>
      <c r="HZF5" s="2"/>
      <c r="HZG5" s="2"/>
      <c r="HZH5" s="2"/>
      <c r="HZI5" s="2"/>
      <c r="HZJ5" s="2"/>
      <c r="HZK5" s="2"/>
      <c r="HZL5" s="2"/>
      <c r="HZM5" s="2"/>
      <c r="HZN5" s="2"/>
      <c r="HZO5" s="2"/>
      <c r="HZP5" s="2"/>
      <c r="HZQ5" s="2"/>
      <c r="HZR5" s="2"/>
      <c r="HZS5" s="2"/>
      <c r="HZT5" s="2"/>
      <c r="HZU5" s="2"/>
      <c r="HZV5" s="2"/>
      <c r="HZW5" s="2"/>
      <c r="HZX5" s="2"/>
      <c r="HZY5" s="2"/>
      <c r="HZZ5" s="2"/>
      <c r="IAA5" s="2"/>
      <c r="IAB5" s="2"/>
      <c r="IAC5" s="2"/>
      <c r="IAD5" s="2"/>
      <c r="IAE5" s="2"/>
      <c r="IAF5" s="2"/>
      <c r="IAG5" s="2"/>
      <c r="IAH5" s="2"/>
      <c r="IAI5" s="2"/>
      <c r="IAJ5" s="2"/>
      <c r="IAK5" s="2"/>
      <c r="IAL5" s="2"/>
      <c r="IAM5" s="2"/>
      <c r="IAN5" s="2"/>
      <c r="IAO5" s="2"/>
      <c r="IAP5" s="2"/>
      <c r="IAQ5" s="2"/>
      <c r="IAR5" s="2"/>
      <c r="IAS5" s="2"/>
      <c r="IAT5" s="2"/>
      <c r="IAU5" s="2"/>
      <c r="IAV5" s="2"/>
      <c r="IAW5" s="2"/>
      <c r="IAX5" s="2"/>
      <c r="IAY5" s="2"/>
      <c r="IAZ5" s="2"/>
      <c r="IBA5" s="2"/>
      <c r="IBB5" s="2"/>
      <c r="IBC5" s="2"/>
      <c r="IBD5" s="2"/>
      <c r="IBE5" s="2"/>
      <c r="IBF5" s="2"/>
      <c r="IBG5" s="2"/>
      <c r="IBH5" s="2"/>
      <c r="IBI5" s="2"/>
      <c r="IBJ5" s="2"/>
      <c r="IBK5" s="2"/>
      <c r="IBL5" s="2"/>
      <c r="IBM5" s="2"/>
      <c r="IBN5" s="2"/>
      <c r="IBO5" s="2"/>
      <c r="IBP5" s="2"/>
      <c r="IBQ5" s="2"/>
      <c r="IBR5" s="2"/>
      <c r="IBS5" s="2"/>
      <c r="IBT5" s="2"/>
      <c r="IBU5" s="2"/>
      <c r="IBV5" s="2"/>
      <c r="IBW5" s="2"/>
      <c r="IBX5" s="2"/>
      <c r="IBY5" s="2"/>
      <c r="IBZ5" s="2"/>
      <c r="ICA5" s="2"/>
      <c r="ICB5" s="2"/>
      <c r="ICC5" s="2"/>
      <c r="ICD5" s="2"/>
      <c r="ICE5" s="2"/>
      <c r="ICF5" s="2"/>
      <c r="ICG5" s="2"/>
      <c r="ICH5" s="2"/>
      <c r="ICI5" s="2"/>
      <c r="ICJ5" s="2"/>
      <c r="ICK5" s="2"/>
      <c r="ICL5" s="2"/>
      <c r="ICM5" s="2"/>
      <c r="ICN5" s="2"/>
      <c r="ICO5" s="2"/>
      <c r="ICP5" s="2"/>
      <c r="ICQ5" s="2"/>
      <c r="ICR5" s="2"/>
      <c r="ICS5" s="2"/>
      <c r="ICT5" s="2"/>
      <c r="ICU5" s="2"/>
      <c r="ICV5" s="2"/>
      <c r="ICW5" s="2"/>
      <c r="ICX5" s="2"/>
      <c r="ICY5" s="2"/>
      <c r="ICZ5" s="2"/>
      <c r="IDA5" s="2"/>
      <c r="IDB5" s="2"/>
      <c r="IDC5" s="2"/>
      <c r="IDD5" s="2"/>
      <c r="IDE5" s="2"/>
      <c r="IDF5" s="2"/>
      <c r="IDG5" s="2"/>
      <c r="IDH5" s="2"/>
      <c r="IDI5" s="2"/>
      <c r="IDJ5" s="2"/>
      <c r="IDK5" s="2"/>
      <c r="IDL5" s="2"/>
      <c r="IDM5" s="2"/>
      <c r="IDN5" s="2"/>
      <c r="IDO5" s="2"/>
      <c r="IDP5" s="2"/>
      <c r="IDQ5" s="2"/>
      <c r="IDR5" s="2"/>
      <c r="IDS5" s="2"/>
      <c r="IDT5" s="2"/>
      <c r="IDU5" s="2"/>
      <c r="IDV5" s="2"/>
      <c r="IDW5" s="2"/>
      <c r="IDX5" s="2"/>
      <c r="IDY5" s="2"/>
      <c r="IDZ5" s="2"/>
      <c r="IEA5" s="2"/>
      <c r="IEB5" s="2"/>
      <c r="IEC5" s="2"/>
      <c r="IED5" s="2"/>
      <c r="IEE5" s="2"/>
      <c r="IEF5" s="2"/>
      <c r="IEG5" s="2"/>
      <c r="IEH5" s="2"/>
      <c r="IEI5" s="2"/>
      <c r="IEJ5" s="2"/>
      <c r="IEK5" s="2"/>
      <c r="IEL5" s="2"/>
      <c r="IEM5" s="2"/>
      <c r="IEN5" s="2"/>
      <c r="IEO5" s="2"/>
      <c r="IEP5" s="2"/>
      <c r="IEQ5" s="2"/>
      <c r="IER5" s="2"/>
      <c r="IES5" s="2"/>
      <c r="IET5" s="2"/>
      <c r="IEU5" s="2"/>
      <c r="IEV5" s="2"/>
      <c r="IEW5" s="2"/>
      <c r="IEX5" s="2"/>
      <c r="IEY5" s="2"/>
      <c r="IEZ5" s="2"/>
      <c r="IFA5" s="2"/>
      <c r="IFB5" s="2"/>
      <c r="IFC5" s="2"/>
      <c r="IFD5" s="2"/>
      <c r="IFE5" s="2"/>
      <c r="IFF5" s="2"/>
      <c r="IFG5" s="2"/>
      <c r="IFH5" s="2"/>
      <c r="IFI5" s="2"/>
      <c r="IFJ5" s="2"/>
      <c r="IFK5" s="2"/>
      <c r="IFL5" s="2"/>
      <c r="IFM5" s="2"/>
      <c r="IFN5" s="2"/>
      <c r="IFO5" s="2"/>
      <c r="IFP5" s="2"/>
      <c r="IFQ5" s="2"/>
      <c r="IFR5" s="2"/>
      <c r="IFS5" s="2"/>
      <c r="IFT5" s="2"/>
      <c r="IFU5" s="2"/>
      <c r="IFV5" s="2"/>
      <c r="IFW5" s="2"/>
      <c r="IFX5" s="2"/>
      <c r="IFY5" s="2"/>
      <c r="IFZ5" s="2"/>
      <c r="IGA5" s="2"/>
      <c r="IGB5" s="2"/>
      <c r="IGC5" s="2"/>
      <c r="IGD5" s="2"/>
      <c r="IGE5" s="2"/>
      <c r="IGF5" s="2"/>
      <c r="IGG5" s="2"/>
      <c r="IGH5" s="2"/>
      <c r="IGI5" s="2"/>
      <c r="IGJ5" s="2"/>
      <c r="IGK5" s="2"/>
      <c r="IGL5" s="2"/>
      <c r="IGM5" s="2"/>
      <c r="IGN5" s="2"/>
      <c r="IGO5" s="2"/>
      <c r="IGP5" s="2"/>
      <c r="IGQ5" s="2"/>
      <c r="IGR5" s="2"/>
      <c r="IGS5" s="2"/>
      <c r="IGT5" s="2"/>
      <c r="IGU5" s="2"/>
      <c r="IGV5" s="2"/>
      <c r="IGW5" s="2"/>
      <c r="IGX5" s="2"/>
      <c r="IGY5" s="2"/>
      <c r="IGZ5" s="2"/>
      <c r="IHA5" s="2"/>
      <c r="IHB5" s="2"/>
      <c r="IHC5" s="2"/>
      <c r="IHD5" s="2"/>
      <c r="IHE5" s="2"/>
      <c r="IHF5" s="2"/>
      <c r="IHG5" s="2"/>
      <c r="IHH5" s="2"/>
      <c r="IHI5" s="2"/>
      <c r="IHJ5" s="2"/>
      <c r="IHK5" s="2"/>
      <c r="IHL5" s="2"/>
      <c r="IHM5" s="2"/>
      <c r="IHN5" s="2"/>
      <c r="IHO5" s="2"/>
      <c r="IHP5" s="2"/>
      <c r="IHQ5" s="2"/>
      <c r="IHR5" s="2"/>
      <c r="IHS5" s="2"/>
      <c r="IHT5" s="2"/>
      <c r="IHU5" s="2"/>
      <c r="IHV5" s="2"/>
      <c r="IHW5" s="2"/>
      <c r="IHX5" s="2"/>
      <c r="IHY5" s="2"/>
      <c r="IHZ5" s="2"/>
      <c r="IIA5" s="2"/>
      <c r="IIB5" s="2"/>
      <c r="IIC5" s="2"/>
      <c r="IID5" s="2"/>
      <c r="IIE5" s="2"/>
      <c r="IIF5" s="2"/>
      <c r="IIG5" s="2"/>
      <c r="IIH5" s="2"/>
      <c r="III5" s="2"/>
      <c r="IIJ5" s="2"/>
      <c r="IIK5" s="2"/>
      <c r="IIL5" s="2"/>
      <c r="IIM5" s="2"/>
      <c r="IIN5" s="2"/>
      <c r="IIO5" s="2"/>
      <c r="IIP5" s="2"/>
      <c r="IIQ5" s="2"/>
      <c r="IIR5" s="2"/>
      <c r="IIS5" s="2"/>
      <c r="IIT5" s="2"/>
      <c r="IIU5" s="2"/>
      <c r="IIV5" s="2"/>
      <c r="IIW5" s="2"/>
      <c r="IIX5" s="2"/>
      <c r="IIY5" s="2"/>
      <c r="IIZ5" s="2"/>
      <c r="IJA5" s="2"/>
      <c r="IJB5" s="2"/>
      <c r="IJC5" s="2"/>
      <c r="IJD5" s="2"/>
      <c r="IJE5" s="2"/>
      <c r="IJF5" s="2"/>
      <c r="IJG5" s="2"/>
      <c r="IJH5" s="2"/>
      <c r="IJI5" s="2"/>
      <c r="IJJ5" s="2"/>
      <c r="IJK5" s="2"/>
      <c r="IJL5" s="2"/>
      <c r="IJM5" s="2"/>
      <c r="IJN5" s="2"/>
      <c r="IJO5" s="2"/>
      <c r="IJP5" s="2"/>
      <c r="IJQ5" s="2"/>
      <c r="IJR5" s="2"/>
      <c r="IJS5" s="2"/>
      <c r="IJT5" s="2"/>
      <c r="IJU5" s="2"/>
      <c r="IJV5" s="2"/>
      <c r="IJW5" s="2"/>
      <c r="IJX5" s="2"/>
      <c r="IJY5" s="2"/>
      <c r="IJZ5" s="2"/>
      <c r="IKA5" s="2"/>
      <c r="IKB5" s="2"/>
      <c r="IKC5" s="2"/>
      <c r="IKD5" s="2"/>
      <c r="IKE5" s="2"/>
      <c r="IKF5" s="2"/>
      <c r="IKG5" s="2"/>
      <c r="IKH5" s="2"/>
      <c r="IKI5" s="2"/>
      <c r="IKJ5" s="2"/>
      <c r="IKK5" s="2"/>
      <c r="IKL5" s="2"/>
      <c r="IKM5" s="2"/>
      <c r="IKN5" s="2"/>
      <c r="IKO5" s="2"/>
      <c r="IKP5" s="2"/>
      <c r="IKQ5" s="2"/>
      <c r="IKR5" s="2"/>
      <c r="IKS5" s="2"/>
      <c r="IKT5" s="2"/>
      <c r="IKU5" s="2"/>
      <c r="IKV5" s="2"/>
      <c r="IKW5" s="2"/>
      <c r="IKX5" s="2"/>
      <c r="IKY5" s="2"/>
      <c r="IKZ5" s="2"/>
      <c r="ILA5" s="2"/>
      <c r="ILB5" s="2"/>
      <c r="ILC5" s="2"/>
      <c r="ILD5" s="2"/>
      <c r="ILE5" s="2"/>
      <c r="ILF5" s="2"/>
      <c r="ILG5" s="2"/>
      <c r="ILH5" s="2"/>
      <c r="ILI5" s="2"/>
      <c r="ILJ5" s="2"/>
      <c r="ILK5" s="2"/>
      <c r="ILL5" s="2"/>
      <c r="ILM5" s="2"/>
      <c r="ILN5" s="2"/>
      <c r="ILO5" s="2"/>
      <c r="ILP5" s="2"/>
      <c r="ILQ5" s="2"/>
      <c r="ILR5" s="2"/>
      <c r="ILS5" s="2"/>
      <c r="ILT5" s="2"/>
      <c r="ILU5" s="2"/>
      <c r="ILV5" s="2"/>
      <c r="ILW5" s="2"/>
      <c r="ILX5" s="2"/>
      <c r="ILY5" s="2"/>
      <c r="ILZ5" s="2"/>
      <c r="IMA5" s="2"/>
      <c r="IMB5" s="2"/>
      <c r="IMC5" s="2"/>
      <c r="IMD5" s="2"/>
      <c r="IME5" s="2"/>
      <c r="IMF5" s="2"/>
      <c r="IMG5" s="2"/>
      <c r="IMH5" s="2"/>
      <c r="IMI5" s="2"/>
      <c r="IMJ5" s="2"/>
      <c r="IMK5" s="2"/>
      <c r="IML5" s="2"/>
      <c r="IMM5" s="2"/>
      <c r="IMN5" s="2"/>
      <c r="IMO5" s="2"/>
      <c r="IMP5" s="2"/>
      <c r="IMQ5" s="2"/>
      <c r="IMR5" s="2"/>
      <c r="IMS5" s="2"/>
      <c r="IMT5" s="2"/>
      <c r="IMU5" s="2"/>
      <c r="IMV5" s="2"/>
      <c r="IMW5" s="2"/>
      <c r="IMX5" s="2"/>
      <c r="IMY5" s="2"/>
      <c r="IMZ5" s="2"/>
      <c r="INA5" s="2"/>
      <c r="INB5" s="2"/>
      <c r="INC5" s="2"/>
      <c r="IND5" s="2"/>
      <c r="INE5" s="2"/>
      <c r="INF5" s="2"/>
      <c r="ING5" s="2"/>
      <c r="INH5" s="2"/>
      <c r="INI5" s="2"/>
      <c r="INJ5" s="2"/>
      <c r="INK5" s="2"/>
      <c r="INL5" s="2"/>
      <c r="INM5" s="2"/>
      <c r="INN5" s="2"/>
      <c r="INO5" s="2"/>
      <c r="INP5" s="2"/>
      <c r="INQ5" s="2"/>
      <c r="INR5" s="2"/>
      <c r="INS5" s="2"/>
      <c r="INT5" s="2"/>
      <c r="INU5" s="2"/>
      <c r="INV5" s="2"/>
      <c r="INW5" s="2"/>
      <c r="INX5" s="2"/>
      <c r="INY5" s="2"/>
      <c r="INZ5" s="2"/>
      <c r="IOA5" s="2"/>
      <c r="IOB5" s="2"/>
      <c r="IOC5" s="2"/>
      <c r="IOD5" s="2"/>
      <c r="IOE5" s="2"/>
      <c r="IOF5" s="2"/>
      <c r="IOG5" s="2"/>
      <c r="IOH5" s="2"/>
      <c r="IOI5" s="2"/>
      <c r="IOJ5" s="2"/>
      <c r="IOK5" s="2"/>
      <c r="IOL5" s="2"/>
      <c r="IOM5" s="2"/>
      <c r="ION5" s="2"/>
      <c r="IOO5" s="2"/>
      <c r="IOP5" s="2"/>
      <c r="IOQ5" s="2"/>
      <c r="IOR5" s="2"/>
      <c r="IOS5" s="2"/>
      <c r="IOT5" s="2"/>
      <c r="IOU5" s="2"/>
      <c r="IOV5" s="2"/>
      <c r="IOW5" s="2"/>
      <c r="IOX5" s="2"/>
      <c r="IOY5" s="2"/>
      <c r="IOZ5" s="2"/>
      <c r="IPA5" s="2"/>
      <c r="IPB5" s="2"/>
      <c r="IPC5" s="2"/>
      <c r="IPD5" s="2"/>
      <c r="IPE5" s="2"/>
      <c r="IPF5" s="2"/>
      <c r="IPG5" s="2"/>
      <c r="IPH5" s="2"/>
      <c r="IPI5" s="2"/>
      <c r="IPJ5" s="2"/>
      <c r="IPK5" s="2"/>
      <c r="IPL5" s="2"/>
      <c r="IPM5" s="2"/>
      <c r="IPN5" s="2"/>
      <c r="IPO5" s="2"/>
      <c r="IPP5" s="2"/>
      <c r="IPQ5" s="2"/>
      <c r="IPR5" s="2"/>
      <c r="IPS5" s="2"/>
      <c r="IPT5" s="2"/>
      <c r="IPU5" s="2"/>
      <c r="IPV5" s="2"/>
      <c r="IPW5" s="2"/>
      <c r="IPX5" s="2"/>
      <c r="IPY5" s="2"/>
      <c r="IPZ5" s="2"/>
      <c r="IQA5" s="2"/>
      <c r="IQB5" s="2"/>
      <c r="IQC5" s="2"/>
      <c r="IQD5" s="2"/>
      <c r="IQE5" s="2"/>
      <c r="IQF5" s="2"/>
      <c r="IQG5" s="2"/>
      <c r="IQH5" s="2"/>
      <c r="IQI5" s="2"/>
      <c r="IQJ5" s="2"/>
      <c r="IQK5" s="2"/>
      <c r="IQL5" s="2"/>
      <c r="IQM5" s="2"/>
      <c r="IQN5" s="2"/>
      <c r="IQO5" s="2"/>
      <c r="IQP5" s="2"/>
      <c r="IQQ5" s="2"/>
      <c r="IQR5" s="2"/>
      <c r="IQS5" s="2"/>
      <c r="IQT5" s="2"/>
      <c r="IQU5" s="2"/>
      <c r="IQV5" s="2"/>
      <c r="IQW5" s="2"/>
      <c r="IQX5" s="2"/>
      <c r="IQY5" s="2"/>
      <c r="IQZ5" s="2"/>
      <c r="IRA5" s="2"/>
      <c r="IRB5" s="2"/>
      <c r="IRC5" s="2"/>
      <c r="IRD5" s="2"/>
      <c r="IRE5" s="2"/>
      <c r="IRF5" s="2"/>
      <c r="IRG5" s="2"/>
      <c r="IRH5" s="2"/>
      <c r="IRI5" s="2"/>
      <c r="IRJ5" s="2"/>
      <c r="IRK5" s="2"/>
      <c r="IRL5" s="2"/>
      <c r="IRM5" s="2"/>
      <c r="IRN5" s="2"/>
      <c r="IRO5" s="2"/>
      <c r="IRP5" s="2"/>
      <c r="IRQ5" s="2"/>
      <c r="IRR5" s="2"/>
      <c r="IRS5" s="2"/>
      <c r="IRT5" s="2"/>
      <c r="IRU5" s="2"/>
      <c r="IRV5" s="2"/>
      <c r="IRW5" s="2"/>
      <c r="IRX5" s="2"/>
      <c r="IRY5" s="2"/>
      <c r="IRZ5" s="2"/>
      <c r="ISA5" s="2"/>
      <c r="ISB5" s="2"/>
      <c r="ISC5" s="2"/>
      <c r="ISD5" s="2"/>
      <c r="ISE5" s="2"/>
      <c r="ISF5" s="2"/>
      <c r="ISG5" s="2"/>
      <c r="ISH5" s="2"/>
      <c r="ISI5" s="2"/>
      <c r="ISJ5" s="2"/>
      <c r="ISK5" s="2"/>
      <c r="ISL5" s="2"/>
      <c r="ISM5" s="2"/>
      <c r="ISN5" s="2"/>
      <c r="ISO5" s="2"/>
      <c r="ISP5" s="2"/>
      <c r="ISQ5" s="2"/>
      <c r="ISR5" s="2"/>
      <c r="ISS5" s="2"/>
      <c r="IST5" s="2"/>
      <c r="ISU5" s="2"/>
      <c r="ISV5" s="2"/>
      <c r="ISW5" s="2"/>
      <c r="ISX5" s="2"/>
      <c r="ISY5" s="2"/>
      <c r="ISZ5" s="2"/>
      <c r="ITA5" s="2"/>
      <c r="ITB5" s="2"/>
      <c r="ITC5" s="2"/>
      <c r="ITD5" s="2"/>
      <c r="ITE5" s="2"/>
      <c r="ITF5" s="2"/>
      <c r="ITG5" s="2"/>
      <c r="ITH5" s="2"/>
      <c r="ITI5" s="2"/>
      <c r="ITJ5" s="2"/>
      <c r="ITK5" s="2"/>
      <c r="ITL5" s="2"/>
      <c r="ITM5" s="2"/>
      <c r="ITN5" s="2"/>
      <c r="ITO5" s="2"/>
      <c r="ITP5" s="2"/>
      <c r="ITQ5" s="2"/>
      <c r="ITR5" s="2"/>
      <c r="ITS5" s="2"/>
      <c r="ITT5" s="2"/>
      <c r="ITU5" s="2"/>
      <c r="ITV5" s="2"/>
      <c r="ITW5" s="2"/>
      <c r="ITX5" s="2"/>
      <c r="ITY5" s="2"/>
      <c r="ITZ5" s="2"/>
      <c r="IUA5" s="2"/>
      <c r="IUB5" s="2"/>
      <c r="IUC5" s="2"/>
      <c r="IUD5" s="2"/>
      <c r="IUE5" s="2"/>
      <c r="IUF5" s="2"/>
      <c r="IUG5" s="2"/>
      <c r="IUH5" s="2"/>
      <c r="IUI5" s="2"/>
      <c r="IUJ5" s="2"/>
      <c r="IUK5" s="2"/>
      <c r="IUL5" s="2"/>
      <c r="IUM5" s="2"/>
      <c r="IUN5" s="2"/>
      <c r="IUO5" s="2"/>
      <c r="IUP5" s="2"/>
      <c r="IUQ5" s="2"/>
      <c r="IUR5" s="2"/>
      <c r="IUS5" s="2"/>
      <c r="IUT5" s="2"/>
      <c r="IUU5" s="2"/>
      <c r="IUV5" s="2"/>
      <c r="IUW5" s="2"/>
      <c r="IUX5" s="2"/>
      <c r="IUY5" s="2"/>
      <c r="IUZ5" s="2"/>
      <c r="IVA5" s="2"/>
      <c r="IVB5" s="2"/>
      <c r="IVC5" s="2"/>
      <c r="IVD5" s="2"/>
      <c r="IVE5" s="2"/>
      <c r="IVF5" s="2"/>
      <c r="IVG5" s="2"/>
      <c r="IVH5" s="2"/>
      <c r="IVI5" s="2"/>
      <c r="IVJ5" s="2"/>
      <c r="IVK5" s="2"/>
      <c r="IVL5" s="2"/>
      <c r="IVM5" s="2"/>
      <c r="IVN5" s="2"/>
      <c r="IVO5" s="2"/>
      <c r="IVP5" s="2"/>
      <c r="IVQ5" s="2"/>
      <c r="IVR5" s="2"/>
      <c r="IVS5" s="2"/>
      <c r="IVT5" s="2"/>
      <c r="IVU5" s="2"/>
      <c r="IVV5" s="2"/>
      <c r="IVW5" s="2"/>
      <c r="IVX5" s="2"/>
      <c r="IVY5" s="2"/>
      <c r="IVZ5" s="2"/>
      <c r="IWA5" s="2"/>
      <c r="IWB5" s="2"/>
      <c r="IWC5" s="2"/>
      <c r="IWD5" s="2"/>
      <c r="IWE5" s="2"/>
      <c r="IWF5" s="2"/>
      <c r="IWG5" s="2"/>
      <c r="IWH5" s="2"/>
      <c r="IWI5" s="2"/>
      <c r="IWJ5" s="2"/>
      <c r="IWK5" s="2"/>
      <c r="IWL5" s="2"/>
      <c r="IWM5" s="2"/>
      <c r="IWN5" s="2"/>
      <c r="IWO5" s="2"/>
      <c r="IWP5" s="2"/>
      <c r="IWQ5" s="2"/>
      <c r="IWR5" s="2"/>
      <c r="IWS5" s="2"/>
      <c r="IWT5" s="2"/>
      <c r="IWU5" s="2"/>
      <c r="IWV5" s="2"/>
      <c r="IWW5" s="2"/>
      <c r="IWX5" s="2"/>
      <c r="IWY5" s="2"/>
      <c r="IWZ5" s="2"/>
      <c r="IXA5" s="2"/>
      <c r="IXB5" s="2"/>
      <c r="IXC5" s="2"/>
      <c r="IXD5" s="2"/>
      <c r="IXE5" s="2"/>
      <c r="IXF5" s="2"/>
      <c r="IXG5" s="2"/>
      <c r="IXH5" s="2"/>
      <c r="IXI5" s="2"/>
      <c r="IXJ5" s="2"/>
      <c r="IXK5" s="2"/>
      <c r="IXL5" s="2"/>
      <c r="IXM5" s="2"/>
      <c r="IXN5" s="2"/>
      <c r="IXO5" s="2"/>
      <c r="IXP5" s="2"/>
      <c r="IXQ5" s="2"/>
      <c r="IXR5" s="2"/>
      <c r="IXS5" s="2"/>
      <c r="IXT5" s="2"/>
      <c r="IXU5" s="2"/>
      <c r="IXV5" s="2"/>
      <c r="IXW5" s="2"/>
      <c r="IXX5" s="2"/>
      <c r="IXY5" s="2"/>
      <c r="IXZ5" s="2"/>
      <c r="IYA5" s="2"/>
      <c r="IYB5" s="2"/>
      <c r="IYC5" s="2"/>
      <c r="IYD5" s="2"/>
      <c r="IYE5" s="2"/>
      <c r="IYF5" s="2"/>
      <c r="IYG5" s="2"/>
      <c r="IYH5" s="2"/>
      <c r="IYI5" s="2"/>
      <c r="IYJ5" s="2"/>
      <c r="IYK5" s="2"/>
      <c r="IYL5" s="2"/>
      <c r="IYM5" s="2"/>
      <c r="IYN5" s="2"/>
      <c r="IYO5" s="2"/>
      <c r="IYP5" s="2"/>
      <c r="IYQ5" s="2"/>
      <c r="IYR5" s="2"/>
      <c r="IYS5" s="2"/>
      <c r="IYT5" s="2"/>
      <c r="IYU5" s="2"/>
      <c r="IYV5" s="2"/>
      <c r="IYW5" s="2"/>
      <c r="IYX5" s="2"/>
      <c r="IYY5" s="2"/>
      <c r="IYZ5" s="2"/>
      <c r="IZA5" s="2"/>
      <c r="IZB5" s="2"/>
      <c r="IZC5" s="2"/>
      <c r="IZD5" s="2"/>
      <c r="IZE5" s="2"/>
      <c r="IZF5" s="2"/>
      <c r="IZG5" s="2"/>
      <c r="IZH5" s="2"/>
      <c r="IZI5" s="2"/>
      <c r="IZJ5" s="2"/>
      <c r="IZK5" s="2"/>
      <c r="IZL5" s="2"/>
      <c r="IZM5" s="2"/>
      <c r="IZN5" s="2"/>
      <c r="IZO5" s="2"/>
      <c r="IZP5" s="2"/>
      <c r="IZQ5" s="2"/>
      <c r="IZR5" s="2"/>
      <c r="IZS5" s="2"/>
      <c r="IZT5" s="2"/>
      <c r="IZU5" s="2"/>
      <c r="IZV5" s="2"/>
      <c r="IZW5" s="2"/>
      <c r="IZX5" s="2"/>
      <c r="IZY5" s="2"/>
      <c r="IZZ5" s="2"/>
      <c r="JAA5" s="2"/>
      <c r="JAB5" s="2"/>
      <c r="JAC5" s="2"/>
      <c r="JAD5" s="2"/>
      <c r="JAE5" s="2"/>
      <c r="JAF5" s="2"/>
      <c r="JAG5" s="2"/>
      <c r="JAH5" s="2"/>
      <c r="JAI5" s="2"/>
      <c r="JAJ5" s="2"/>
      <c r="JAK5" s="2"/>
      <c r="JAL5" s="2"/>
      <c r="JAM5" s="2"/>
      <c r="JAN5" s="2"/>
      <c r="JAO5" s="2"/>
      <c r="JAP5" s="2"/>
      <c r="JAQ5" s="2"/>
      <c r="JAR5" s="2"/>
      <c r="JAS5" s="2"/>
      <c r="JAT5" s="2"/>
      <c r="JAU5" s="2"/>
      <c r="JAV5" s="2"/>
      <c r="JAW5" s="2"/>
      <c r="JAX5" s="2"/>
      <c r="JAY5" s="2"/>
      <c r="JAZ5" s="2"/>
      <c r="JBA5" s="2"/>
      <c r="JBB5" s="2"/>
      <c r="JBC5" s="2"/>
      <c r="JBD5" s="2"/>
      <c r="JBE5" s="2"/>
      <c r="JBF5" s="2"/>
      <c r="JBG5" s="2"/>
      <c r="JBH5" s="2"/>
      <c r="JBI5" s="2"/>
      <c r="JBJ5" s="2"/>
      <c r="JBK5" s="2"/>
      <c r="JBL5" s="2"/>
      <c r="JBM5" s="2"/>
      <c r="JBN5" s="2"/>
      <c r="JBO5" s="2"/>
      <c r="JBP5" s="2"/>
      <c r="JBQ5" s="2"/>
      <c r="JBR5" s="2"/>
      <c r="JBS5" s="2"/>
      <c r="JBT5" s="2"/>
      <c r="JBU5" s="2"/>
      <c r="JBV5" s="2"/>
      <c r="JBW5" s="2"/>
      <c r="JBX5" s="2"/>
      <c r="JBY5" s="2"/>
      <c r="JBZ5" s="2"/>
      <c r="JCA5" s="2"/>
      <c r="JCB5" s="2"/>
      <c r="JCC5" s="2"/>
      <c r="JCD5" s="2"/>
      <c r="JCE5" s="2"/>
      <c r="JCF5" s="2"/>
      <c r="JCG5" s="2"/>
      <c r="JCH5" s="2"/>
      <c r="JCI5" s="2"/>
      <c r="JCJ5" s="2"/>
      <c r="JCK5" s="2"/>
      <c r="JCL5" s="2"/>
      <c r="JCM5" s="2"/>
      <c r="JCN5" s="2"/>
      <c r="JCO5" s="2"/>
      <c r="JCP5" s="2"/>
      <c r="JCQ5" s="2"/>
      <c r="JCR5" s="2"/>
      <c r="JCS5" s="2"/>
      <c r="JCT5" s="2"/>
      <c r="JCU5" s="2"/>
      <c r="JCV5" s="2"/>
      <c r="JCW5" s="2"/>
      <c r="JCX5" s="2"/>
      <c r="JCY5" s="2"/>
      <c r="JCZ5" s="2"/>
      <c r="JDA5" s="2"/>
      <c r="JDB5" s="2"/>
      <c r="JDC5" s="2"/>
      <c r="JDD5" s="2"/>
      <c r="JDE5" s="2"/>
      <c r="JDF5" s="2"/>
      <c r="JDG5" s="2"/>
      <c r="JDH5" s="2"/>
      <c r="JDI5" s="2"/>
      <c r="JDJ5" s="2"/>
      <c r="JDK5" s="2"/>
      <c r="JDL5" s="2"/>
      <c r="JDM5" s="2"/>
      <c r="JDN5" s="2"/>
      <c r="JDO5" s="2"/>
      <c r="JDP5" s="2"/>
      <c r="JDQ5" s="2"/>
      <c r="JDR5" s="2"/>
      <c r="JDS5" s="2"/>
      <c r="JDT5" s="2"/>
      <c r="JDU5" s="2"/>
      <c r="JDV5" s="2"/>
      <c r="JDW5" s="2"/>
      <c r="JDX5" s="2"/>
      <c r="JDY5" s="2"/>
      <c r="JDZ5" s="2"/>
      <c r="JEA5" s="2"/>
      <c r="JEB5" s="2"/>
      <c r="JEC5" s="2"/>
      <c r="JED5" s="2"/>
      <c r="JEE5" s="2"/>
      <c r="JEF5" s="2"/>
      <c r="JEG5" s="2"/>
      <c r="JEH5" s="2"/>
      <c r="JEI5" s="2"/>
      <c r="JEJ5" s="2"/>
      <c r="JEK5" s="2"/>
      <c r="JEL5" s="2"/>
      <c r="JEM5" s="2"/>
      <c r="JEN5" s="2"/>
      <c r="JEO5" s="2"/>
      <c r="JEP5" s="2"/>
      <c r="JEQ5" s="2"/>
      <c r="JER5" s="2"/>
      <c r="JES5" s="2"/>
      <c r="JET5" s="2"/>
      <c r="JEU5" s="2"/>
      <c r="JEV5" s="2"/>
      <c r="JEW5" s="2"/>
      <c r="JEX5" s="2"/>
      <c r="JEY5" s="2"/>
      <c r="JEZ5" s="2"/>
      <c r="JFA5" s="2"/>
      <c r="JFB5" s="2"/>
      <c r="JFC5" s="2"/>
      <c r="JFD5" s="2"/>
      <c r="JFE5" s="2"/>
      <c r="JFF5" s="2"/>
      <c r="JFG5" s="2"/>
      <c r="JFH5" s="2"/>
      <c r="JFI5" s="2"/>
      <c r="JFJ5" s="2"/>
      <c r="JFK5" s="2"/>
      <c r="JFL5" s="2"/>
      <c r="JFM5" s="2"/>
      <c r="JFN5" s="2"/>
      <c r="JFO5" s="2"/>
      <c r="JFP5" s="2"/>
      <c r="JFQ5" s="2"/>
      <c r="JFR5" s="2"/>
      <c r="JFS5" s="2"/>
      <c r="JFT5" s="2"/>
      <c r="JFU5" s="2"/>
      <c r="JFV5" s="2"/>
      <c r="JFW5" s="2"/>
      <c r="JFX5" s="2"/>
      <c r="JFY5" s="2"/>
      <c r="JFZ5" s="2"/>
      <c r="JGA5" s="2"/>
      <c r="JGB5" s="2"/>
      <c r="JGC5" s="2"/>
      <c r="JGD5" s="2"/>
      <c r="JGE5" s="2"/>
      <c r="JGF5" s="2"/>
      <c r="JGG5" s="2"/>
      <c r="JGH5" s="2"/>
      <c r="JGI5" s="2"/>
      <c r="JGJ5" s="2"/>
      <c r="JGK5" s="2"/>
      <c r="JGL5" s="2"/>
      <c r="JGM5" s="2"/>
      <c r="JGN5" s="2"/>
      <c r="JGO5" s="2"/>
      <c r="JGP5" s="2"/>
      <c r="JGQ5" s="2"/>
      <c r="JGR5" s="2"/>
      <c r="JGS5" s="2"/>
      <c r="JGT5" s="2"/>
      <c r="JGU5" s="2"/>
      <c r="JGV5" s="2"/>
      <c r="JGW5" s="2"/>
      <c r="JGX5" s="2"/>
      <c r="JGY5" s="2"/>
      <c r="JGZ5" s="2"/>
      <c r="JHA5" s="2"/>
      <c r="JHB5" s="2"/>
      <c r="JHC5" s="2"/>
      <c r="JHD5" s="2"/>
      <c r="JHE5" s="2"/>
      <c r="JHF5" s="2"/>
      <c r="JHG5" s="2"/>
      <c r="JHH5" s="2"/>
      <c r="JHI5" s="2"/>
      <c r="JHJ5" s="2"/>
      <c r="JHK5" s="2"/>
      <c r="JHL5" s="2"/>
      <c r="JHM5" s="2"/>
      <c r="JHN5" s="2"/>
      <c r="JHO5" s="2"/>
      <c r="JHP5" s="2"/>
      <c r="JHQ5" s="2"/>
      <c r="JHR5" s="2"/>
      <c r="JHS5" s="2"/>
      <c r="JHT5" s="2"/>
      <c r="JHU5" s="2"/>
      <c r="JHV5" s="2"/>
      <c r="JHW5" s="2"/>
      <c r="JHX5" s="2"/>
      <c r="JHY5" s="2"/>
      <c r="JHZ5" s="2"/>
      <c r="JIA5" s="2"/>
      <c r="JIB5" s="2"/>
      <c r="JIC5" s="2"/>
      <c r="JID5" s="2"/>
      <c r="JIE5" s="2"/>
      <c r="JIF5" s="2"/>
      <c r="JIG5" s="2"/>
      <c r="JIH5" s="2"/>
      <c r="JII5" s="2"/>
      <c r="JIJ5" s="2"/>
      <c r="JIK5" s="2"/>
      <c r="JIL5" s="2"/>
      <c r="JIM5" s="2"/>
      <c r="JIN5" s="2"/>
      <c r="JIO5" s="2"/>
      <c r="JIP5" s="2"/>
      <c r="JIQ5" s="2"/>
      <c r="JIR5" s="2"/>
      <c r="JIS5" s="2"/>
      <c r="JIT5" s="2"/>
      <c r="JIU5" s="2"/>
      <c r="JIV5" s="2"/>
      <c r="JIW5" s="2"/>
      <c r="JIX5" s="2"/>
      <c r="JIY5" s="2"/>
      <c r="JIZ5" s="2"/>
      <c r="JJA5" s="2"/>
      <c r="JJB5" s="2"/>
      <c r="JJC5" s="2"/>
      <c r="JJD5" s="2"/>
      <c r="JJE5" s="2"/>
      <c r="JJF5" s="2"/>
      <c r="JJG5" s="2"/>
      <c r="JJH5" s="2"/>
      <c r="JJI5" s="2"/>
      <c r="JJJ5" s="2"/>
      <c r="JJK5" s="2"/>
      <c r="JJL5" s="2"/>
      <c r="JJM5" s="2"/>
      <c r="JJN5" s="2"/>
      <c r="JJO5" s="2"/>
      <c r="JJP5" s="2"/>
      <c r="JJQ5" s="2"/>
      <c r="JJR5" s="2"/>
      <c r="JJS5" s="2"/>
      <c r="JJT5" s="2"/>
      <c r="JJU5" s="2"/>
      <c r="JJV5" s="2"/>
      <c r="JJW5" s="2"/>
      <c r="JJX5" s="2"/>
      <c r="JJY5" s="2"/>
      <c r="JJZ5" s="2"/>
      <c r="JKA5" s="2"/>
      <c r="JKB5" s="2"/>
      <c r="JKC5" s="2"/>
      <c r="JKD5" s="2"/>
      <c r="JKE5" s="2"/>
      <c r="JKF5" s="2"/>
      <c r="JKG5" s="2"/>
      <c r="JKH5" s="2"/>
      <c r="JKI5" s="2"/>
      <c r="JKJ5" s="2"/>
      <c r="JKK5" s="2"/>
      <c r="JKL5" s="2"/>
      <c r="JKM5" s="2"/>
      <c r="JKN5" s="2"/>
      <c r="JKO5" s="2"/>
      <c r="JKP5" s="2"/>
      <c r="JKQ5" s="2"/>
      <c r="JKR5" s="2"/>
      <c r="JKS5" s="2"/>
      <c r="JKT5" s="2"/>
      <c r="JKU5" s="2"/>
      <c r="JKV5" s="2"/>
      <c r="JKW5" s="2"/>
      <c r="JKX5" s="2"/>
      <c r="JKY5" s="2"/>
      <c r="JKZ5" s="2"/>
      <c r="JLA5" s="2"/>
      <c r="JLB5" s="2"/>
      <c r="JLC5" s="2"/>
      <c r="JLD5" s="2"/>
      <c r="JLE5" s="2"/>
      <c r="JLF5" s="2"/>
      <c r="JLG5" s="2"/>
      <c r="JLH5" s="2"/>
      <c r="JLI5" s="2"/>
      <c r="JLJ5" s="2"/>
      <c r="JLK5" s="2"/>
      <c r="JLL5" s="2"/>
      <c r="JLM5" s="2"/>
      <c r="JLN5" s="2"/>
      <c r="JLO5" s="2"/>
      <c r="JLP5" s="2"/>
      <c r="JLQ5" s="2"/>
      <c r="JLR5" s="2"/>
      <c r="JLS5" s="2"/>
      <c r="JLT5" s="2"/>
      <c r="JLU5" s="2"/>
      <c r="JLV5" s="2"/>
      <c r="JLW5" s="2"/>
      <c r="JLX5" s="2"/>
      <c r="JLY5" s="2"/>
      <c r="JLZ5" s="2"/>
      <c r="JMA5" s="2"/>
      <c r="JMB5" s="2"/>
      <c r="JMC5" s="2"/>
      <c r="JMD5" s="2"/>
      <c r="JME5" s="2"/>
      <c r="JMF5" s="2"/>
      <c r="JMG5" s="2"/>
      <c r="JMH5" s="2"/>
      <c r="JMI5" s="2"/>
      <c r="JMJ5" s="2"/>
      <c r="JMK5" s="2"/>
      <c r="JML5" s="2"/>
      <c r="JMM5" s="2"/>
      <c r="JMN5" s="2"/>
      <c r="JMO5" s="2"/>
      <c r="JMP5" s="2"/>
      <c r="JMQ5" s="2"/>
      <c r="JMR5" s="2"/>
      <c r="JMS5" s="2"/>
      <c r="JMT5" s="2"/>
      <c r="JMU5" s="2"/>
      <c r="JMV5" s="2"/>
      <c r="JMW5" s="2"/>
      <c r="JMX5" s="2"/>
      <c r="JMY5" s="2"/>
      <c r="JMZ5" s="2"/>
      <c r="JNA5" s="2"/>
      <c r="JNB5" s="2"/>
      <c r="JNC5" s="2"/>
      <c r="JND5" s="2"/>
      <c r="JNE5" s="2"/>
      <c r="JNF5" s="2"/>
      <c r="JNG5" s="2"/>
      <c r="JNH5" s="2"/>
      <c r="JNI5" s="2"/>
      <c r="JNJ5" s="2"/>
      <c r="JNK5" s="2"/>
      <c r="JNL5" s="2"/>
      <c r="JNM5" s="2"/>
      <c r="JNN5" s="2"/>
      <c r="JNO5" s="2"/>
      <c r="JNP5" s="2"/>
      <c r="JNQ5" s="2"/>
      <c r="JNR5" s="2"/>
      <c r="JNS5" s="2"/>
      <c r="JNT5" s="2"/>
      <c r="JNU5" s="2"/>
      <c r="JNV5" s="2"/>
      <c r="JNW5" s="2"/>
      <c r="JNX5" s="2"/>
      <c r="JNY5" s="2"/>
      <c r="JNZ5" s="2"/>
      <c r="JOA5" s="2"/>
      <c r="JOB5" s="2"/>
      <c r="JOC5" s="2"/>
      <c r="JOD5" s="2"/>
      <c r="JOE5" s="2"/>
      <c r="JOF5" s="2"/>
      <c r="JOG5" s="2"/>
      <c r="JOH5" s="2"/>
      <c r="JOI5" s="2"/>
      <c r="JOJ5" s="2"/>
      <c r="JOK5" s="2"/>
      <c r="JOL5" s="2"/>
      <c r="JOM5" s="2"/>
      <c r="JON5" s="2"/>
      <c r="JOO5" s="2"/>
      <c r="JOP5" s="2"/>
      <c r="JOQ5" s="2"/>
      <c r="JOR5" s="2"/>
      <c r="JOS5" s="2"/>
      <c r="JOT5" s="2"/>
      <c r="JOU5" s="2"/>
      <c r="JOV5" s="2"/>
      <c r="JOW5" s="2"/>
      <c r="JOX5" s="2"/>
      <c r="JOY5" s="2"/>
      <c r="JOZ5" s="2"/>
      <c r="JPA5" s="2"/>
      <c r="JPB5" s="2"/>
      <c r="JPC5" s="2"/>
      <c r="JPD5" s="2"/>
      <c r="JPE5" s="2"/>
      <c r="JPF5" s="2"/>
      <c r="JPG5" s="2"/>
      <c r="JPH5" s="2"/>
      <c r="JPI5" s="2"/>
      <c r="JPJ5" s="2"/>
      <c r="JPK5" s="2"/>
      <c r="JPL5" s="2"/>
      <c r="JPM5" s="2"/>
      <c r="JPN5" s="2"/>
      <c r="JPO5" s="2"/>
      <c r="JPP5" s="2"/>
      <c r="JPQ5" s="2"/>
      <c r="JPR5" s="2"/>
      <c r="JPS5" s="2"/>
      <c r="JPT5" s="2"/>
      <c r="JPU5" s="2"/>
      <c r="JPV5" s="2"/>
      <c r="JPW5" s="2"/>
      <c r="JPX5" s="2"/>
      <c r="JPY5" s="2"/>
      <c r="JPZ5" s="2"/>
      <c r="JQA5" s="2"/>
      <c r="JQB5" s="2"/>
      <c r="JQC5" s="2"/>
      <c r="JQD5" s="2"/>
      <c r="JQE5" s="2"/>
      <c r="JQF5" s="2"/>
      <c r="JQG5" s="2"/>
      <c r="JQH5" s="2"/>
      <c r="JQI5" s="2"/>
      <c r="JQJ5" s="2"/>
      <c r="JQK5" s="2"/>
      <c r="JQL5" s="2"/>
      <c r="JQM5" s="2"/>
      <c r="JQN5" s="2"/>
      <c r="JQO5" s="2"/>
      <c r="JQP5" s="2"/>
      <c r="JQQ5" s="2"/>
      <c r="JQR5" s="2"/>
      <c r="JQS5" s="2"/>
      <c r="JQT5" s="2"/>
      <c r="JQU5" s="2"/>
      <c r="JQV5" s="2"/>
      <c r="JQW5" s="2"/>
      <c r="JQX5" s="2"/>
      <c r="JQY5" s="2"/>
      <c r="JQZ5" s="2"/>
      <c r="JRA5" s="2"/>
      <c r="JRB5" s="2"/>
      <c r="JRC5" s="2"/>
      <c r="JRD5" s="2"/>
      <c r="JRE5" s="2"/>
      <c r="JRF5" s="2"/>
      <c r="JRG5" s="2"/>
      <c r="JRH5" s="2"/>
      <c r="JRI5" s="2"/>
      <c r="JRJ5" s="2"/>
      <c r="JRK5" s="2"/>
      <c r="JRL5" s="2"/>
      <c r="JRM5" s="2"/>
      <c r="JRN5" s="2"/>
      <c r="JRO5" s="2"/>
      <c r="JRP5" s="2"/>
      <c r="JRQ5" s="2"/>
      <c r="JRR5" s="2"/>
      <c r="JRS5" s="2"/>
      <c r="JRT5" s="2"/>
      <c r="JRU5" s="2"/>
      <c r="JRV5" s="2"/>
      <c r="JRW5" s="2"/>
      <c r="JRX5" s="2"/>
      <c r="JRY5" s="2"/>
      <c r="JRZ5" s="2"/>
      <c r="JSA5" s="2"/>
      <c r="JSB5" s="2"/>
      <c r="JSC5" s="2"/>
      <c r="JSD5" s="2"/>
      <c r="JSE5" s="2"/>
      <c r="JSF5" s="2"/>
      <c r="JSG5" s="2"/>
      <c r="JSH5" s="2"/>
      <c r="JSI5" s="2"/>
      <c r="JSJ5" s="2"/>
      <c r="JSK5" s="2"/>
      <c r="JSL5" s="2"/>
      <c r="JSM5" s="2"/>
      <c r="JSN5" s="2"/>
      <c r="JSO5" s="2"/>
      <c r="JSP5" s="2"/>
      <c r="JSQ5" s="2"/>
      <c r="JSR5" s="2"/>
      <c r="JSS5" s="2"/>
      <c r="JST5" s="2"/>
      <c r="JSU5" s="2"/>
      <c r="JSV5" s="2"/>
      <c r="JSW5" s="2"/>
      <c r="JSX5" s="2"/>
      <c r="JSY5" s="2"/>
      <c r="JSZ5" s="2"/>
      <c r="JTA5" s="2"/>
      <c r="JTB5" s="2"/>
      <c r="JTC5" s="2"/>
      <c r="JTD5" s="2"/>
      <c r="JTE5" s="2"/>
      <c r="JTF5" s="2"/>
      <c r="JTG5" s="2"/>
      <c r="JTH5" s="2"/>
      <c r="JTI5" s="2"/>
      <c r="JTJ5" s="2"/>
      <c r="JTK5" s="2"/>
      <c r="JTL5" s="2"/>
      <c r="JTM5" s="2"/>
      <c r="JTN5" s="2"/>
      <c r="JTO5" s="2"/>
      <c r="JTP5" s="2"/>
      <c r="JTQ5" s="2"/>
      <c r="JTR5" s="2"/>
      <c r="JTS5" s="2"/>
      <c r="JTT5" s="2"/>
      <c r="JTU5" s="2"/>
      <c r="JTV5" s="2"/>
      <c r="JTW5" s="2"/>
      <c r="JTX5" s="2"/>
      <c r="JTY5" s="2"/>
      <c r="JTZ5" s="2"/>
      <c r="JUA5" s="2"/>
      <c r="JUB5" s="2"/>
      <c r="JUC5" s="2"/>
      <c r="JUD5" s="2"/>
      <c r="JUE5" s="2"/>
      <c r="JUF5" s="2"/>
      <c r="JUG5" s="2"/>
      <c r="JUH5" s="2"/>
      <c r="JUI5" s="2"/>
      <c r="JUJ5" s="2"/>
      <c r="JUK5" s="2"/>
      <c r="JUL5" s="2"/>
      <c r="JUM5" s="2"/>
      <c r="JUN5" s="2"/>
      <c r="JUO5" s="2"/>
      <c r="JUP5" s="2"/>
      <c r="JUQ5" s="2"/>
      <c r="JUR5" s="2"/>
      <c r="JUS5" s="2"/>
      <c r="JUT5" s="2"/>
      <c r="JUU5" s="2"/>
      <c r="JUV5" s="2"/>
      <c r="JUW5" s="2"/>
      <c r="JUX5" s="2"/>
      <c r="JUY5" s="2"/>
      <c r="JUZ5" s="2"/>
      <c r="JVA5" s="2"/>
      <c r="JVB5" s="2"/>
      <c r="JVC5" s="2"/>
      <c r="JVD5" s="2"/>
      <c r="JVE5" s="2"/>
      <c r="JVF5" s="2"/>
      <c r="JVG5" s="2"/>
      <c r="JVH5" s="2"/>
      <c r="JVI5" s="2"/>
      <c r="JVJ5" s="2"/>
      <c r="JVK5" s="2"/>
      <c r="JVL5" s="2"/>
      <c r="JVM5" s="2"/>
      <c r="JVN5" s="2"/>
      <c r="JVO5" s="2"/>
      <c r="JVP5" s="2"/>
      <c r="JVQ5" s="2"/>
      <c r="JVR5" s="2"/>
      <c r="JVS5" s="2"/>
      <c r="JVT5" s="2"/>
      <c r="JVU5" s="2"/>
      <c r="JVV5" s="2"/>
      <c r="JVW5" s="2"/>
      <c r="JVX5" s="2"/>
      <c r="JVY5" s="2"/>
      <c r="JVZ5" s="2"/>
      <c r="JWA5" s="2"/>
      <c r="JWB5" s="2"/>
      <c r="JWC5" s="2"/>
      <c r="JWD5" s="2"/>
      <c r="JWE5" s="2"/>
      <c r="JWF5" s="2"/>
      <c r="JWG5" s="2"/>
      <c r="JWH5" s="2"/>
      <c r="JWI5" s="2"/>
      <c r="JWJ5" s="2"/>
      <c r="JWK5" s="2"/>
      <c r="JWL5" s="2"/>
      <c r="JWM5" s="2"/>
      <c r="JWN5" s="2"/>
      <c r="JWO5" s="2"/>
      <c r="JWP5" s="2"/>
      <c r="JWQ5" s="2"/>
      <c r="JWR5" s="2"/>
      <c r="JWS5" s="2"/>
      <c r="JWT5" s="2"/>
      <c r="JWU5" s="2"/>
      <c r="JWV5" s="2"/>
      <c r="JWW5" s="2"/>
      <c r="JWX5" s="2"/>
      <c r="JWY5" s="2"/>
      <c r="JWZ5" s="2"/>
      <c r="JXA5" s="2"/>
      <c r="JXB5" s="2"/>
      <c r="JXC5" s="2"/>
      <c r="JXD5" s="2"/>
      <c r="JXE5" s="2"/>
      <c r="JXF5" s="2"/>
      <c r="JXG5" s="2"/>
      <c r="JXH5" s="2"/>
      <c r="JXI5" s="2"/>
      <c r="JXJ5" s="2"/>
      <c r="JXK5" s="2"/>
      <c r="JXL5" s="2"/>
      <c r="JXM5" s="2"/>
      <c r="JXN5" s="2"/>
      <c r="JXO5" s="2"/>
      <c r="JXP5" s="2"/>
      <c r="JXQ5" s="2"/>
      <c r="JXR5" s="2"/>
      <c r="JXS5" s="2"/>
      <c r="JXT5" s="2"/>
      <c r="JXU5" s="2"/>
      <c r="JXV5" s="2"/>
      <c r="JXW5" s="2"/>
      <c r="JXX5" s="2"/>
      <c r="JXY5" s="2"/>
      <c r="JXZ5" s="2"/>
      <c r="JYA5" s="2"/>
      <c r="JYB5" s="2"/>
      <c r="JYC5" s="2"/>
      <c r="JYD5" s="2"/>
      <c r="JYE5" s="2"/>
      <c r="JYF5" s="2"/>
      <c r="JYG5" s="2"/>
      <c r="JYH5" s="2"/>
      <c r="JYI5" s="2"/>
      <c r="JYJ5" s="2"/>
      <c r="JYK5" s="2"/>
      <c r="JYL5" s="2"/>
      <c r="JYM5" s="2"/>
      <c r="JYN5" s="2"/>
      <c r="JYO5" s="2"/>
      <c r="JYP5" s="2"/>
      <c r="JYQ5" s="2"/>
      <c r="JYR5" s="2"/>
      <c r="JYS5" s="2"/>
      <c r="JYT5" s="2"/>
      <c r="JYU5" s="2"/>
      <c r="JYV5" s="2"/>
      <c r="JYW5" s="2"/>
      <c r="JYX5" s="2"/>
      <c r="JYY5" s="2"/>
      <c r="JYZ5" s="2"/>
      <c r="JZA5" s="2"/>
      <c r="JZB5" s="2"/>
      <c r="JZC5" s="2"/>
      <c r="JZD5" s="2"/>
      <c r="JZE5" s="2"/>
      <c r="JZF5" s="2"/>
      <c r="JZG5" s="2"/>
      <c r="JZH5" s="2"/>
      <c r="JZI5" s="2"/>
      <c r="JZJ5" s="2"/>
      <c r="JZK5" s="2"/>
      <c r="JZL5" s="2"/>
      <c r="JZM5" s="2"/>
      <c r="JZN5" s="2"/>
      <c r="JZO5" s="2"/>
      <c r="JZP5" s="2"/>
      <c r="JZQ5" s="2"/>
      <c r="JZR5" s="2"/>
      <c r="JZS5" s="2"/>
      <c r="JZT5" s="2"/>
      <c r="JZU5" s="2"/>
      <c r="JZV5" s="2"/>
      <c r="JZW5" s="2"/>
      <c r="JZX5" s="2"/>
      <c r="JZY5" s="2"/>
      <c r="JZZ5" s="2"/>
      <c r="KAA5" s="2"/>
      <c r="KAB5" s="2"/>
      <c r="KAC5" s="2"/>
      <c r="KAD5" s="2"/>
      <c r="KAE5" s="2"/>
      <c r="KAF5" s="2"/>
      <c r="KAG5" s="2"/>
      <c r="KAH5" s="2"/>
      <c r="KAI5" s="2"/>
      <c r="KAJ5" s="2"/>
      <c r="KAK5" s="2"/>
      <c r="KAL5" s="2"/>
      <c r="KAM5" s="2"/>
      <c r="KAN5" s="2"/>
      <c r="KAO5" s="2"/>
      <c r="KAP5" s="2"/>
      <c r="KAQ5" s="2"/>
      <c r="KAR5" s="2"/>
      <c r="KAS5" s="2"/>
      <c r="KAT5" s="2"/>
      <c r="KAU5" s="2"/>
      <c r="KAV5" s="2"/>
      <c r="KAW5" s="2"/>
      <c r="KAX5" s="2"/>
      <c r="KAY5" s="2"/>
      <c r="KAZ5" s="2"/>
      <c r="KBA5" s="2"/>
      <c r="KBB5" s="2"/>
      <c r="KBC5" s="2"/>
      <c r="KBD5" s="2"/>
      <c r="KBE5" s="2"/>
      <c r="KBF5" s="2"/>
      <c r="KBG5" s="2"/>
      <c r="KBH5" s="2"/>
      <c r="KBI5" s="2"/>
      <c r="KBJ5" s="2"/>
      <c r="KBK5" s="2"/>
      <c r="KBL5" s="2"/>
      <c r="KBM5" s="2"/>
      <c r="KBN5" s="2"/>
      <c r="KBO5" s="2"/>
      <c r="KBP5" s="2"/>
      <c r="KBQ5" s="2"/>
      <c r="KBR5" s="2"/>
      <c r="KBS5" s="2"/>
      <c r="KBT5" s="2"/>
      <c r="KBU5" s="2"/>
      <c r="KBV5" s="2"/>
      <c r="KBW5" s="2"/>
      <c r="KBX5" s="2"/>
      <c r="KBY5" s="2"/>
      <c r="KBZ5" s="2"/>
      <c r="KCA5" s="2"/>
      <c r="KCB5" s="2"/>
      <c r="KCC5" s="2"/>
      <c r="KCD5" s="2"/>
      <c r="KCE5" s="2"/>
      <c r="KCF5" s="2"/>
      <c r="KCG5" s="2"/>
      <c r="KCH5" s="2"/>
      <c r="KCI5" s="2"/>
      <c r="KCJ5" s="2"/>
      <c r="KCK5" s="2"/>
      <c r="KCL5" s="2"/>
      <c r="KCM5" s="2"/>
      <c r="KCN5" s="2"/>
      <c r="KCO5" s="2"/>
      <c r="KCP5" s="2"/>
      <c r="KCQ5" s="2"/>
      <c r="KCR5" s="2"/>
      <c r="KCS5" s="2"/>
      <c r="KCT5" s="2"/>
      <c r="KCU5" s="2"/>
      <c r="KCV5" s="2"/>
      <c r="KCW5" s="2"/>
      <c r="KCX5" s="2"/>
      <c r="KCY5" s="2"/>
      <c r="KCZ5" s="2"/>
      <c r="KDA5" s="2"/>
      <c r="KDB5" s="2"/>
      <c r="KDC5" s="2"/>
      <c r="KDD5" s="2"/>
      <c r="KDE5" s="2"/>
      <c r="KDF5" s="2"/>
      <c r="KDG5" s="2"/>
      <c r="KDH5" s="2"/>
      <c r="KDI5" s="2"/>
      <c r="KDJ5" s="2"/>
      <c r="KDK5" s="2"/>
      <c r="KDL5" s="2"/>
      <c r="KDM5" s="2"/>
      <c r="KDN5" s="2"/>
      <c r="KDO5" s="2"/>
      <c r="KDP5" s="2"/>
      <c r="KDQ5" s="2"/>
      <c r="KDR5" s="2"/>
      <c r="KDS5" s="2"/>
      <c r="KDT5" s="2"/>
      <c r="KDU5" s="2"/>
      <c r="KDV5" s="2"/>
      <c r="KDW5" s="2"/>
      <c r="KDX5" s="2"/>
      <c r="KDY5" s="2"/>
      <c r="KDZ5" s="2"/>
      <c r="KEA5" s="2"/>
      <c r="KEB5" s="2"/>
      <c r="KEC5" s="2"/>
      <c r="KED5" s="2"/>
      <c r="KEE5" s="2"/>
      <c r="KEF5" s="2"/>
      <c r="KEG5" s="2"/>
      <c r="KEH5" s="2"/>
      <c r="KEI5" s="2"/>
      <c r="KEJ5" s="2"/>
      <c r="KEK5" s="2"/>
      <c r="KEL5" s="2"/>
      <c r="KEM5" s="2"/>
      <c r="KEN5" s="2"/>
      <c r="KEO5" s="2"/>
      <c r="KEP5" s="2"/>
      <c r="KEQ5" s="2"/>
      <c r="KER5" s="2"/>
      <c r="KES5" s="2"/>
      <c r="KET5" s="2"/>
      <c r="KEU5" s="2"/>
      <c r="KEV5" s="2"/>
      <c r="KEW5" s="2"/>
      <c r="KEX5" s="2"/>
      <c r="KEY5" s="2"/>
      <c r="KEZ5" s="2"/>
      <c r="KFA5" s="2"/>
      <c r="KFB5" s="2"/>
      <c r="KFC5" s="2"/>
      <c r="KFD5" s="2"/>
      <c r="KFE5" s="2"/>
      <c r="KFF5" s="2"/>
      <c r="KFG5" s="2"/>
      <c r="KFH5" s="2"/>
      <c r="KFI5" s="2"/>
      <c r="KFJ5" s="2"/>
      <c r="KFK5" s="2"/>
      <c r="KFL5" s="2"/>
      <c r="KFM5" s="2"/>
      <c r="KFN5" s="2"/>
      <c r="KFO5" s="2"/>
      <c r="KFP5" s="2"/>
      <c r="KFQ5" s="2"/>
      <c r="KFR5" s="2"/>
      <c r="KFS5" s="2"/>
      <c r="KFT5" s="2"/>
      <c r="KFU5" s="2"/>
      <c r="KFV5" s="2"/>
      <c r="KFW5" s="2"/>
      <c r="KFX5" s="2"/>
      <c r="KFY5" s="2"/>
      <c r="KFZ5" s="2"/>
      <c r="KGA5" s="2"/>
      <c r="KGB5" s="2"/>
      <c r="KGC5" s="2"/>
      <c r="KGD5" s="2"/>
      <c r="KGE5" s="2"/>
      <c r="KGF5" s="2"/>
      <c r="KGG5" s="2"/>
      <c r="KGH5" s="2"/>
      <c r="KGI5" s="2"/>
      <c r="KGJ5" s="2"/>
      <c r="KGK5" s="2"/>
      <c r="KGL5" s="2"/>
      <c r="KGM5" s="2"/>
      <c r="KGN5" s="2"/>
      <c r="KGO5" s="2"/>
      <c r="KGP5" s="2"/>
      <c r="KGQ5" s="2"/>
      <c r="KGR5" s="2"/>
      <c r="KGS5" s="2"/>
      <c r="KGT5" s="2"/>
      <c r="KGU5" s="2"/>
      <c r="KGV5" s="2"/>
      <c r="KGW5" s="2"/>
      <c r="KGX5" s="2"/>
      <c r="KGY5" s="2"/>
      <c r="KGZ5" s="2"/>
      <c r="KHA5" s="2"/>
      <c r="KHB5" s="2"/>
      <c r="KHC5" s="2"/>
      <c r="KHD5" s="2"/>
      <c r="KHE5" s="2"/>
      <c r="KHF5" s="2"/>
      <c r="KHG5" s="2"/>
      <c r="KHH5" s="2"/>
      <c r="KHI5" s="2"/>
      <c r="KHJ5" s="2"/>
      <c r="KHK5" s="2"/>
      <c r="KHL5" s="2"/>
      <c r="KHM5" s="2"/>
      <c r="KHN5" s="2"/>
      <c r="KHO5" s="2"/>
      <c r="KHP5" s="2"/>
      <c r="KHQ5" s="2"/>
      <c r="KHR5" s="2"/>
      <c r="KHS5" s="2"/>
      <c r="KHT5" s="2"/>
      <c r="KHU5" s="2"/>
      <c r="KHV5" s="2"/>
      <c r="KHW5" s="2"/>
      <c r="KHX5" s="2"/>
      <c r="KHY5" s="2"/>
      <c r="KHZ5" s="2"/>
      <c r="KIA5" s="2"/>
      <c r="KIB5" s="2"/>
      <c r="KIC5" s="2"/>
      <c r="KID5" s="2"/>
      <c r="KIE5" s="2"/>
      <c r="KIF5" s="2"/>
      <c r="KIG5" s="2"/>
      <c r="KIH5" s="2"/>
      <c r="KII5" s="2"/>
      <c r="KIJ5" s="2"/>
      <c r="KIK5" s="2"/>
      <c r="KIL5" s="2"/>
      <c r="KIM5" s="2"/>
      <c r="KIN5" s="2"/>
      <c r="KIO5" s="2"/>
      <c r="KIP5" s="2"/>
      <c r="KIQ5" s="2"/>
      <c r="KIR5" s="2"/>
      <c r="KIS5" s="2"/>
      <c r="KIT5" s="2"/>
      <c r="KIU5" s="2"/>
      <c r="KIV5" s="2"/>
      <c r="KIW5" s="2"/>
      <c r="KIX5" s="2"/>
      <c r="KIY5" s="2"/>
      <c r="KIZ5" s="2"/>
      <c r="KJA5" s="2"/>
      <c r="KJB5" s="2"/>
      <c r="KJC5" s="2"/>
      <c r="KJD5" s="2"/>
      <c r="KJE5" s="2"/>
      <c r="KJF5" s="2"/>
      <c r="KJG5" s="2"/>
      <c r="KJH5" s="2"/>
      <c r="KJI5" s="2"/>
      <c r="KJJ5" s="2"/>
      <c r="KJK5" s="2"/>
      <c r="KJL5" s="2"/>
      <c r="KJM5" s="2"/>
      <c r="KJN5" s="2"/>
      <c r="KJO5" s="2"/>
      <c r="KJP5" s="2"/>
      <c r="KJQ5" s="2"/>
      <c r="KJR5" s="2"/>
      <c r="KJS5" s="2"/>
      <c r="KJT5" s="2"/>
      <c r="KJU5" s="2"/>
      <c r="KJV5" s="2"/>
      <c r="KJW5" s="2"/>
      <c r="KJX5" s="2"/>
      <c r="KJY5" s="2"/>
      <c r="KJZ5" s="2"/>
      <c r="KKA5" s="2"/>
      <c r="KKB5" s="2"/>
      <c r="KKC5" s="2"/>
      <c r="KKD5" s="2"/>
      <c r="KKE5" s="2"/>
      <c r="KKF5" s="2"/>
      <c r="KKG5" s="2"/>
      <c r="KKH5" s="2"/>
      <c r="KKI5" s="2"/>
      <c r="KKJ5" s="2"/>
      <c r="KKK5" s="2"/>
      <c r="KKL5" s="2"/>
      <c r="KKM5" s="2"/>
      <c r="KKN5" s="2"/>
      <c r="KKO5" s="2"/>
      <c r="KKP5" s="2"/>
      <c r="KKQ5" s="2"/>
      <c r="KKR5" s="2"/>
      <c r="KKS5" s="2"/>
      <c r="KKT5" s="2"/>
      <c r="KKU5" s="2"/>
      <c r="KKV5" s="2"/>
      <c r="KKW5" s="2"/>
      <c r="KKX5" s="2"/>
      <c r="KKY5" s="2"/>
      <c r="KKZ5" s="2"/>
      <c r="KLA5" s="2"/>
      <c r="KLB5" s="2"/>
      <c r="KLC5" s="2"/>
      <c r="KLD5" s="2"/>
      <c r="KLE5" s="2"/>
      <c r="KLF5" s="2"/>
      <c r="KLG5" s="2"/>
      <c r="KLH5" s="2"/>
      <c r="KLI5" s="2"/>
      <c r="KLJ5" s="2"/>
      <c r="KLK5" s="2"/>
      <c r="KLL5" s="2"/>
      <c r="KLM5" s="2"/>
      <c r="KLN5" s="2"/>
      <c r="KLO5" s="2"/>
      <c r="KLP5" s="2"/>
      <c r="KLQ5" s="2"/>
      <c r="KLR5" s="2"/>
      <c r="KLS5" s="2"/>
      <c r="KLT5" s="2"/>
      <c r="KLU5" s="2"/>
      <c r="KLV5" s="2"/>
      <c r="KLW5" s="2"/>
      <c r="KLX5" s="2"/>
      <c r="KLY5" s="2"/>
      <c r="KLZ5" s="2"/>
      <c r="KMA5" s="2"/>
      <c r="KMB5" s="2"/>
      <c r="KMC5" s="2"/>
      <c r="KMD5" s="2"/>
      <c r="KME5" s="2"/>
      <c r="KMF5" s="2"/>
      <c r="KMG5" s="2"/>
      <c r="KMH5" s="2"/>
      <c r="KMI5" s="2"/>
      <c r="KMJ5" s="2"/>
      <c r="KMK5" s="2"/>
      <c r="KML5" s="2"/>
      <c r="KMM5" s="2"/>
      <c r="KMN5" s="2"/>
      <c r="KMO5" s="2"/>
      <c r="KMP5" s="2"/>
      <c r="KMQ5" s="2"/>
      <c r="KMR5" s="2"/>
      <c r="KMS5" s="2"/>
      <c r="KMT5" s="2"/>
      <c r="KMU5" s="2"/>
      <c r="KMV5" s="2"/>
      <c r="KMW5" s="2"/>
      <c r="KMX5" s="2"/>
      <c r="KMY5" s="2"/>
      <c r="KMZ5" s="2"/>
      <c r="KNA5" s="2"/>
      <c r="KNB5" s="2"/>
      <c r="KNC5" s="2"/>
      <c r="KND5" s="2"/>
      <c r="KNE5" s="2"/>
      <c r="KNF5" s="2"/>
      <c r="KNG5" s="2"/>
      <c r="KNH5" s="2"/>
      <c r="KNI5" s="2"/>
      <c r="KNJ5" s="2"/>
      <c r="KNK5" s="2"/>
      <c r="KNL5" s="2"/>
      <c r="KNM5" s="2"/>
      <c r="KNN5" s="2"/>
      <c r="KNO5" s="2"/>
      <c r="KNP5" s="2"/>
      <c r="KNQ5" s="2"/>
      <c r="KNR5" s="2"/>
      <c r="KNS5" s="2"/>
      <c r="KNT5" s="2"/>
      <c r="KNU5" s="2"/>
      <c r="KNV5" s="2"/>
      <c r="KNW5" s="2"/>
      <c r="KNX5" s="2"/>
      <c r="KNY5" s="2"/>
      <c r="KNZ5" s="2"/>
      <c r="KOA5" s="2"/>
      <c r="KOB5" s="2"/>
      <c r="KOC5" s="2"/>
      <c r="KOD5" s="2"/>
      <c r="KOE5" s="2"/>
      <c r="KOF5" s="2"/>
      <c r="KOG5" s="2"/>
      <c r="KOH5" s="2"/>
      <c r="KOI5" s="2"/>
      <c r="KOJ5" s="2"/>
      <c r="KOK5" s="2"/>
      <c r="KOL5" s="2"/>
      <c r="KOM5" s="2"/>
      <c r="KON5" s="2"/>
      <c r="KOO5" s="2"/>
      <c r="KOP5" s="2"/>
      <c r="KOQ5" s="2"/>
      <c r="KOR5" s="2"/>
      <c r="KOS5" s="2"/>
      <c r="KOT5" s="2"/>
      <c r="KOU5" s="2"/>
      <c r="KOV5" s="2"/>
      <c r="KOW5" s="2"/>
      <c r="KOX5" s="2"/>
      <c r="KOY5" s="2"/>
      <c r="KOZ5" s="2"/>
      <c r="KPA5" s="2"/>
      <c r="KPB5" s="2"/>
      <c r="KPC5" s="2"/>
      <c r="KPD5" s="2"/>
      <c r="KPE5" s="2"/>
      <c r="KPF5" s="2"/>
      <c r="KPG5" s="2"/>
      <c r="KPH5" s="2"/>
      <c r="KPI5" s="2"/>
      <c r="KPJ5" s="2"/>
      <c r="KPK5" s="2"/>
      <c r="KPL5" s="2"/>
      <c r="KPM5" s="2"/>
      <c r="KPN5" s="2"/>
      <c r="KPO5" s="2"/>
      <c r="KPP5" s="2"/>
      <c r="KPQ5" s="2"/>
      <c r="KPR5" s="2"/>
      <c r="KPS5" s="2"/>
      <c r="KPT5" s="2"/>
      <c r="KPU5" s="2"/>
      <c r="KPV5" s="2"/>
      <c r="KPW5" s="2"/>
      <c r="KPX5" s="2"/>
      <c r="KPY5" s="2"/>
      <c r="KPZ5" s="2"/>
      <c r="KQA5" s="2"/>
      <c r="KQB5" s="2"/>
      <c r="KQC5" s="2"/>
      <c r="KQD5" s="2"/>
      <c r="KQE5" s="2"/>
      <c r="KQF5" s="2"/>
      <c r="KQG5" s="2"/>
      <c r="KQH5" s="2"/>
      <c r="KQI5" s="2"/>
      <c r="KQJ5" s="2"/>
      <c r="KQK5" s="2"/>
      <c r="KQL5" s="2"/>
      <c r="KQM5" s="2"/>
      <c r="KQN5" s="2"/>
      <c r="KQO5" s="2"/>
      <c r="KQP5" s="2"/>
      <c r="KQQ5" s="2"/>
      <c r="KQR5" s="2"/>
      <c r="KQS5" s="2"/>
      <c r="KQT5" s="2"/>
      <c r="KQU5" s="2"/>
      <c r="KQV5" s="2"/>
      <c r="KQW5" s="2"/>
      <c r="KQX5" s="2"/>
      <c r="KQY5" s="2"/>
      <c r="KQZ5" s="2"/>
      <c r="KRA5" s="2"/>
      <c r="KRB5" s="2"/>
      <c r="KRC5" s="2"/>
      <c r="KRD5" s="2"/>
      <c r="KRE5" s="2"/>
      <c r="KRF5" s="2"/>
      <c r="KRG5" s="2"/>
      <c r="KRH5" s="2"/>
      <c r="KRI5" s="2"/>
      <c r="KRJ5" s="2"/>
      <c r="KRK5" s="2"/>
      <c r="KRL5" s="2"/>
      <c r="KRM5" s="2"/>
      <c r="KRN5" s="2"/>
      <c r="KRO5" s="2"/>
      <c r="KRP5" s="2"/>
      <c r="KRQ5" s="2"/>
      <c r="KRR5" s="2"/>
      <c r="KRS5" s="2"/>
      <c r="KRT5" s="2"/>
      <c r="KRU5" s="2"/>
      <c r="KRV5" s="2"/>
      <c r="KRW5" s="2"/>
      <c r="KRX5" s="2"/>
      <c r="KRY5" s="2"/>
      <c r="KRZ5" s="2"/>
      <c r="KSA5" s="2"/>
      <c r="KSB5" s="2"/>
      <c r="KSC5" s="2"/>
      <c r="KSD5" s="2"/>
      <c r="KSE5" s="2"/>
      <c r="KSF5" s="2"/>
      <c r="KSG5" s="2"/>
      <c r="KSH5" s="2"/>
      <c r="KSI5" s="2"/>
      <c r="KSJ5" s="2"/>
      <c r="KSK5" s="2"/>
      <c r="KSL5" s="2"/>
      <c r="KSM5" s="2"/>
      <c r="KSN5" s="2"/>
      <c r="KSO5" s="2"/>
      <c r="KSP5" s="2"/>
      <c r="KSQ5" s="2"/>
      <c r="KSR5" s="2"/>
      <c r="KSS5" s="2"/>
      <c r="KST5" s="2"/>
      <c r="KSU5" s="2"/>
      <c r="KSV5" s="2"/>
      <c r="KSW5" s="2"/>
      <c r="KSX5" s="2"/>
      <c r="KSY5" s="2"/>
      <c r="KSZ5" s="2"/>
      <c r="KTA5" s="2"/>
      <c r="KTB5" s="2"/>
      <c r="KTC5" s="2"/>
      <c r="KTD5" s="2"/>
      <c r="KTE5" s="2"/>
      <c r="KTF5" s="2"/>
      <c r="KTG5" s="2"/>
      <c r="KTH5" s="2"/>
      <c r="KTI5" s="2"/>
      <c r="KTJ5" s="2"/>
      <c r="KTK5" s="2"/>
      <c r="KTL5" s="2"/>
      <c r="KTM5" s="2"/>
      <c r="KTN5" s="2"/>
      <c r="KTO5" s="2"/>
      <c r="KTP5" s="2"/>
      <c r="KTQ5" s="2"/>
      <c r="KTR5" s="2"/>
      <c r="KTS5" s="2"/>
      <c r="KTT5" s="2"/>
      <c r="KTU5" s="2"/>
      <c r="KTV5" s="2"/>
      <c r="KTW5" s="2"/>
      <c r="KTX5" s="2"/>
      <c r="KTY5" s="2"/>
      <c r="KTZ5" s="2"/>
      <c r="KUA5" s="2"/>
      <c r="KUB5" s="2"/>
      <c r="KUC5" s="2"/>
      <c r="KUD5" s="2"/>
      <c r="KUE5" s="2"/>
      <c r="KUF5" s="2"/>
      <c r="KUG5" s="2"/>
      <c r="KUH5" s="2"/>
      <c r="KUI5" s="2"/>
      <c r="KUJ5" s="2"/>
      <c r="KUK5" s="2"/>
      <c r="KUL5" s="2"/>
      <c r="KUM5" s="2"/>
      <c r="KUN5" s="2"/>
      <c r="KUO5" s="2"/>
      <c r="KUP5" s="2"/>
      <c r="KUQ5" s="2"/>
      <c r="KUR5" s="2"/>
      <c r="KUS5" s="2"/>
      <c r="KUT5" s="2"/>
      <c r="KUU5" s="2"/>
      <c r="KUV5" s="2"/>
      <c r="KUW5" s="2"/>
      <c r="KUX5" s="2"/>
      <c r="KUY5" s="2"/>
      <c r="KUZ5" s="2"/>
      <c r="KVA5" s="2"/>
      <c r="KVB5" s="2"/>
      <c r="KVC5" s="2"/>
      <c r="KVD5" s="2"/>
      <c r="KVE5" s="2"/>
      <c r="KVF5" s="2"/>
      <c r="KVG5" s="2"/>
      <c r="KVH5" s="2"/>
      <c r="KVI5" s="2"/>
      <c r="KVJ5" s="2"/>
      <c r="KVK5" s="2"/>
      <c r="KVL5" s="2"/>
      <c r="KVM5" s="2"/>
      <c r="KVN5" s="2"/>
      <c r="KVO5" s="2"/>
      <c r="KVP5" s="2"/>
      <c r="KVQ5" s="2"/>
      <c r="KVR5" s="2"/>
      <c r="KVS5" s="2"/>
      <c r="KVT5" s="2"/>
      <c r="KVU5" s="2"/>
      <c r="KVV5" s="2"/>
      <c r="KVW5" s="2"/>
      <c r="KVX5" s="2"/>
      <c r="KVY5" s="2"/>
      <c r="KVZ5" s="2"/>
      <c r="KWA5" s="2"/>
      <c r="KWB5" s="2"/>
      <c r="KWC5" s="2"/>
      <c r="KWD5" s="2"/>
      <c r="KWE5" s="2"/>
      <c r="KWF5" s="2"/>
      <c r="KWG5" s="2"/>
      <c r="KWH5" s="2"/>
      <c r="KWI5" s="2"/>
      <c r="KWJ5" s="2"/>
      <c r="KWK5" s="2"/>
      <c r="KWL5" s="2"/>
      <c r="KWM5" s="2"/>
      <c r="KWN5" s="2"/>
      <c r="KWO5" s="2"/>
      <c r="KWP5" s="2"/>
      <c r="KWQ5" s="2"/>
      <c r="KWR5" s="2"/>
      <c r="KWS5" s="2"/>
      <c r="KWT5" s="2"/>
      <c r="KWU5" s="2"/>
      <c r="KWV5" s="2"/>
      <c r="KWW5" s="2"/>
      <c r="KWX5" s="2"/>
      <c r="KWY5" s="2"/>
      <c r="KWZ5" s="2"/>
      <c r="KXA5" s="2"/>
      <c r="KXB5" s="2"/>
      <c r="KXC5" s="2"/>
      <c r="KXD5" s="2"/>
      <c r="KXE5" s="2"/>
      <c r="KXF5" s="2"/>
      <c r="KXG5" s="2"/>
      <c r="KXH5" s="2"/>
      <c r="KXI5" s="2"/>
      <c r="KXJ5" s="2"/>
      <c r="KXK5" s="2"/>
      <c r="KXL5" s="2"/>
      <c r="KXM5" s="2"/>
      <c r="KXN5" s="2"/>
      <c r="KXO5" s="2"/>
      <c r="KXP5" s="2"/>
      <c r="KXQ5" s="2"/>
      <c r="KXR5" s="2"/>
      <c r="KXS5" s="2"/>
      <c r="KXT5" s="2"/>
      <c r="KXU5" s="2"/>
      <c r="KXV5" s="2"/>
      <c r="KXW5" s="2"/>
      <c r="KXX5" s="2"/>
      <c r="KXY5" s="2"/>
      <c r="KXZ5" s="2"/>
      <c r="KYA5" s="2"/>
      <c r="KYB5" s="2"/>
      <c r="KYC5" s="2"/>
      <c r="KYD5" s="2"/>
      <c r="KYE5" s="2"/>
      <c r="KYF5" s="2"/>
      <c r="KYG5" s="2"/>
      <c r="KYH5" s="2"/>
      <c r="KYI5" s="2"/>
      <c r="KYJ5" s="2"/>
      <c r="KYK5" s="2"/>
      <c r="KYL5" s="2"/>
      <c r="KYM5" s="2"/>
      <c r="KYN5" s="2"/>
      <c r="KYO5" s="2"/>
      <c r="KYP5" s="2"/>
      <c r="KYQ5" s="2"/>
      <c r="KYR5" s="2"/>
      <c r="KYS5" s="2"/>
      <c r="KYT5" s="2"/>
      <c r="KYU5" s="2"/>
      <c r="KYV5" s="2"/>
      <c r="KYW5" s="2"/>
      <c r="KYX5" s="2"/>
      <c r="KYY5" s="2"/>
      <c r="KYZ5" s="2"/>
      <c r="KZA5" s="2"/>
      <c r="KZB5" s="2"/>
      <c r="KZC5" s="2"/>
      <c r="KZD5" s="2"/>
      <c r="KZE5" s="2"/>
      <c r="KZF5" s="2"/>
      <c r="KZG5" s="2"/>
      <c r="KZH5" s="2"/>
      <c r="KZI5" s="2"/>
      <c r="KZJ5" s="2"/>
      <c r="KZK5" s="2"/>
      <c r="KZL5" s="2"/>
      <c r="KZM5" s="2"/>
      <c r="KZN5" s="2"/>
      <c r="KZO5" s="2"/>
      <c r="KZP5" s="2"/>
      <c r="KZQ5" s="2"/>
      <c r="KZR5" s="2"/>
      <c r="KZS5" s="2"/>
      <c r="KZT5" s="2"/>
      <c r="KZU5" s="2"/>
      <c r="KZV5" s="2"/>
      <c r="KZW5" s="2"/>
      <c r="KZX5" s="2"/>
      <c r="KZY5" s="2"/>
      <c r="KZZ5" s="2"/>
      <c r="LAA5" s="2"/>
      <c r="LAB5" s="2"/>
      <c r="LAC5" s="2"/>
      <c r="LAD5" s="2"/>
      <c r="LAE5" s="2"/>
      <c r="LAF5" s="2"/>
      <c r="LAG5" s="2"/>
      <c r="LAH5" s="2"/>
      <c r="LAI5" s="2"/>
      <c r="LAJ5" s="2"/>
      <c r="LAK5" s="2"/>
      <c r="LAL5" s="2"/>
      <c r="LAM5" s="2"/>
      <c r="LAN5" s="2"/>
      <c r="LAO5" s="2"/>
      <c r="LAP5" s="2"/>
      <c r="LAQ5" s="2"/>
      <c r="LAR5" s="2"/>
      <c r="LAS5" s="2"/>
      <c r="LAT5" s="2"/>
      <c r="LAU5" s="2"/>
      <c r="LAV5" s="2"/>
      <c r="LAW5" s="2"/>
      <c r="LAX5" s="2"/>
      <c r="LAY5" s="2"/>
      <c r="LAZ5" s="2"/>
      <c r="LBA5" s="2"/>
      <c r="LBB5" s="2"/>
      <c r="LBC5" s="2"/>
      <c r="LBD5" s="2"/>
      <c r="LBE5" s="2"/>
      <c r="LBF5" s="2"/>
      <c r="LBG5" s="2"/>
      <c r="LBH5" s="2"/>
      <c r="LBI5" s="2"/>
      <c r="LBJ5" s="2"/>
      <c r="LBK5" s="2"/>
      <c r="LBL5" s="2"/>
      <c r="LBM5" s="2"/>
      <c r="LBN5" s="2"/>
      <c r="LBO5" s="2"/>
      <c r="LBP5" s="2"/>
      <c r="LBQ5" s="2"/>
      <c r="LBR5" s="2"/>
      <c r="LBS5" s="2"/>
      <c r="LBT5" s="2"/>
      <c r="LBU5" s="2"/>
      <c r="LBV5" s="2"/>
      <c r="LBW5" s="2"/>
      <c r="LBX5" s="2"/>
      <c r="LBY5" s="2"/>
      <c r="LBZ5" s="2"/>
      <c r="LCA5" s="2"/>
      <c r="LCB5" s="2"/>
      <c r="LCC5" s="2"/>
      <c r="LCD5" s="2"/>
      <c r="LCE5" s="2"/>
      <c r="LCF5" s="2"/>
      <c r="LCG5" s="2"/>
      <c r="LCH5" s="2"/>
      <c r="LCI5" s="2"/>
      <c r="LCJ5" s="2"/>
      <c r="LCK5" s="2"/>
      <c r="LCL5" s="2"/>
      <c r="LCM5" s="2"/>
      <c r="LCN5" s="2"/>
      <c r="LCO5" s="2"/>
      <c r="LCP5" s="2"/>
      <c r="LCQ5" s="2"/>
      <c r="LCR5" s="2"/>
      <c r="LCS5" s="2"/>
      <c r="LCT5" s="2"/>
      <c r="LCU5" s="2"/>
      <c r="LCV5" s="2"/>
      <c r="LCW5" s="2"/>
      <c r="LCX5" s="2"/>
      <c r="LCY5" s="2"/>
      <c r="LCZ5" s="2"/>
      <c r="LDA5" s="2"/>
      <c r="LDB5" s="2"/>
      <c r="LDC5" s="2"/>
      <c r="LDD5" s="2"/>
      <c r="LDE5" s="2"/>
      <c r="LDF5" s="2"/>
      <c r="LDG5" s="2"/>
      <c r="LDH5" s="2"/>
      <c r="LDI5" s="2"/>
      <c r="LDJ5" s="2"/>
      <c r="LDK5" s="2"/>
      <c r="LDL5" s="2"/>
      <c r="LDM5" s="2"/>
      <c r="LDN5" s="2"/>
      <c r="LDO5" s="2"/>
      <c r="LDP5" s="2"/>
      <c r="LDQ5" s="2"/>
      <c r="LDR5" s="2"/>
      <c r="LDS5" s="2"/>
      <c r="LDT5" s="2"/>
      <c r="LDU5" s="2"/>
      <c r="LDV5" s="2"/>
      <c r="LDW5" s="2"/>
      <c r="LDX5" s="2"/>
      <c r="LDY5" s="2"/>
      <c r="LDZ5" s="2"/>
      <c r="LEA5" s="2"/>
      <c r="LEB5" s="2"/>
      <c r="LEC5" s="2"/>
      <c r="LED5" s="2"/>
      <c r="LEE5" s="2"/>
      <c r="LEF5" s="2"/>
      <c r="LEG5" s="2"/>
      <c r="LEH5" s="2"/>
      <c r="LEI5" s="2"/>
      <c r="LEJ5" s="2"/>
      <c r="LEK5" s="2"/>
      <c r="LEL5" s="2"/>
      <c r="LEM5" s="2"/>
      <c r="LEN5" s="2"/>
      <c r="LEO5" s="2"/>
      <c r="LEP5" s="2"/>
      <c r="LEQ5" s="2"/>
      <c r="LER5" s="2"/>
      <c r="LES5" s="2"/>
      <c r="LET5" s="2"/>
      <c r="LEU5" s="2"/>
      <c r="LEV5" s="2"/>
      <c r="LEW5" s="2"/>
      <c r="LEX5" s="2"/>
      <c r="LEY5" s="2"/>
      <c r="LEZ5" s="2"/>
      <c r="LFA5" s="2"/>
      <c r="LFB5" s="2"/>
      <c r="LFC5" s="2"/>
      <c r="LFD5" s="2"/>
      <c r="LFE5" s="2"/>
      <c r="LFF5" s="2"/>
      <c r="LFG5" s="2"/>
      <c r="LFH5" s="2"/>
      <c r="LFI5" s="2"/>
      <c r="LFJ5" s="2"/>
      <c r="LFK5" s="2"/>
      <c r="LFL5" s="2"/>
      <c r="LFM5" s="2"/>
      <c r="LFN5" s="2"/>
      <c r="LFO5" s="2"/>
      <c r="LFP5" s="2"/>
      <c r="LFQ5" s="2"/>
      <c r="LFR5" s="2"/>
      <c r="LFS5" s="2"/>
      <c r="LFT5" s="2"/>
      <c r="LFU5" s="2"/>
      <c r="LFV5" s="2"/>
      <c r="LFW5" s="2"/>
      <c r="LFX5" s="2"/>
      <c r="LFY5" s="2"/>
      <c r="LFZ5" s="2"/>
      <c r="LGA5" s="2"/>
      <c r="LGB5" s="2"/>
      <c r="LGC5" s="2"/>
      <c r="LGD5" s="2"/>
      <c r="LGE5" s="2"/>
      <c r="LGF5" s="2"/>
      <c r="LGG5" s="2"/>
      <c r="LGH5" s="2"/>
      <c r="LGI5" s="2"/>
      <c r="LGJ5" s="2"/>
      <c r="LGK5" s="2"/>
      <c r="LGL5" s="2"/>
      <c r="LGM5" s="2"/>
      <c r="LGN5" s="2"/>
      <c r="LGO5" s="2"/>
      <c r="LGP5" s="2"/>
      <c r="LGQ5" s="2"/>
      <c r="LGR5" s="2"/>
      <c r="LGS5" s="2"/>
      <c r="LGT5" s="2"/>
      <c r="LGU5" s="2"/>
      <c r="LGV5" s="2"/>
      <c r="LGW5" s="2"/>
      <c r="LGX5" s="2"/>
      <c r="LGY5" s="2"/>
      <c r="LGZ5" s="2"/>
      <c r="LHA5" s="2"/>
      <c r="LHB5" s="2"/>
      <c r="LHC5" s="2"/>
      <c r="LHD5" s="2"/>
      <c r="LHE5" s="2"/>
      <c r="LHF5" s="2"/>
      <c r="LHG5" s="2"/>
      <c r="LHH5" s="2"/>
      <c r="LHI5" s="2"/>
      <c r="LHJ5" s="2"/>
      <c r="LHK5" s="2"/>
      <c r="LHL5" s="2"/>
      <c r="LHM5" s="2"/>
      <c r="LHN5" s="2"/>
      <c r="LHO5" s="2"/>
      <c r="LHP5" s="2"/>
      <c r="LHQ5" s="2"/>
      <c r="LHR5" s="2"/>
      <c r="LHS5" s="2"/>
      <c r="LHT5" s="2"/>
      <c r="LHU5" s="2"/>
      <c r="LHV5" s="2"/>
      <c r="LHW5" s="2"/>
      <c r="LHX5" s="2"/>
      <c r="LHY5" s="2"/>
      <c r="LHZ5" s="2"/>
      <c r="LIA5" s="2"/>
      <c r="LIB5" s="2"/>
      <c r="LIC5" s="2"/>
      <c r="LID5" s="2"/>
      <c r="LIE5" s="2"/>
      <c r="LIF5" s="2"/>
      <c r="LIG5" s="2"/>
      <c r="LIH5" s="2"/>
      <c r="LII5" s="2"/>
      <c r="LIJ5" s="2"/>
      <c r="LIK5" s="2"/>
      <c r="LIL5" s="2"/>
      <c r="LIM5" s="2"/>
      <c r="LIN5" s="2"/>
      <c r="LIO5" s="2"/>
      <c r="LIP5" s="2"/>
      <c r="LIQ5" s="2"/>
      <c r="LIR5" s="2"/>
      <c r="LIS5" s="2"/>
      <c r="LIT5" s="2"/>
      <c r="LIU5" s="2"/>
      <c r="LIV5" s="2"/>
      <c r="LIW5" s="2"/>
      <c r="LIX5" s="2"/>
      <c r="LIY5" s="2"/>
      <c r="LIZ5" s="2"/>
      <c r="LJA5" s="2"/>
      <c r="LJB5" s="2"/>
      <c r="LJC5" s="2"/>
      <c r="LJD5" s="2"/>
      <c r="LJE5" s="2"/>
      <c r="LJF5" s="2"/>
      <c r="LJG5" s="2"/>
      <c r="LJH5" s="2"/>
      <c r="LJI5" s="2"/>
      <c r="LJJ5" s="2"/>
      <c r="LJK5" s="2"/>
      <c r="LJL5" s="2"/>
      <c r="LJM5" s="2"/>
      <c r="LJN5" s="2"/>
      <c r="LJO5" s="2"/>
      <c r="LJP5" s="2"/>
      <c r="LJQ5" s="2"/>
      <c r="LJR5" s="2"/>
      <c r="LJS5" s="2"/>
      <c r="LJT5" s="2"/>
      <c r="LJU5" s="2"/>
      <c r="LJV5" s="2"/>
      <c r="LJW5" s="2"/>
      <c r="LJX5" s="2"/>
      <c r="LJY5" s="2"/>
      <c r="LJZ5" s="2"/>
      <c r="LKA5" s="2"/>
      <c r="LKB5" s="2"/>
      <c r="LKC5" s="2"/>
      <c r="LKD5" s="2"/>
      <c r="LKE5" s="2"/>
      <c r="LKF5" s="2"/>
      <c r="LKG5" s="2"/>
      <c r="LKH5" s="2"/>
      <c r="LKI5" s="2"/>
      <c r="LKJ5" s="2"/>
      <c r="LKK5" s="2"/>
      <c r="LKL5" s="2"/>
      <c r="LKM5" s="2"/>
      <c r="LKN5" s="2"/>
      <c r="LKO5" s="2"/>
      <c r="LKP5" s="2"/>
      <c r="LKQ5" s="2"/>
      <c r="LKR5" s="2"/>
      <c r="LKS5" s="2"/>
      <c r="LKT5" s="2"/>
      <c r="LKU5" s="2"/>
      <c r="LKV5" s="2"/>
      <c r="LKW5" s="2"/>
      <c r="LKX5" s="2"/>
      <c r="LKY5" s="2"/>
      <c r="LKZ5" s="2"/>
      <c r="LLA5" s="2"/>
      <c r="LLB5" s="2"/>
      <c r="LLC5" s="2"/>
      <c r="LLD5" s="2"/>
      <c r="LLE5" s="2"/>
      <c r="LLF5" s="2"/>
      <c r="LLG5" s="2"/>
      <c r="LLH5" s="2"/>
      <c r="LLI5" s="2"/>
      <c r="LLJ5" s="2"/>
      <c r="LLK5" s="2"/>
      <c r="LLL5" s="2"/>
      <c r="LLM5" s="2"/>
      <c r="LLN5" s="2"/>
      <c r="LLO5" s="2"/>
      <c r="LLP5" s="2"/>
      <c r="LLQ5" s="2"/>
      <c r="LLR5" s="2"/>
      <c r="LLS5" s="2"/>
      <c r="LLT5" s="2"/>
      <c r="LLU5" s="2"/>
      <c r="LLV5" s="2"/>
      <c r="LLW5" s="2"/>
      <c r="LLX5" s="2"/>
      <c r="LLY5" s="2"/>
      <c r="LLZ5" s="2"/>
      <c r="LMA5" s="2"/>
      <c r="LMB5" s="2"/>
      <c r="LMC5" s="2"/>
      <c r="LMD5" s="2"/>
      <c r="LME5" s="2"/>
      <c r="LMF5" s="2"/>
      <c r="LMG5" s="2"/>
      <c r="LMH5" s="2"/>
      <c r="LMI5" s="2"/>
      <c r="LMJ5" s="2"/>
      <c r="LMK5" s="2"/>
      <c r="LML5" s="2"/>
      <c r="LMM5" s="2"/>
      <c r="LMN5" s="2"/>
      <c r="LMO5" s="2"/>
      <c r="LMP5" s="2"/>
      <c r="LMQ5" s="2"/>
      <c r="LMR5" s="2"/>
      <c r="LMS5" s="2"/>
      <c r="LMT5" s="2"/>
      <c r="LMU5" s="2"/>
      <c r="LMV5" s="2"/>
      <c r="LMW5" s="2"/>
      <c r="LMX5" s="2"/>
      <c r="LMY5" s="2"/>
      <c r="LMZ5" s="2"/>
      <c r="LNA5" s="2"/>
      <c r="LNB5" s="2"/>
      <c r="LNC5" s="2"/>
      <c r="LND5" s="2"/>
      <c r="LNE5" s="2"/>
      <c r="LNF5" s="2"/>
      <c r="LNG5" s="2"/>
      <c r="LNH5" s="2"/>
      <c r="LNI5" s="2"/>
      <c r="LNJ5" s="2"/>
      <c r="LNK5" s="2"/>
      <c r="LNL5" s="2"/>
      <c r="LNM5" s="2"/>
      <c r="LNN5" s="2"/>
      <c r="LNO5" s="2"/>
      <c r="LNP5" s="2"/>
      <c r="LNQ5" s="2"/>
      <c r="LNR5" s="2"/>
      <c r="LNS5" s="2"/>
      <c r="LNT5" s="2"/>
      <c r="LNU5" s="2"/>
      <c r="LNV5" s="2"/>
      <c r="LNW5" s="2"/>
      <c r="LNX5" s="2"/>
      <c r="LNY5" s="2"/>
      <c r="LNZ5" s="2"/>
      <c r="LOA5" s="2"/>
      <c r="LOB5" s="2"/>
      <c r="LOC5" s="2"/>
      <c r="LOD5" s="2"/>
      <c r="LOE5" s="2"/>
      <c r="LOF5" s="2"/>
      <c r="LOG5" s="2"/>
      <c r="LOH5" s="2"/>
      <c r="LOI5" s="2"/>
      <c r="LOJ5" s="2"/>
      <c r="LOK5" s="2"/>
      <c r="LOL5" s="2"/>
      <c r="LOM5" s="2"/>
      <c r="LON5" s="2"/>
      <c r="LOO5" s="2"/>
      <c r="LOP5" s="2"/>
      <c r="LOQ5" s="2"/>
      <c r="LOR5" s="2"/>
      <c r="LOS5" s="2"/>
      <c r="LOT5" s="2"/>
      <c r="LOU5" s="2"/>
      <c r="LOV5" s="2"/>
      <c r="LOW5" s="2"/>
      <c r="LOX5" s="2"/>
      <c r="LOY5" s="2"/>
      <c r="LOZ5" s="2"/>
      <c r="LPA5" s="2"/>
      <c r="LPB5" s="2"/>
      <c r="LPC5" s="2"/>
      <c r="LPD5" s="2"/>
      <c r="LPE5" s="2"/>
      <c r="LPF5" s="2"/>
      <c r="LPG5" s="2"/>
      <c r="LPH5" s="2"/>
      <c r="LPI5" s="2"/>
      <c r="LPJ5" s="2"/>
      <c r="LPK5" s="2"/>
      <c r="LPL5" s="2"/>
      <c r="LPM5" s="2"/>
      <c r="LPN5" s="2"/>
      <c r="LPO5" s="2"/>
      <c r="LPP5" s="2"/>
      <c r="LPQ5" s="2"/>
      <c r="LPR5" s="2"/>
      <c r="LPS5" s="2"/>
      <c r="LPT5" s="2"/>
      <c r="LPU5" s="2"/>
      <c r="LPV5" s="2"/>
      <c r="LPW5" s="2"/>
      <c r="LPX5" s="2"/>
      <c r="LPY5" s="2"/>
      <c r="LPZ5" s="2"/>
      <c r="LQA5" s="2"/>
      <c r="LQB5" s="2"/>
      <c r="LQC5" s="2"/>
      <c r="LQD5" s="2"/>
      <c r="LQE5" s="2"/>
      <c r="LQF5" s="2"/>
      <c r="LQG5" s="2"/>
      <c r="LQH5" s="2"/>
      <c r="LQI5" s="2"/>
      <c r="LQJ5" s="2"/>
      <c r="LQK5" s="2"/>
      <c r="LQL5" s="2"/>
      <c r="LQM5" s="2"/>
      <c r="LQN5" s="2"/>
      <c r="LQO5" s="2"/>
      <c r="LQP5" s="2"/>
      <c r="LQQ5" s="2"/>
      <c r="LQR5" s="2"/>
      <c r="LQS5" s="2"/>
      <c r="LQT5" s="2"/>
      <c r="LQU5" s="2"/>
      <c r="LQV5" s="2"/>
      <c r="LQW5" s="2"/>
      <c r="LQX5" s="2"/>
      <c r="LQY5" s="2"/>
      <c r="LQZ5" s="2"/>
      <c r="LRA5" s="2"/>
      <c r="LRB5" s="2"/>
      <c r="LRC5" s="2"/>
      <c r="LRD5" s="2"/>
      <c r="LRE5" s="2"/>
      <c r="LRF5" s="2"/>
      <c r="LRG5" s="2"/>
      <c r="LRH5" s="2"/>
      <c r="LRI5" s="2"/>
      <c r="LRJ5" s="2"/>
      <c r="LRK5" s="2"/>
      <c r="LRL5" s="2"/>
      <c r="LRM5" s="2"/>
      <c r="LRN5" s="2"/>
      <c r="LRO5" s="2"/>
      <c r="LRP5" s="2"/>
      <c r="LRQ5" s="2"/>
      <c r="LRR5" s="2"/>
      <c r="LRS5" s="2"/>
      <c r="LRT5" s="2"/>
      <c r="LRU5" s="2"/>
      <c r="LRV5" s="2"/>
      <c r="LRW5" s="2"/>
      <c r="LRX5" s="2"/>
      <c r="LRY5" s="2"/>
      <c r="LRZ5" s="2"/>
      <c r="LSA5" s="2"/>
      <c r="LSB5" s="2"/>
      <c r="LSC5" s="2"/>
      <c r="LSD5" s="2"/>
      <c r="LSE5" s="2"/>
      <c r="LSF5" s="2"/>
      <c r="LSG5" s="2"/>
      <c r="LSH5" s="2"/>
      <c r="LSI5" s="2"/>
      <c r="LSJ5" s="2"/>
      <c r="LSK5" s="2"/>
      <c r="LSL5" s="2"/>
      <c r="LSM5" s="2"/>
      <c r="LSN5" s="2"/>
      <c r="LSO5" s="2"/>
      <c r="LSP5" s="2"/>
      <c r="LSQ5" s="2"/>
      <c r="LSR5" s="2"/>
      <c r="LSS5" s="2"/>
      <c r="LST5" s="2"/>
      <c r="LSU5" s="2"/>
      <c r="LSV5" s="2"/>
      <c r="LSW5" s="2"/>
      <c r="LSX5" s="2"/>
      <c r="LSY5" s="2"/>
      <c r="LSZ5" s="2"/>
      <c r="LTA5" s="2"/>
      <c r="LTB5" s="2"/>
      <c r="LTC5" s="2"/>
      <c r="LTD5" s="2"/>
      <c r="LTE5" s="2"/>
      <c r="LTF5" s="2"/>
      <c r="LTG5" s="2"/>
      <c r="LTH5" s="2"/>
      <c r="LTI5" s="2"/>
      <c r="LTJ5" s="2"/>
      <c r="LTK5" s="2"/>
      <c r="LTL5" s="2"/>
      <c r="LTM5" s="2"/>
      <c r="LTN5" s="2"/>
      <c r="LTO5" s="2"/>
      <c r="LTP5" s="2"/>
      <c r="LTQ5" s="2"/>
      <c r="LTR5" s="2"/>
      <c r="LTS5" s="2"/>
      <c r="LTT5" s="2"/>
      <c r="LTU5" s="2"/>
      <c r="LTV5" s="2"/>
      <c r="LTW5" s="2"/>
      <c r="LTX5" s="2"/>
      <c r="LTY5" s="2"/>
      <c r="LTZ5" s="2"/>
      <c r="LUA5" s="2"/>
      <c r="LUB5" s="2"/>
      <c r="LUC5" s="2"/>
      <c r="LUD5" s="2"/>
      <c r="LUE5" s="2"/>
      <c r="LUF5" s="2"/>
      <c r="LUG5" s="2"/>
      <c r="LUH5" s="2"/>
      <c r="LUI5" s="2"/>
      <c r="LUJ5" s="2"/>
      <c r="LUK5" s="2"/>
      <c r="LUL5" s="2"/>
      <c r="LUM5" s="2"/>
      <c r="LUN5" s="2"/>
      <c r="LUO5" s="2"/>
      <c r="LUP5" s="2"/>
      <c r="LUQ5" s="2"/>
      <c r="LUR5" s="2"/>
      <c r="LUS5" s="2"/>
      <c r="LUT5" s="2"/>
      <c r="LUU5" s="2"/>
      <c r="LUV5" s="2"/>
      <c r="LUW5" s="2"/>
      <c r="LUX5" s="2"/>
      <c r="LUY5" s="2"/>
      <c r="LUZ5" s="2"/>
      <c r="LVA5" s="2"/>
      <c r="LVB5" s="2"/>
      <c r="LVC5" s="2"/>
      <c r="LVD5" s="2"/>
      <c r="LVE5" s="2"/>
      <c r="LVF5" s="2"/>
      <c r="LVG5" s="2"/>
      <c r="LVH5" s="2"/>
      <c r="LVI5" s="2"/>
      <c r="LVJ5" s="2"/>
      <c r="LVK5" s="2"/>
      <c r="LVL5" s="2"/>
      <c r="LVM5" s="2"/>
      <c r="LVN5" s="2"/>
      <c r="LVO5" s="2"/>
      <c r="LVP5" s="2"/>
      <c r="LVQ5" s="2"/>
      <c r="LVR5" s="2"/>
      <c r="LVS5" s="2"/>
      <c r="LVT5" s="2"/>
      <c r="LVU5" s="2"/>
      <c r="LVV5" s="2"/>
      <c r="LVW5" s="2"/>
      <c r="LVX5" s="2"/>
      <c r="LVY5" s="2"/>
      <c r="LVZ5" s="2"/>
      <c r="LWA5" s="2"/>
      <c r="LWB5" s="2"/>
      <c r="LWC5" s="2"/>
      <c r="LWD5" s="2"/>
      <c r="LWE5" s="2"/>
      <c r="LWF5" s="2"/>
      <c r="LWG5" s="2"/>
      <c r="LWH5" s="2"/>
      <c r="LWI5" s="2"/>
      <c r="LWJ5" s="2"/>
      <c r="LWK5" s="2"/>
      <c r="LWL5" s="2"/>
      <c r="LWM5" s="2"/>
      <c r="LWN5" s="2"/>
      <c r="LWO5" s="2"/>
      <c r="LWP5" s="2"/>
      <c r="LWQ5" s="2"/>
      <c r="LWR5" s="2"/>
      <c r="LWS5" s="2"/>
      <c r="LWT5" s="2"/>
      <c r="LWU5" s="2"/>
      <c r="LWV5" s="2"/>
      <c r="LWW5" s="2"/>
      <c r="LWX5" s="2"/>
      <c r="LWY5" s="2"/>
      <c r="LWZ5" s="2"/>
      <c r="LXA5" s="2"/>
      <c r="LXB5" s="2"/>
      <c r="LXC5" s="2"/>
      <c r="LXD5" s="2"/>
      <c r="LXE5" s="2"/>
      <c r="LXF5" s="2"/>
      <c r="LXG5" s="2"/>
      <c r="LXH5" s="2"/>
      <c r="LXI5" s="2"/>
      <c r="LXJ5" s="2"/>
      <c r="LXK5" s="2"/>
      <c r="LXL5" s="2"/>
      <c r="LXM5" s="2"/>
      <c r="LXN5" s="2"/>
      <c r="LXO5" s="2"/>
      <c r="LXP5" s="2"/>
      <c r="LXQ5" s="2"/>
      <c r="LXR5" s="2"/>
      <c r="LXS5" s="2"/>
      <c r="LXT5" s="2"/>
      <c r="LXU5" s="2"/>
      <c r="LXV5" s="2"/>
      <c r="LXW5" s="2"/>
      <c r="LXX5" s="2"/>
      <c r="LXY5" s="2"/>
      <c r="LXZ5" s="2"/>
      <c r="LYA5" s="2"/>
      <c r="LYB5" s="2"/>
      <c r="LYC5" s="2"/>
      <c r="LYD5" s="2"/>
      <c r="LYE5" s="2"/>
      <c r="LYF5" s="2"/>
      <c r="LYG5" s="2"/>
      <c r="LYH5" s="2"/>
      <c r="LYI5" s="2"/>
      <c r="LYJ5" s="2"/>
      <c r="LYK5" s="2"/>
      <c r="LYL5" s="2"/>
      <c r="LYM5" s="2"/>
      <c r="LYN5" s="2"/>
      <c r="LYO5" s="2"/>
      <c r="LYP5" s="2"/>
      <c r="LYQ5" s="2"/>
      <c r="LYR5" s="2"/>
      <c r="LYS5" s="2"/>
      <c r="LYT5" s="2"/>
      <c r="LYU5" s="2"/>
      <c r="LYV5" s="2"/>
      <c r="LYW5" s="2"/>
      <c r="LYX5" s="2"/>
      <c r="LYY5" s="2"/>
      <c r="LYZ5" s="2"/>
      <c r="LZA5" s="2"/>
      <c r="LZB5" s="2"/>
      <c r="LZC5" s="2"/>
      <c r="LZD5" s="2"/>
      <c r="LZE5" s="2"/>
      <c r="LZF5" s="2"/>
      <c r="LZG5" s="2"/>
      <c r="LZH5" s="2"/>
      <c r="LZI5" s="2"/>
      <c r="LZJ5" s="2"/>
      <c r="LZK5" s="2"/>
      <c r="LZL5" s="2"/>
      <c r="LZM5" s="2"/>
      <c r="LZN5" s="2"/>
      <c r="LZO5" s="2"/>
      <c r="LZP5" s="2"/>
      <c r="LZQ5" s="2"/>
      <c r="LZR5" s="2"/>
      <c r="LZS5" s="2"/>
      <c r="LZT5" s="2"/>
      <c r="LZU5" s="2"/>
      <c r="LZV5" s="2"/>
      <c r="LZW5" s="2"/>
      <c r="LZX5" s="2"/>
      <c r="LZY5" s="2"/>
      <c r="LZZ5" s="2"/>
      <c r="MAA5" s="2"/>
      <c r="MAB5" s="2"/>
      <c r="MAC5" s="2"/>
      <c r="MAD5" s="2"/>
      <c r="MAE5" s="2"/>
      <c r="MAF5" s="2"/>
      <c r="MAG5" s="2"/>
      <c r="MAH5" s="2"/>
      <c r="MAI5" s="2"/>
      <c r="MAJ5" s="2"/>
      <c r="MAK5" s="2"/>
      <c r="MAL5" s="2"/>
      <c r="MAM5" s="2"/>
      <c r="MAN5" s="2"/>
      <c r="MAO5" s="2"/>
      <c r="MAP5" s="2"/>
      <c r="MAQ5" s="2"/>
      <c r="MAR5" s="2"/>
      <c r="MAS5" s="2"/>
      <c r="MAT5" s="2"/>
      <c r="MAU5" s="2"/>
      <c r="MAV5" s="2"/>
      <c r="MAW5" s="2"/>
      <c r="MAX5" s="2"/>
      <c r="MAY5" s="2"/>
      <c r="MAZ5" s="2"/>
      <c r="MBA5" s="2"/>
      <c r="MBB5" s="2"/>
      <c r="MBC5" s="2"/>
      <c r="MBD5" s="2"/>
      <c r="MBE5" s="2"/>
      <c r="MBF5" s="2"/>
      <c r="MBG5" s="2"/>
      <c r="MBH5" s="2"/>
      <c r="MBI5" s="2"/>
      <c r="MBJ5" s="2"/>
      <c r="MBK5" s="2"/>
      <c r="MBL5" s="2"/>
      <c r="MBM5" s="2"/>
      <c r="MBN5" s="2"/>
      <c r="MBO5" s="2"/>
      <c r="MBP5" s="2"/>
      <c r="MBQ5" s="2"/>
      <c r="MBR5" s="2"/>
      <c r="MBS5" s="2"/>
      <c r="MBT5" s="2"/>
      <c r="MBU5" s="2"/>
      <c r="MBV5" s="2"/>
      <c r="MBW5" s="2"/>
      <c r="MBX5" s="2"/>
      <c r="MBY5" s="2"/>
      <c r="MBZ5" s="2"/>
      <c r="MCA5" s="2"/>
      <c r="MCB5" s="2"/>
      <c r="MCC5" s="2"/>
      <c r="MCD5" s="2"/>
      <c r="MCE5" s="2"/>
      <c r="MCF5" s="2"/>
      <c r="MCG5" s="2"/>
      <c r="MCH5" s="2"/>
      <c r="MCI5" s="2"/>
      <c r="MCJ5" s="2"/>
      <c r="MCK5" s="2"/>
      <c r="MCL5" s="2"/>
      <c r="MCM5" s="2"/>
      <c r="MCN5" s="2"/>
      <c r="MCO5" s="2"/>
      <c r="MCP5" s="2"/>
      <c r="MCQ5" s="2"/>
      <c r="MCR5" s="2"/>
      <c r="MCS5" s="2"/>
      <c r="MCT5" s="2"/>
      <c r="MCU5" s="2"/>
      <c r="MCV5" s="2"/>
      <c r="MCW5" s="2"/>
      <c r="MCX5" s="2"/>
      <c r="MCY5" s="2"/>
      <c r="MCZ5" s="2"/>
      <c r="MDA5" s="2"/>
      <c r="MDB5" s="2"/>
      <c r="MDC5" s="2"/>
      <c r="MDD5" s="2"/>
      <c r="MDE5" s="2"/>
      <c r="MDF5" s="2"/>
      <c r="MDG5" s="2"/>
      <c r="MDH5" s="2"/>
      <c r="MDI5" s="2"/>
      <c r="MDJ5" s="2"/>
      <c r="MDK5" s="2"/>
      <c r="MDL5" s="2"/>
      <c r="MDM5" s="2"/>
      <c r="MDN5" s="2"/>
      <c r="MDO5" s="2"/>
      <c r="MDP5" s="2"/>
      <c r="MDQ5" s="2"/>
      <c r="MDR5" s="2"/>
      <c r="MDS5" s="2"/>
      <c r="MDT5" s="2"/>
      <c r="MDU5" s="2"/>
      <c r="MDV5" s="2"/>
      <c r="MDW5" s="2"/>
      <c r="MDX5" s="2"/>
      <c r="MDY5" s="2"/>
      <c r="MDZ5" s="2"/>
      <c r="MEA5" s="2"/>
      <c r="MEB5" s="2"/>
      <c r="MEC5" s="2"/>
      <c r="MED5" s="2"/>
      <c r="MEE5" s="2"/>
      <c r="MEF5" s="2"/>
      <c r="MEG5" s="2"/>
      <c r="MEH5" s="2"/>
      <c r="MEI5" s="2"/>
      <c r="MEJ5" s="2"/>
      <c r="MEK5" s="2"/>
      <c r="MEL5" s="2"/>
      <c r="MEM5" s="2"/>
      <c r="MEN5" s="2"/>
      <c r="MEO5" s="2"/>
      <c r="MEP5" s="2"/>
      <c r="MEQ5" s="2"/>
      <c r="MER5" s="2"/>
      <c r="MES5" s="2"/>
      <c r="MET5" s="2"/>
      <c r="MEU5" s="2"/>
      <c r="MEV5" s="2"/>
      <c r="MEW5" s="2"/>
      <c r="MEX5" s="2"/>
      <c r="MEY5" s="2"/>
      <c r="MEZ5" s="2"/>
      <c r="MFA5" s="2"/>
      <c r="MFB5" s="2"/>
      <c r="MFC5" s="2"/>
      <c r="MFD5" s="2"/>
      <c r="MFE5" s="2"/>
      <c r="MFF5" s="2"/>
      <c r="MFG5" s="2"/>
      <c r="MFH5" s="2"/>
      <c r="MFI5" s="2"/>
      <c r="MFJ5" s="2"/>
      <c r="MFK5" s="2"/>
      <c r="MFL5" s="2"/>
      <c r="MFM5" s="2"/>
      <c r="MFN5" s="2"/>
      <c r="MFO5" s="2"/>
      <c r="MFP5" s="2"/>
      <c r="MFQ5" s="2"/>
      <c r="MFR5" s="2"/>
      <c r="MFS5" s="2"/>
      <c r="MFT5" s="2"/>
      <c r="MFU5" s="2"/>
      <c r="MFV5" s="2"/>
      <c r="MFW5" s="2"/>
      <c r="MFX5" s="2"/>
      <c r="MFY5" s="2"/>
      <c r="MFZ5" s="2"/>
      <c r="MGA5" s="2"/>
      <c r="MGB5" s="2"/>
      <c r="MGC5" s="2"/>
      <c r="MGD5" s="2"/>
      <c r="MGE5" s="2"/>
      <c r="MGF5" s="2"/>
      <c r="MGG5" s="2"/>
      <c r="MGH5" s="2"/>
      <c r="MGI5" s="2"/>
      <c r="MGJ5" s="2"/>
      <c r="MGK5" s="2"/>
      <c r="MGL5" s="2"/>
      <c r="MGM5" s="2"/>
      <c r="MGN5" s="2"/>
      <c r="MGO5" s="2"/>
      <c r="MGP5" s="2"/>
      <c r="MGQ5" s="2"/>
      <c r="MGR5" s="2"/>
      <c r="MGS5" s="2"/>
      <c r="MGT5" s="2"/>
      <c r="MGU5" s="2"/>
      <c r="MGV5" s="2"/>
      <c r="MGW5" s="2"/>
      <c r="MGX5" s="2"/>
      <c r="MGY5" s="2"/>
      <c r="MGZ5" s="2"/>
      <c r="MHA5" s="2"/>
      <c r="MHB5" s="2"/>
      <c r="MHC5" s="2"/>
      <c r="MHD5" s="2"/>
      <c r="MHE5" s="2"/>
      <c r="MHF5" s="2"/>
      <c r="MHG5" s="2"/>
      <c r="MHH5" s="2"/>
      <c r="MHI5" s="2"/>
      <c r="MHJ5" s="2"/>
      <c r="MHK5" s="2"/>
      <c r="MHL5" s="2"/>
      <c r="MHM5" s="2"/>
      <c r="MHN5" s="2"/>
      <c r="MHO5" s="2"/>
      <c r="MHP5" s="2"/>
      <c r="MHQ5" s="2"/>
      <c r="MHR5" s="2"/>
      <c r="MHS5" s="2"/>
      <c r="MHT5" s="2"/>
      <c r="MHU5" s="2"/>
      <c r="MHV5" s="2"/>
      <c r="MHW5" s="2"/>
      <c r="MHX5" s="2"/>
      <c r="MHY5" s="2"/>
      <c r="MHZ5" s="2"/>
      <c r="MIA5" s="2"/>
      <c r="MIB5" s="2"/>
      <c r="MIC5" s="2"/>
      <c r="MID5" s="2"/>
      <c r="MIE5" s="2"/>
      <c r="MIF5" s="2"/>
      <c r="MIG5" s="2"/>
      <c r="MIH5" s="2"/>
      <c r="MII5" s="2"/>
      <c r="MIJ5" s="2"/>
      <c r="MIK5" s="2"/>
      <c r="MIL5" s="2"/>
      <c r="MIM5" s="2"/>
      <c r="MIN5" s="2"/>
      <c r="MIO5" s="2"/>
      <c r="MIP5" s="2"/>
      <c r="MIQ5" s="2"/>
      <c r="MIR5" s="2"/>
      <c r="MIS5" s="2"/>
      <c r="MIT5" s="2"/>
      <c r="MIU5" s="2"/>
      <c r="MIV5" s="2"/>
      <c r="MIW5" s="2"/>
      <c r="MIX5" s="2"/>
      <c r="MIY5" s="2"/>
      <c r="MIZ5" s="2"/>
      <c r="MJA5" s="2"/>
      <c r="MJB5" s="2"/>
      <c r="MJC5" s="2"/>
      <c r="MJD5" s="2"/>
      <c r="MJE5" s="2"/>
      <c r="MJF5" s="2"/>
      <c r="MJG5" s="2"/>
      <c r="MJH5" s="2"/>
      <c r="MJI5" s="2"/>
      <c r="MJJ5" s="2"/>
      <c r="MJK5" s="2"/>
      <c r="MJL5" s="2"/>
      <c r="MJM5" s="2"/>
      <c r="MJN5" s="2"/>
      <c r="MJO5" s="2"/>
      <c r="MJP5" s="2"/>
      <c r="MJQ5" s="2"/>
      <c r="MJR5" s="2"/>
      <c r="MJS5" s="2"/>
      <c r="MJT5" s="2"/>
      <c r="MJU5" s="2"/>
      <c r="MJV5" s="2"/>
      <c r="MJW5" s="2"/>
      <c r="MJX5" s="2"/>
      <c r="MJY5" s="2"/>
      <c r="MJZ5" s="2"/>
      <c r="MKA5" s="2"/>
      <c r="MKB5" s="2"/>
      <c r="MKC5" s="2"/>
      <c r="MKD5" s="2"/>
      <c r="MKE5" s="2"/>
      <c r="MKF5" s="2"/>
      <c r="MKG5" s="2"/>
      <c r="MKH5" s="2"/>
      <c r="MKI5" s="2"/>
      <c r="MKJ5" s="2"/>
      <c r="MKK5" s="2"/>
      <c r="MKL5" s="2"/>
      <c r="MKM5" s="2"/>
      <c r="MKN5" s="2"/>
      <c r="MKO5" s="2"/>
      <c r="MKP5" s="2"/>
      <c r="MKQ5" s="2"/>
      <c r="MKR5" s="2"/>
      <c r="MKS5" s="2"/>
      <c r="MKT5" s="2"/>
      <c r="MKU5" s="2"/>
      <c r="MKV5" s="2"/>
      <c r="MKW5" s="2"/>
      <c r="MKX5" s="2"/>
      <c r="MKY5" s="2"/>
      <c r="MKZ5" s="2"/>
      <c r="MLA5" s="2"/>
      <c r="MLB5" s="2"/>
      <c r="MLC5" s="2"/>
      <c r="MLD5" s="2"/>
      <c r="MLE5" s="2"/>
      <c r="MLF5" s="2"/>
      <c r="MLG5" s="2"/>
      <c r="MLH5" s="2"/>
      <c r="MLI5" s="2"/>
      <c r="MLJ5" s="2"/>
      <c r="MLK5" s="2"/>
      <c r="MLL5" s="2"/>
      <c r="MLM5" s="2"/>
      <c r="MLN5" s="2"/>
      <c r="MLO5" s="2"/>
      <c r="MLP5" s="2"/>
      <c r="MLQ5" s="2"/>
      <c r="MLR5" s="2"/>
      <c r="MLS5" s="2"/>
      <c r="MLT5" s="2"/>
      <c r="MLU5" s="2"/>
      <c r="MLV5" s="2"/>
      <c r="MLW5" s="2"/>
      <c r="MLX5" s="2"/>
      <c r="MLY5" s="2"/>
      <c r="MLZ5" s="2"/>
      <c r="MMA5" s="2"/>
      <c r="MMB5" s="2"/>
      <c r="MMC5" s="2"/>
      <c r="MMD5" s="2"/>
      <c r="MME5" s="2"/>
      <c r="MMF5" s="2"/>
      <c r="MMG5" s="2"/>
      <c r="MMH5" s="2"/>
      <c r="MMI5" s="2"/>
      <c r="MMJ5" s="2"/>
      <c r="MMK5" s="2"/>
      <c r="MML5" s="2"/>
      <c r="MMM5" s="2"/>
      <c r="MMN5" s="2"/>
      <c r="MMO5" s="2"/>
      <c r="MMP5" s="2"/>
      <c r="MMQ5" s="2"/>
      <c r="MMR5" s="2"/>
      <c r="MMS5" s="2"/>
      <c r="MMT5" s="2"/>
      <c r="MMU5" s="2"/>
      <c r="MMV5" s="2"/>
      <c r="MMW5" s="2"/>
      <c r="MMX5" s="2"/>
      <c r="MMY5" s="2"/>
      <c r="MMZ5" s="2"/>
      <c r="MNA5" s="2"/>
      <c r="MNB5" s="2"/>
      <c r="MNC5" s="2"/>
      <c r="MND5" s="2"/>
      <c r="MNE5" s="2"/>
      <c r="MNF5" s="2"/>
      <c r="MNG5" s="2"/>
      <c r="MNH5" s="2"/>
      <c r="MNI5" s="2"/>
      <c r="MNJ5" s="2"/>
      <c r="MNK5" s="2"/>
      <c r="MNL5" s="2"/>
      <c r="MNM5" s="2"/>
      <c r="MNN5" s="2"/>
      <c r="MNO5" s="2"/>
      <c r="MNP5" s="2"/>
      <c r="MNQ5" s="2"/>
      <c r="MNR5" s="2"/>
      <c r="MNS5" s="2"/>
      <c r="MNT5" s="2"/>
      <c r="MNU5" s="2"/>
      <c r="MNV5" s="2"/>
      <c r="MNW5" s="2"/>
      <c r="MNX5" s="2"/>
      <c r="MNY5" s="2"/>
      <c r="MNZ5" s="2"/>
      <c r="MOA5" s="2"/>
      <c r="MOB5" s="2"/>
      <c r="MOC5" s="2"/>
      <c r="MOD5" s="2"/>
      <c r="MOE5" s="2"/>
      <c r="MOF5" s="2"/>
      <c r="MOG5" s="2"/>
      <c r="MOH5" s="2"/>
      <c r="MOI5" s="2"/>
      <c r="MOJ5" s="2"/>
      <c r="MOK5" s="2"/>
      <c r="MOL5" s="2"/>
      <c r="MOM5" s="2"/>
      <c r="MON5" s="2"/>
      <c r="MOO5" s="2"/>
      <c r="MOP5" s="2"/>
      <c r="MOQ5" s="2"/>
      <c r="MOR5" s="2"/>
      <c r="MOS5" s="2"/>
      <c r="MOT5" s="2"/>
      <c r="MOU5" s="2"/>
      <c r="MOV5" s="2"/>
      <c r="MOW5" s="2"/>
      <c r="MOX5" s="2"/>
      <c r="MOY5" s="2"/>
      <c r="MOZ5" s="2"/>
      <c r="MPA5" s="2"/>
      <c r="MPB5" s="2"/>
      <c r="MPC5" s="2"/>
      <c r="MPD5" s="2"/>
      <c r="MPE5" s="2"/>
      <c r="MPF5" s="2"/>
      <c r="MPG5" s="2"/>
      <c r="MPH5" s="2"/>
      <c r="MPI5" s="2"/>
      <c r="MPJ5" s="2"/>
      <c r="MPK5" s="2"/>
      <c r="MPL5" s="2"/>
      <c r="MPM5" s="2"/>
      <c r="MPN5" s="2"/>
      <c r="MPO5" s="2"/>
      <c r="MPP5" s="2"/>
      <c r="MPQ5" s="2"/>
      <c r="MPR5" s="2"/>
      <c r="MPS5" s="2"/>
      <c r="MPT5" s="2"/>
      <c r="MPU5" s="2"/>
      <c r="MPV5" s="2"/>
      <c r="MPW5" s="2"/>
      <c r="MPX5" s="2"/>
      <c r="MPY5" s="2"/>
      <c r="MPZ5" s="2"/>
      <c r="MQA5" s="2"/>
      <c r="MQB5" s="2"/>
      <c r="MQC5" s="2"/>
      <c r="MQD5" s="2"/>
      <c r="MQE5" s="2"/>
      <c r="MQF5" s="2"/>
      <c r="MQG5" s="2"/>
      <c r="MQH5" s="2"/>
      <c r="MQI5" s="2"/>
      <c r="MQJ5" s="2"/>
      <c r="MQK5" s="2"/>
      <c r="MQL5" s="2"/>
      <c r="MQM5" s="2"/>
      <c r="MQN5" s="2"/>
      <c r="MQO5" s="2"/>
      <c r="MQP5" s="2"/>
      <c r="MQQ5" s="2"/>
      <c r="MQR5" s="2"/>
      <c r="MQS5" s="2"/>
      <c r="MQT5" s="2"/>
      <c r="MQU5" s="2"/>
      <c r="MQV5" s="2"/>
      <c r="MQW5" s="2"/>
      <c r="MQX5" s="2"/>
      <c r="MQY5" s="2"/>
      <c r="MQZ5" s="2"/>
      <c r="MRA5" s="2"/>
      <c r="MRB5" s="2"/>
      <c r="MRC5" s="2"/>
      <c r="MRD5" s="2"/>
      <c r="MRE5" s="2"/>
      <c r="MRF5" s="2"/>
      <c r="MRG5" s="2"/>
      <c r="MRH5" s="2"/>
      <c r="MRI5" s="2"/>
      <c r="MRJ5" s="2"/>
      <c r="MRK5" s="2"/>
      <c r="MRL5" s="2"/>
      <c r="MRM5" s="2"/>
      <c r="MRN5" s="2"/>
      <c r="MRO5" s="2"/>
      <c r="MRP5" s="2"/>
      <c r="MRQ5" s="2"/>
      <c r="MRR5" s="2"/>
      <c r="MRS5" s="2"/>
      <c r="MRT5" s="2"/>
      <c r="MRU5" s="2"/>
      <c r="MRV5" s="2"/>
      <c r="MRW5" s="2"/>
      <c r="MRX5" s="2"/>
      <c r="MRY5" s="2"/>
      <c r="MRZ5" s="2"/>
      <c r="MSA5" s="2"/>
      <c r="MSB5" s="2"/>
      <c r="MSC5" s="2"/>
      <c r="MSD5" s="2"/>
      <c r="MSE5" s="2"/>
      <c r="MSF5" s="2"/>
      <c r="MSG5" s="2"/>
      <c r="MSH5" s="2"/>
      <c r="MSI5" s="2"/>
      <c r="MSJ5" s="2"/>
      <c r="MSK5" s="2"/>
      <c r="MSL5" s="2"/>
      <c r="MSM5" s="2"/>
      <c r="MSN5" s="2"/>
      <c r="MSO5" s="2"/>
      <c r="MSP5" s="2"/>
      <c r="MSQ5" s="2"/>
      <c r="MSR5" s="2"/>
      <c r="MSS5" s="2"/>
      <c r="MST5" s="2"/>
      <c r="MSU5" s="2"/>
      <c r="MSV5" s="2"/>
      <c r="MSW5" s="2"/>
      <c r="MSX5" s="2"/>
      <c r="MSY5" s="2"/>
      <c r="MSZ5" s="2"/>
      <c r="MTA5" s="2"/>
      <c r="MTB5" s="2"/>
      <c r="MTC5" s="2"/>
      <c r="MTD5" s="2"/>
      <c r="MTE5" s="2"/>
      <c r="MTF5" s="2"/>
      <c r="MTG5" s="2"/>
      <c r="MTH5" s="2"/>
      <c r="MTI5" s="2"/>
      <c r="MTJ5" s="2"/>
      <c r="MTK5" s="2"/>
      <c r="MTL5" s="2"/>
      <c r="MTM5" s="2"/>
      <c r="MTN5" s="2"/>
      <c r="MTO5" s="2"/>
      <c r="MTP5" s="2"/>
      <c r="MTQ5" s="2"/>
      <c r="MTR5" s="2"/>
      <c r="MTS5" s="2"/>
      <c r="MTT5" s="2"/>
      <c r="MTU5" s="2"/>
      <c r="MTV5" s="2"/>
      <c r="MTW5" s="2"/>
      <c r="MTX5" s="2"/>
      <c r="MTY5" s="2"/>
      <c r="MTZ5" s="2"/>
      <c r="MUA5" s="2"/>
      <c r="MUB5" s="2"/>
      <c r="MUC5" s="2"/>
      <c r="MUD5" s="2"/>
      <c r="MUE5" s="2"/>
      <c r="MUF5" s="2"/>
      <c r="MUG5" s="2"/>
      <c r="MUH5" s="2"/>
      <c r="MUI5" s="2"/>
      <c r="MUJ5" s="2"/>
      <c r="MUK5" s="2"/>
      <c r="MUL5" s="2"/>
      <c r="MUM5" s="2"/>
      <c r="MUN5" s="2"/>
      <c r="MUO5" s="2"/>
      <c r="MUP5" s="2"/>
      <c r="MUQ5" s="2"/>
      <c r="MUR5" s="2"/>
      <c r="MUS5" s="2"/>
      <c r="MUT5" s="2"/>
      <c r="MUU5" s="2"/>
      <c r="MUV5" s="2"/>
      <c r="MUW5" s="2"/>
      <c r="MUX5" s="2"/>
      <c r="MUY5" s="2"/>
      <c r="MUZ5" s="2"/>
      <c r="MVA5" s="2"/>
      <c r="MVB5" s="2"/>
      <c r="MVC5" s="2"/>
      <c r="MVD5" s="2"/>
      <c r="MVE5" s="2"/>
      <c r="MVF5" s="2"/>
      <c r="MVG5" s="2"/>
      <c r="MVH5" s="2"/>
      <c r="MVI5" s="2"/>
      <c r="MVJ5" s="2"/>
      <c r="MVK5" s="2"/>
      <c r="MVL5" s="2"/>
      <c r="MVM5" s="2"/>
      <c r="MVN5" s="2"/>
      <c r="MVO5" s="2"/>
      <c r="MVP5" s="2"/>
      <c r="MVQ5" s="2"/>
      <c r="MVR5" s="2"/>
      <c r="MVS5" s="2"/>
      <c r="MVT5" s="2"/>
      <c r="MVU5" s="2"/>
      <c r="MVV5" s="2"/>
      <c r="MVW5" s="2"/>
      <c r="MVX5" s="2"/>
      <c r="MVY5" s="2"/>
      <c r="MVZ5" s="2"/>
      <c r="MWA5" s="2"/>
      <c r="MWB5" s="2"/>
      <c r="MWC5" s="2"/>
      <c r="MWD5" s="2"/>
      <c r="MWE5" s="2"/>
      <c r="MWF5" s="2"/>
      <c r="MWG5" s="2"/>
      <c r="MWH5" s="2"/>
      <c r="MWI5" s="2"/>
      <c r="MWJ5" s="2"/>
      <c r="MWK5" s="2"/>
      <c r="MWL5" s="2"/>
      <c r="MWM5" s="2"/>
      <c r="MWN5" s="2"/>
      <c r="MWO5" s="2"/>
      <c r="MWP5" s="2"/>
      <c r="MWQ5" s="2"/>
      <c r="MWR5" s="2"/>
      <c r="MWS5" s="2"/>
      <c r="MWT5" s="2"/>
      <c r="MWU5" s="2"/>
      <c r="MWV5" s="2"/>
      <c r="MWW5" s="2"/>
      <c r="MWX5" s="2"/>
      <c r="MWY5" s="2"/>
      <c r="MWZ5" s="2"/>
      <c r="MXA5" s="2"/>
      <c r="MXB5" s="2"/>
      <c r="MXC5" s="2"/>
      <c r="MXD5" s="2"/>
      <c r="MXE5" s="2"/>
      <c r="MXF5" s="2"/>
      <c r="MXG5" s="2"/>
      <c r="MXH5" s="2"/>
      <c r="MXI5" s="2"/>
      <c r="MXJ5" s="2"/>
      <c r="MXK5" s="2"/>
      <c r="MXL5" s="2"/>
      <c r="MXM5" s="2"/>
      <c r="MXN5" s="2"/>
      <c r="MXO5" s="2"/>
      <c r="MXP5" s="2"/>
      <c r="MXQ5" s="2"/>
      <c r="MXR5" s="2"/>
      <c r="MXS5" s="2"/>
      <c r="MXT5" s="2"/>
      <c r="MXU5" s="2"/>
      <c r="MXV5" s="2"/>
      <c r="MXW5" s="2"/>
      <c r="MXX5" s="2"/>
      <c r="MXY5" s="2"/>
      <c r="MXZ5" s="2"/>
      <c r="MYA5" s="2"/>
      <c r="MYB5" s="2"/>
      <c r="MYC5" s="2"/>
      <c r="MYD5" s="2"/>
      <c r="MYE5" s="2"/>
      <c r="MYF5" s="2"/>
      <c r="MYG5" s="2"/>
      <c r="MYH5" s="2"/>
      <c r="MYI5" s="2"/>
      <c r="MYJ5" s="2"/>
      <c r="MYK5" s="2"/>
      <c r="MYL5" s="2"/>
      <c r="MYM5" s="2"/>
      <c r="MYN5" s="2"/>
      <c r="MYO5" s="2"/>
      <c r="MYP5" s="2"/>
      <c r="MYQ5" s="2"/>
      <c r="MYR5" s="2"/>
      <c r="MYS5" s="2"/>
      <c r="MYT5" s="2"/>
      <c r="MYU5" s="2"/>
      <c r="MYV5" s="2"/>
      <c r="MYW5" s="2"/>
      <c r="MYX5" s="2"/>
      <c r="MYY5" s="2"/>
      <c r="MYZ5" s="2"/>
      <c r="MZA5" s="2"/>
      <c r="MZB5" s="2"/>
      <c r="MZC5" s="2"/>
      <c r="MZD5" s="2"/>
      <c r="MZE5" s="2"/>
      <c r="MZF5" s="2"/>
      <c r="MZG5" s="2"/>
      <c r="MZH5" s="2"/>
      <c r="MZI5" s="2"/>
      <c r="MZJ5" s="2"/>
      <c r="MZK5" s="2"/>
      <c r="MZL5" s="2"/>
      <c r="MZM5" s="2"/>
      <c r="MZN5" s="2"/>
      <c r="MZO5" s="2"/>
      <c r="MZP5" s="2"/>
      <c r="MZQ5" s="2"/>
      <c r="MZR5" s="2"/>
      <c r="MZS5" s="2"/>
      <c r="MZT5" s="2"/>
      <c r="MZU5" s="2"/>
      <c r="MZV5" s="2"/>
      <c r="MZW5" s="2"/>
      <c r="MZX5" s="2"/>
      <c r="MZY5" s="2"/>
      <c r="MZZ5" s="2"/>
      <c r="NAA5" s="2"/>
      <c r="NAB5" s="2"/>
      <c r="NAC5" s="2"/>
      <c r="NAD5" s="2"/>
      <c r="NAE5" s="2"/>
      <c r="NAF5" s="2"/>
      <c r="NAG5" s="2"/>
      <c r="NAH5" s="2"/>
      <c r="NAI5" s="2"/>
      <c r="NAJ5" s="2"/>
      <c r="NAK5" s="2"/>
      <c r="NAL5" s="2"/>
      <c r="NAM5" s="2"/>
      <c r="NAN5" s="2"/>
      <c r="NAO5" s="2"/>
      <c r="NAP5" s="2"/>
      <c r="NAQ5" s="2"/>
      <c r="NAR5" s="2"/>
      <c r="NAS5" s="2"/>
      <c r="NAT5" s="2"/>
      <c r="NAU5" s="2"/>
      <c r="NAV5" s="2"/>
      <c r="NAW5" s="2"/>
      <c r="NAX5" s="2"/>
      <c r="NAY5" s="2"/>
      <c r="NAZ5" s="2"/>
      <c r="NBA5" s="2"/>
      <c r="NBB5" s="2"/>
      <c r="NBC5" s="2"/>
      <c r="NBD5" s="2"/>
      <c r="NBE5" s="2"/>
      <c r="NBF5" s="2"/>
      <c r="NBG5" s="2"/>
      <c r="NBH5" s="2"/>
      <c r="NBI5" s="2"/>
      <c r="NBJ5" s="2"/>
      <c r="NBK5" s="2"/>
      <c r="NBL5" s="2"/>
      <c r="NBM5" s="2"/>
      <c r="NBN5" s="2"/>
      <c r="NBO5" s="2"/>
      <c r="NBP5" s="2"/>
      <c r="NBQ5" s="2"/>
      <c r="NBR5" s="2"/>
      <c r="NBS5" s="2"/>
      <c r="NBT5" s="2"/>
      <c r="NBU5" s="2"/>
      <c r="NBV5" s="2"/>
      <c r="NBW5" s="2"/>
      <c r="NBX5" s="2"/>
      <c r="NBY5" s="2"/>
      <c r="NBZ5" s="2"/>
      <c r="NCA5" s="2"/>
      <c r="NCB5" s="2"/>
      <c r="NCC5" s="2"/>
      <c r="NCD5" s="2"/>
      <c r="NCE5" s="2"/>
      <c r="NCF5" s="2"/>
      <c r="NCG5" s="2"/>
      <c r="NCH5" s="2"/>
      <c r="NCI5" s="2"/>
      <c r="NCJ5" s="2"/>
      <c r="NCK5" s="2"/>
      <c r="NCL5" s="2"/>
      <c r="NCM5" s="2"/>
      <c r="NCN5" s="2"/>
      <c r="NCO5" s="2"/>
      <c r="NCP5" s="2"/>
      <c r="NCQ5" s="2"/>
      <c r="NCR5" s="2"/>
      <c r="NCS5" s="2"/>
      <c r="NCT5" s="2"/>
      <c r="NCU5" s="2"/>
      <c r="NCV5" s="2"/>
      <c r="NCW5" s="2"/>
      <c r="NCX5" s="2"/>
      <c r="NCY5" s="2"/>
      <c r="NCZ5" s="2"/>
      <c r="NDA5" s="2"/>
      <c r="NDB5" s="2"/>
      <c r="NDC5" s="2"/>
      <c r="NDD5" s="2"/>
      <c r="NDE5" s="2"/>
      <c r="NDF5" s="2"/>
      <c r="NDG5" s="2"/>
      <c r="NDH5" s="2"/>
      <c r="NDI5" s="2"/>
      <c r="NDJ5" s="2"/>
      <c r="NDK5" s="2"/>
      <c r="NDL5" s="2"/>
      <c r="NDM5" s="2"/>
      <c r="NDN5" s="2"/>
      <c r="NDO5" s="2"/>
      <c r="NDP5" s="2"/>
      <c r="NDQ5" s="2"/>
      <c r="NDR5" s="2"/>
      <c r="NDS5" s="2"/>
      <c r="NDT5" s="2"/>
      <c r="NDU5" s="2"/>
      <c r="NDV5" s="2"/>
      <c r="NDW5" s="2"/>
      <c r="NDX5" s="2"/>
      <c r="NDY5" s="2"/>
      <c r="NDZ5" s="2"/>
      <c r="NEA5" s="2"/>
      <c r="NEB5" s="2"/>
      <c r="NEC5" s="2"/>
      <c r="NED5" s="2"/>
      <c r="NEE5" s="2"/>
      <c r="NEF5" s="2"/>
      <c r="NEG5" s="2"/>
      <c r="NEH5" s="2"/>
      <c r="NEI5" s="2"/>
      <c r="NEJ5" s="2"/>
      <c r="NEK5" s="2"/>
      <c r="NEL5" s="2"/>
      <c r="NEM5" s="2"/>
      <c r="NEN5" s="2"/>
      <c r="NEO5" s="2"/>
      <c r="NEP5" s="2"/>
      <c r="NEQ5" s="2"/>
      <c r="NER5" s="2"/>
      <c r="NES5" s="2"/>
      <c r="NET5" s="2"/>
      <c r="NEU5" s="2"/>
      <c r="NEV5" s="2"/>
      <c r="NEW5" s="2"/>
      <c r="NEX5" s="2"/>
      <c r="NEY5" s="2"/>
      <c r="NEZ5" s="2"/>
      <c r="NFA5" s="2"/>
      <c r="NFB5" s="2"/>
      <c r="NFC5" s="2"/>
      <c r="NFD5" s="2"/>
      <c r="NFE5" s="2"/>
      <c r="NFF5" s="2"/>
      <c r="NFG5" s="2"/>
      <c r="NFH5" s="2"/>
      <c r="NFI5" s="2"/>
      <c r="NFJ5" s="2"/>
      <c r="NFK5" s="2"/>
      <c r="NFL5" s="2"/>
      <c r="NFM5" s="2"/>
      <c r="NFN5" s="2"/>
      <c r="NFO5" s="2"/>
      <c r="NFP5" s="2"/>
      <c r="NFQ5" s="2"/>
      <c r="NFR5" s="2"/>
      <c r="NFS5" s="2"/>
      <c r="NFT5" s="2"/>
      <c r="NFU5" s="2"/>
      <c r="NFV5" s="2"/>
      <c r="NFW5" s="2"/>
      <c r="NFX5" s="2"/>
      <c r="NFY5" s="2"/>
      <c r="NFZ5" s="2"/>
      <c r="NGA5" s="2"/>
      <c r="NGB5" s="2"/>
      <c r="NGC5" s="2"/>
      <c r="NGD5" s="2"/>
      <c r="NGE5" s="2"/>
      <c r="NGF5" s="2"/>
      <c r="NGG5" s="2"/>
      <c r="NGH5" s="2"/>
      <c r="NGI5" s="2"/>
      <c r="NGJ5" s="2"/>
      <c r="NGK5" s="2"/>
      <c r="NGL5" s="2"/>
      <c r="NGM5" s="2"/>
      <c r="NGN5" s="2"/>
      <c r="NGO5" s="2"/>
      <c r="NGP5" s="2"/>
      <c r="NGQ5" s="2"/>
      <c r="NGR5" s="2"/>
      <c r="NGS5" s="2"/>
      <c r="NGT5" s="2"/>
      <c r="NGU5" s="2"/>
      <c r="NGV5" s="2"/>
      <c r="NGW5" s="2"/>
      <c r="NGX5" s="2"/>
      <c r="NGY5" s="2"/>
      <c r="NGZ5" s="2"/>
      <c r="NHA5" s="2"/>
      <c r="NHB5" s="2"/>
      <c r="NHC5" s="2"/>
      <c r="NHD5" s="2"/>
      <c r="NHE5" s="2"/>
      <c r="NHF5" s="2"/>
      <c r="NHG5" s="2"/>
      <c r="NHH5" s="2"/>
      <c r="NHI5" s="2"/>
      <c r="NHJ5" s="2"/>
      <c r="NHK5" s="2"/>
      <c r="NHL5" s="2"/>
      <c r="NHM5" s="2"/>
      <c r="NHN5" s="2"/>
      <c r="NHO5" s="2"/>
      <c r="NHP5" s="2"/>
      <c r="NHQ5" s="2"/>
      <c r="NHR5" s="2"/>
      <c r="NHS5" s="2"/>
      <c r="NHT5" s="2"/>
      <c r="NHU5" s="2"/>
      <c r="NHV5" s="2"/>
      <c r="NHW5" s="2"/>
      <c r="NHX5" s="2"/>
      <c r="NHY5" s="2"/>
      <c r="NHZ5" s="2"/>
      <c r="NIA5" s="2"/>
      <c r="NIB5" s="2"/>
      <c r="NIC5" s="2"/>
      <c r="NID5" s="2"/>
      <c r="NIE5" s="2"/>
      <c r="NIF5" s="2"/>
      <c r="NIG5" s="2"/>
      <c r="NIH5" s="2"/>
      <c r="NII5" s="2"/>
      <c r="NIJ5" s="2"/>
      <c r="NIK5" s="2"/>
      <c r="NIL5" s="2"/>
      <c r="NIM5" s="2"/>
      <c r="NIN5" s="2"/>
      <c r="NIO5" s="2"/>
      <c r="NIP5" s="2"/>
      <c r="NIQ5" s="2"/>
      <c r="NIR5" s="2"/>
      <c r="NIS5" s="2"/>
      <c r="NIT5" s="2"/>
      <c r="NIU5" s="2"/>
      <c r="NIV5" s="2"/>
      <c r="NIW5" s="2"/>
      <c r="NIX5" s="2"/>
      <c r="NIY5" s="2"/>
      <c r="NIZ5" s="2"/>
      <c r="NJA5" s="2"/>
      <c r="NJB5" s="2"/>
      <c r="NJC5" s="2"/>
      <c r="NJD5" s="2"/>
      <c r="NJE5" s="2"/>
      <c r="NJF5" s="2"/>
      <c r="NJG5" s="2"/>
      <c r="NJH5" s="2"/>
      <c r="NJI5" s="2"/>
      <c r="NJJ5" s="2"/>
      <c r="NJK5" s="2"/>
      <c r="NJL5" s="2"/>
      <c r="NJM5" s="2"/>
      <c r="NJN5" s="2"/>
      <c r="NJO5" s="2"/>
      <c r="NJP5" s="2"/>
      <c r="NJQ5" s="2"/>
      <c r="NJR5" s="2"/>
      <c r="NJS5" s="2"/>
      <c r="NJT5" s="2"/>
      <c r="NJU5" s="2"/>
      <c r="NJV5" s="2"/>
      <c r="NJW5" s="2"/>
      <c r="NJX5" s="2"/>
      <c r="NJY5" s="2"/>
      <c r="NJZ5" s="2"/>
      <c r="NKA5" s="2"/>
      <c r="NKB5" s="2"/>
      <c r="NKC5" s="2"/>
      <c r="NKD5" s="2"/>
      <c r="NKE5" s="2"/>
      <c r="NKF5" s="2"/>
      <c r="NKG5" s="2"/>
      <c r="NKH5" s="2"/>
      <c r="NKI5" s="2"/>
      <c r="NKJ5" s="2"/>
      <c r="NKK5" s="2"/>
      <c r="NKL5" s="2"/>
      <c r="NKM5" s="2"/>
      <c r="NKN5" s="2"/>
      <c r="NKO5" s="2"/>
      <c r="NKP5" s="2"/>
      <c r="NKQ5" s="2"/>
      <c r="NKR5" s="2"/>
      <c r="NKS5" s="2"/>
      <c r="NKT5" s="2"/>
      <c r="NKU5" s="2"/>
      <c r="NKV5" s="2"/>
      <c r="NKW5" s="2"/>
      <c r="NKX5" s="2"/>
      <c r="NKY5" s="2"/>
      <c r="NKZ5" s="2"/>
      <c r="NLA5" s="2"/>
      <c r="NLB5" s="2"/>
      <c r="NLC5" s="2"/>
      <c r="NLD5" s="2"/>
      <c r="NLE5" s="2"/>
      <c r="NLF5" s="2"/>
      <c r="NLG5" s="2"/>
      <c r="NLH5" s="2"/>
      <c r="NLI5" s="2"/>
      <c r="NLJ5" s="2"/>
      <c r="NLK5" s="2"/>
      <c r="NLL5" s="2"/>
      <c r="NLM5" s="2"/>
      <c r="NLN5" s="2"/>
      <c r="NLO5" s="2"/>
      <c r="NLP5" s="2"/>
      <c r="NLQ5" s="2"/>
      <c r="NLR5" s="2"/>
      <c r="NLS5" s="2"/>
      <c r="NLT5" s="2"/>
      <c r="NLU5" s="2"/>
      <c r="NLV5" s="2"/>
      <c r="NLW5" s="2"/>
      <c r="NLX5" s="2"/>
      <c r="NLY5" s="2"/>
      <c r="NLZ5" s="2"/>
      <c r="NMA5" s="2"/>
      <c r="NMB5" s="2"/>
      <c r="NMC5" s="2"/>
      <c r="NMD5" s="2"/>
      <c r="NME5" s="2"/>
      <c r="NMF5" s="2"/>
      <c r="NMG5" s="2"/>
      <c r="NMH5" s="2"/>
      <c r="NMI5" s="2"/>
      <c r="NMJ5" s="2"/>
      <c r="NMK5" s="2"/>
      <c r="NML5" s="2"/>
      <c r="NMM5" s="2"/>
      <c r="NMN5" s="2"/>
      <c r="NMO5" s="2"/>
      <c r="NMP5" s="2"/>
      <c r="NMQ5" s="2"/>
      <c r="NMR5" s="2"/>
      <c r="NMS5" s="2"/>
      <c r="NMT5" s="2"/>
      <c r="NMU5" s="2"/>
      <c r="NMV5" s="2"/>
      <c r="NMW5" s="2"/>
      <c r="NMX5" s="2"/>
      <c r="NMY5" s="2"/>
      <c r="NMZ5" s="2"/>
      <c r="NNA5" s="2"/>
      <c r="NNB5" s="2"/>
      <c r="NNC5" s="2"/>
      <c r="NND5" s="2"/>
      <c r="NNE5" s="2"/>
      <c r="NNF5" s="2"/>
      <c r="NNG5" s="2"/>
      <c r="NNH5" s="2"/>
      <c r="NNI5" s="2"/>
      <c r="NNJ5" s="2"/>
      <c r="NNK5" s="2"/>
      <c r="NNL5" s="2"/>
      <c r="NNM5" s="2"/>
      <c r="NNN5" s="2"/>
      <c r="NNO5" s="2"/>
      <c r="NNP5" s="2"/>
      <c r="NNQ5" s="2"/>
      <c r="NNR5" s="2"/>
      <c r="NNS5" s="2"/>
      <c r="NNT5" s="2"/>
      <c r="NNU5" s="2"/>
      <c r="NNV5" s="2"/>
      <c r="NNW5" s="2"/>
      <c r="NNX5" s="2"/>
      <c r="NNY5" s="2"/>
      <c r="NNZ5" s="2"/>
      <c r="NOA5" s="2"/>
      <c r="NOB5" s="2"/>
      <c r="NOC5" s="2"/>
      <c r="NOD5" s="2"/>
      <c r="NOE5" s="2"/>
      <c r="NOF5" s="2"/>
      <c r="NOG5" s="2"/>
      <c r="NOH5" s="2"/>
      <c r="NOI5" s="2"/>
      <c r="NOJ5" s="2"/>
      <c r="NOK5" s="2"/>
      <c r="NOL5" s="2"/>
      <c r="NOM5" s="2"/>
      <c r="NON5" s="2"/>
      <c r="NOO5" s="2"/>
      <c r="NOP5" s="2"/>
      <c r="NOQ5" s="2"/>
      <c r="NOR5" s="2"/>
      <c r="NOS5" s="2"/>
      <c r="NOT5" s="2"/>
      <c r="NOU5" s="2"/>
      <c r="NOV5" s="2"/>
      <c r="NOW5" s="2"/>
      <c r="NOX5" s="2"/>
      <c r="NOY5" s="2"/>
      <c r="NOZ5" s="2"/>
      <c r="NPA5" s="2"/>
      <c r="NPB5" s="2"/>
      <c r="NPC5" s="2"/>
      <c r="NPD5" s="2"/>
      <c r="NPE5" s="2"/>
      <c r="NPF5" s="2"/>
      <c r="NPG5" s="2"/>
      <c r="NPH5" s="2"/>
      <c r="NPI5" s="2"/>
      <c r="NPJ5" s="2"/>
      <c r="NPK5" s="2"/>
      <c r="NPL5" s="2"/>
      <c r="NPM5" s="2"/>
      <c r="NPN5" s="2"/>
      <c r="NPO5" s="2"/>
      <c r="NPP5" s="2"/>
      <c r="NPQ5" s="2"/>
      <c r="NPR5" s="2"/>
      <c r="NPS5" s="2"/>
      <c r="NPT5" s="2"/>
      <c r="NPU5" s="2"/>
      <c r="NPV5" s="2"/>
      <c r="NPW5" s="2"/>
      <c r="NPX5" s="2"/>
      <c r="NPY5" s="2"/>
      <c r="NPZ5" s="2"/>
      <c r="NQA5" s="2"/>
      <c r="NQB5" s="2"/>
      <c r="NQC5" s="2"/>
      <c r="NQD5" s="2"/>
      <c r="NQE5" s="2"/>
      <c r="NQF5" s="2"/>
      <c r="NQG5" s="2"/>
      <c r="NQH5" s="2"/>
      <c r="NQI5" s="2"/>
      <c r="NQJ5" s="2"/>
      <c r="NQK5" s="2"/>
      <c r="NQL5" s="2"/>
      <c r="NQM5" s="2"/>
      <c r="NQN5" s="2"/>
      <c r="NQO5" s="2"/>
      <c r="NQP5" s="2"/>
      <c r="NQQ5" s="2"/>
      <c r="NQR5" s="2"/>
      <c r="NQS5" s="2"/>
      <c r="NQT5" s="2"/>
      <c r="NQU5" s="2"/>
      <c r="NQV5" s="2"/>
      <c r="NQW5" s="2"/>
      <c r="NQX5" s="2"/>
      <c r="NQY5" s="2"/>
      <c r="NQZ5" s="2"/>
      <c r="NRA5" s="2"/>
      <c r="NRB5" s="2"/>
      <c r="NRC5" s="2"/>
      <c r="NRD5" s="2"/>
      <c r="NRE5" s="2"/>
      <c r="NRF5" s="2"/>
      <c r="NRG5" s="2"/>
      <c r="NRH5" s="2"/>
      <c r="NRI5" s="2"/>
      <c r="NRJ5" s="2"/>
      <c r="NRK5" s="2"/>
      <c r="NRL5" s="2"/>
      <c r="NRM5" s="2"/>
      <c r="NRN5" s="2"/>
      <c r="NRO5" s="2"/>
      <c r="NRP5" s="2"/>
      <c r="NRQ5" s="2"/>
      <c r="NRR5" s="2"/>
      <c r="NRS5" s="2"/>
      <c r="NRT5" s="2"/>
      <c r="NRU5" s="2"/>
      <c r="NRV5" s="2"/>
      <c r="NRW5" s="2"/>
      <c r="NRX5" s="2"/>
      <c r="NRY5" s="2"/>
      <c r="NRZ5" s="2"/>
      <c r="NSA5" s="2"/>
      <c r="NSB5" s="2"/>
      <c r="NSC5" s="2"/>
      <c r="NSD5" s="2"/>
      <c r="NSE5" s="2"/>
      <c r="NSF5" s="2"/>
      <c r="NSG5" s="2"/>
      <c r="NSH5" s="2"/>
      <c r="NSI5" s="2"/>
      <c r="NSJ5" s="2"/>
      <c r="NSK5" s="2"/>
      <c r="NSL5" s="2"/>
      <c r="NSM5" s="2"/>
      <c r="NSN5" s="2"/>
      <c r="NSO5" s="2"/>
      <c r="NSP5" s="2"/>
      <c r="NSQ5" s="2"/>
      <c r="NSR5" s="2"/>
      <c r="NSS5" s="2"/>
      <c r="NST5" s="2"/>
      <c r="NSU5" s="2"/>
      <c r="NSV5" s="2"/>
      <c r="NSW5" s="2"/>
      <c r="NSX5" s="2"/>
      <c r="NSY5" s="2"/>
      <c r="NSZ5" s="2"/>
      <c r="NTA5" s="2"/>
      <c r="NTB5" s="2"/>
      <c r="NTC5" s="2"/>
      <c r="NTD5" s="2"/>
      <c r="NTE5" s="2"/>
      <c r="NTF5" s="2"/>
      <c r="NTG5" s="2"/>
      <c r="NTH5" s="2"/>
      <c r="NTI5" s="2"/>
      <c r="NTJ5" s="2"/>
      <c r="NTK5" s="2"/>
      <c r="NTL5" s="2"/>
      <c r="NTM5" s="2"/>
      <c r="NTN5" s="2"/>
      <c r="NTO5" s="2"/>
      <c r="NTP5" s="2"/>
      <c r="NTQ5" s="2"/>
      <c r="NTR5" s="2"/>
      <c r="NTS5" s="2"/>
      <c r="NTT5" s="2"/>
      <c r="NTU5" s="2"/>
      <c r="NTV5" s="2"/>
      <c r="NTW5" s="2"/>
      <c r="NTX5" s="2"/>
      <c r="NTY5" s="2"/>
      <c r="NTZ5" s="2"/>
      <c r="NUA5" s="2"/>
      <c r="NUB5" s="2"/>
      <c r="NUC5" s="2"/>
      <c r="NUD5" s="2"/>
      <c r="NUE5" s="2"/>
      <c r="NUF5" s="2"/>
      <c r="NUG5" s="2"/>
      <c r="NUH5" s="2"/>
      <c r="NUI5" s="2"/>
      <c r="NUJ5" s="2"/>
      <c r="NUK5" s="2"/>
      <c r="NUL5" s="2"/>
      <c r="NUM5" s="2"/>
      <c r="NUN5" s="2"/>
      <c r="NUO5" s="2"/>
      <c r="NUP5" s="2"/>
      <c r="NUQ5" s="2"/>
      <c r="NUR5" s="2"/>
      <c r="NUS5" s="2"/>
      <c r="NUT5" s="2"/>
      <c r="NUU5" s="2"/>
      <c r="NUV5" s="2"/>
      <c r="NUW5" s="2"/>
      <c r="NUX5" s="2"/>
      <c r="NUY5" s="2"/>
      <c r="NUZ5" s="2"/>
      <c r="NVA5" s="2"/>
      <c r="NVB5" s="2"/>
      <c r="NVC5" s="2"/>
      <c r="NVD5" s="2"/>
      <c r="NVE5" s="2"/>
      <c r="NVF5" s="2"/>
      <c r="NVG5" s="2"/>
      <c r="NVH5" s="2"/>
      <c r="NVI5" s="2"/>
      <c r="NVJ5" s="2"/>
      <c r="NVK5" s="2"/>
      <c r="NVL5" s="2"/>
      <c r="NVM5" s="2"/>
      <c r="NVN5" s="2"/>
      <c r="NVO5" s="2"/>
      <c r="NVP5" s="2"/>
      <c r="NVQ5" s="2"/>
      <c r="NVR5" s="2"/>
      <c r="NVS5" s="2"/>
      <c r="NVT5" s="2"/>
      <c r="NVU5" s="2"/>
      <c r="NVV5" s="2"/>
      <c r="NVW5" s="2"/>
      <c r="NVX5" s="2"/>
      <c r="NVY5" s="2"/>
      <c r="NVZ5" s="2"/>
      <c r="NWA5" s="2"/>
      <c r="NWB5" s="2"/>
      <c r="NWC5" s="2"/>
      <c r="NWD5" s="2"/>
      <c r="NWE5" s="2"/>
      <c r="NWF5" s="2"/>
      <c r="NWG5" s="2"/>
      <c r="NWH5" s="2"/>
      <c r="NWI5" s="2"/>
      <c r="NWJ5" s="2"/>
      <c r="NWK5" s="2"/>
      <c r="NWL5" s="2"/>
      <c r="NWM5" s="2"/>
      <c r="NWN5" s="2"/>
      <c r="NWO5" s="2"/>
      <c r="NWP5" s="2"/>
      <c r="NWQ5" s="2"/>
      <c r="NWR5" s="2"/>
      <c r="NWS5" s="2"/>
      <c r="NWT5" s="2"/>
      <c r="NWU5" s="2"/>
      <c r="NWV5" s="2"/>
      <c r="NWW5" s="2"/>
      <c r="NWX5" s="2"/>
      <c r="NWY5" s="2"/>
      <c r="NWZ5" s="2"/>
      <c r="NXA5" s="2"/>
      <c r="NXB5" s="2"/>
      <c r="NXC5" s="2"/>
      <c r="NXD5" s="2"/>
      <c r="NXE5" s="2"/>
      <c r="NXF5" s="2"/>
      <c r="NXG5" s="2"/>
      <c r="NXH5" s="2"/>
      <c r="NXI5" s="2"/>
      <c r="NXJ5" s="2"/>
      <c r="NXK5" s="2"/>
      <c r="NXL5" s="2"/>
      <c r="NXM5" s="2"/>
      <c r="NXN5" s="2"/>
      <c r="NXO5" s="2"/>
      <c r="NXP5" s="2"/>
      <c r="NXQ5" s="2"/>
      <c r="NXR5" s="2"/>
      <c r="NXS5" s="2"/>
      <c r="NXT5" s="2"/>
      <c r="NXU5" s="2"/>
      <c r="NXV5" s="2"/>
      <c r="NXW5" s="2"/>
      <c r="NXX5" s="2"/>
      <c r="NXY5" s="2"/>
      <c r="NXZ5" s="2"/>
      <c r="NYA5" s="2"/>
      <c r="NYB5" s="2"/>
      <c r="NYC5" s="2"/>
      <c r="NYD5" s="2"/>
      <c r="NYE5" s="2"/>
      <c r="NYF5" s="2"/>
      <c r="NYG5" s="2"/>
      <c r="NYH5" s="2"/>
      <c r="NYI5" s="2"/>
      <c r="NYJ5" s="2"/>
      <c r="NYK5" s="2"/>
      <c r="NYL5" s="2"/>
      <c r="NYM5" s="2"/>
      <c r="NYN5" s="2"/>
      <c r="NYO5" s="2"/>
      <c r="NYP5" s="2"/>
      <c r="NYQ5" s="2"/>
      <c r="NYR5" s="2"/>
      <c r="NYS5" s="2"/>
      <c r="NYT5" s="2"/>
      <c r="NYU5" s="2"/>
      <c r="NYV5" s="2"/>
      <c r="NYW5" s="2"/>
      <c r="NYX5" s="2"/>
      <c r="NYY5" s="2"/>
      <c r="NYZ5" s="2"/>
      <c r="NZA5" s="2"/>
      <c r="NZB5" s="2"/>
      <c r="NZC5" s="2"/>
      <c r="NZD5" s="2"/>
      <c r="NZE5" s="2"/>
      <c r="NZF5" s="2"/>
      <c r="NZG5" s="2"/>
      <c r="NZH5" s="2"/>
      <c r="NZI5" s="2"/>
      <c r="NZJ5" s="2"/>
      <c r="NZK5" s="2"/>
      <c r="NZL5" s="2"/>
      <c r="NZM5" s="2"/>
      <c r="NZN5" s="2"/>
      <c r="NZO5" s="2"/>
      <c r="NZP5" s="2"/>
      <c r="NZQ5" s="2"/>
      <c r="NZR5" s="2"/>
      <c r="NZS5" s="2"/>
      <c r="NZT5" s="2"/>
      <c r="NZU5" s="2"/>
      <c r="NZV5" s="2"/>
      <c r="NZW5" s="2"/>
      <c r="NZX5" s="2"/>
      <c r="NZY5" s="2"/>
      <c r="NZZ5" s="2"/>
      <c r="OAA5" s="2"/>
      <c r="OAB5" s="2"/>
      <c r="OAC5" s="2"/>
      <c r="OAD5" s="2"/>
      <c r="OAE5" s="2"/>
      <c r="OAF5" s="2"/>
      <c r="OAG5" s="2"/>
      <c r="OAH5" s="2"/>
      <c r="OAI5" s="2"/>
      <c r="OAJ5" s="2"/>
      <c r="OAK5" s="2"/>
      <c r="OAL5" s="2"/>
      <c r="OAM5" s="2"/>
      <c r="OAN5" s="2"/>
      <c r="OAO5" s="2"/>
      <c r="OAP5" s="2"/>
      <c r="OAQ5" s="2"/>
      <c r="OAR5" s="2"/>
      <c r="OAS5" s="2"/>
      <c r="OAT5" s="2"/>
      <c r="OAU5" s="2"/>
      <c r="OAV5" s="2"/>
      <c r="OAW5" s="2"/>
      <c r="OAX5" s="2"/>
      <c r="OAY5" s="2"/>
      <c r="OAZ5" s="2"/>
      <c r="OBA5" s="2"/>
      <c r="OBB5" s="2"/>
      <c r="OBC5" s="2"/>
      <c r="OBD5" s="2"/>
      <c r="OBE5" s="2"/>
      <c r="OBF5" s="2"/>
      <c r="OBG5" s="2"/>
      <c r="OBH5" s="2"/>
      <c r="OBI5" s="2"/>
      <c r="OBJ5" s="2"/>
      <c r="OBK5" s="2"/>
      <c r="OBL5" s="2"/>
      <c r="OBM5" s="2"/>
      <c r="OBN5" s="2"/>
      <c r="OBO5" s="2"/>
      <c r="OBP5" s="2"/>
      <c r="OBQ5" s="2"/>
      <c r="OBR5" s="2"/>
      <c r="OBS5" s="2"/>
      <c r="OBT5" s="2"/>
      <c r="OBU5" s="2"/>
      <c r="OBV5" s="2"/>
      <c r="OBW5" s="2"/>
      <c r="OBX5" s="2"/>
      <c r="OBY5" s="2"/>
      <c r="OBZ5" s="2"/>
      <c r="OCA5" s="2"/>
      <c r="OCB5" s="2"/>
      <c r="OCC5" s="2"/>
      <c r="OCD5" s="2"/>
      <c r="OCE5" s="2"/>
      <c r="OCF5" s="2"/>
      <c r="OCG5" s="2"/>
      <c r="OCH5" s="2"/>
      <c r="OCI5" s="2"/>
      <c r="OCJ5" s="2"/>
      <c r="OCK5" s="2"/>
      <c r="OCL5" s="2"/>
      <c r="OCM5" s="2"/>
      <c r="OCN5" s="2"/>
      <c r="OCO5" s="2"/>
      <c r="OCP5" s="2"/>
      <c r="OCQ5" s="2"/>
      <c r="OCR5" s="2"/>
      <c r="OCS5" s="2"/>
      <c r="OCT5" s="2"/>
      <c r="OCU5" s="2"/>
      <c r="OCV5" s="2"/>
      <c r="OCW5" s="2"/>
      <c r="OCX5" s="2"/>
      <c r="OCY5" s="2"/>
      <c r="OCZ5" s="2"/>
      <c r="ODA5" s="2"/>
      <c r="ODB5" s="2"/>
      <c r="ODC5" s="2"/>
      <c r="ODD5" s="2"/>
      <c r="ODE5" s="2"/>
      <c r="ODF5" s="2"/>
      <c r="ODG5" s="2"/>
      <c r="ODH5" s="2"/>
      <c r="ODI5" s="2"/>
      <c r="ODJ5" s="2"/>
      <c r="ODK5" s="2"/>
      <c r="ODL5" s="2"/>
      <c r="ODM5" s="2"/>
      <c r="ODN5" s="2"/>
      <c r="ODO5" s="2"/>
      <c r="ODP5" s="2"/>
      <c r="ODQ5" s="2"/>
      <c r="ODR5" s="2"/>
      <c r="ODS5" s="2"/>
      <c r="ODT5" s="2"/>
      <c r="ODU5" s="2"/>
      <c r="ODV5" s="2"/>
      <c r="ODW5" s="2"/>
      <c r="ODX5" s="2"/>
      <c r="ODY5" s="2"/>
      <c r="ODZ5" s="2"/>
      <c r="OEA5" s="2"/>
      <c r="OEB5" s="2"/>
      <c r="OEC5" s="2"/>
      <c r="OED5" s="2"/>
      <c r="OEE5" s="2"/>
      <c r="OEF5" s="2"/>
      <c r="OEG5" s="2"/>
      <c r="OEH5" s="2"/>
      <c r="OEI5" s="2"/>
      <c r="OEJ5" s="2"/>
      <c r="OEK5" s="2"/>
      <c r="OEL5" s="2"/>
      <c r="OEM5" s="2"/>
      <c r="OEN5" s="2"/>
      <c r="OEO5" s="2"/>
      <c r="OEP5" s="2"/>
      <c r="OEQ5" s="2"/>
      <c r="OER5" s="2"/>
      <c r="OES5" s="2"/>
      <c r="OET5" s="2"/>
      <c r="OEU5" s="2"/>
      <c r="OEV5" s="2"/>
      <c r="OEW5" s="2"/>
      <c r="OEX5" s="2"/>
      <c r="OEY5" s="2"/>
      <c r="OEZ5" s="2"/>
      <c r="OFA5" s="2"/>
      <c r="OFB5" s="2"/>
      <c r="OFC5" s="2"/>
      <c r="OFD5" s="2"/>
      <c r="OFE5" s="2"/>
      <c r="OFF5" s="2"/>
      <c r="OFG5" s="2"/>
      <c r="OFH5" s="2"/>
      <c r="OFI5" s="2"/>
      <c r="OFJ5" s="2"/>
      <c r="OFK5" s="2"/>
      <c r="OFL5" s="2"/>
      <c r="OFM5" s="2"/>
      <c r="OFN5" s="2"/>
      <c r="OFO5" s="2"/>
      <c r="OFP5" s="2"/>
      <c r="OFQ5" s="2"/>
      <c r="OFR5" s="2"/>
      <c r="OFS5" s="2"/>
      <c r="OFT5" s="2"/>
      <c r="OFU5" s="2"/>
      <c r="OFV5" s="2"/>
      <c r="OFW5" s="2"/>
      <c r="OFX5" s="2"/>
      <c r="OFY5" s="2"/>
      <c r="OFZ5" s="2"/>
      <c r="OGA5" s="2"/>
      <c r="OGB5" s="2"/>
      <c r="OGC5" s="2"/>
      <c r="OGD5" s="2"/>
      <c r="OGE5" s="2"/>
      <c r="OGF5" s="2"/>
      <c r="OGG5" s="2"/>
      <c r="OGH5" s="2"/>
      <c r="OGI5" s="2"/>
      <c r="OGJ5" s="2"/>
      <c r="OGK5" s="2"/>
      <c r="OGL5" s="2"/>
      <c r="OGM5" s="2"/>
      <c r="OGN5" s="2"/>
      <c r="OGO5" s="2"/>
      <c r="OGP5" s="2"/>
      <c r="OGQ5" s="2"/>
      <c r="OGR5" s="2"/>
      <c r="OGS5" s="2"/>
      <c r="OGT5" s="2"/>
      <c r="OGU5" s="2"/>
      <c r="OGV5" s="2"/>
      <c r="OGW5" s="2"/>
      <c r="OGX5" s="2"/>
      <c r="OGY5" s="2"/>
      <c r="OGZ5" s="2"/>
      <c r="OHA5" s="2"/>
      <c r="OHB5" s="2"/>
      <c r="OHC5" s="2"/>
      <c r="OHD5" s="2"/>
      <c r="OHE5" s="2"/>
      <c r="OHF5" s="2"/>
      <c r="OHG5" s="2"/>
      <c r="OHH5" s="2"/>
      <c r="OHI5" s="2"/>
      <c r="OHJ5" s="2"/>
      <c r="OHK5" s="2"/>
      <c r="OHL5" s="2"/>
      <c r="OHM5" s="2"/>
      <c r="OHN5" s="2"/>
      <c r="OHO5" s="2"/>
      <c r="OHP5" s="2"/>
      <c r="OHQ5" s="2"/>
      <c r="OHR5" s="2"/>
      <c r="OHS5" s="2"/>
      <c r="OHT5" s="2"/>
      <c r="OHU5" s="2"/>
      <c r="OHV5" s="2"/>
      <c r="OHW5" s="2"/>
      <c r="OHX5" s="2"/>
      <c r="OHY5" s="2"/>
      <c r="OHZ5" s="2"/>
      <c r="OIA5" s="2"/>
      <c r="OIB5" s="2"/>
      <c r="OIC5" s="2"/>
      <c r="OID5" s="2"/>
      <c r="OIE5" s="2"/>
      <c r="OIF5" s="2"/>
      <c r="OIG5" s="2"/>
      <c r="OIH5" s="2"/>
      <c r="OII5" s="2"/>
      <c r="OIJ5" s="2"/>
      <c r="OIK5" s="2"/>
      <c r="OIL5" s="2"/>
      <c r="OIM5" s="2"/>
      <c r="OIN5" s="2"/>
      <c r="OIO5" s="2"/>
      <c r="OIP5" s="2"/>
      <c r="OIQ5" s="2"/>
      <c r="OIR5" s="2"/>
      <c r="OIS5" s="2"/>
      <c r="OIT5" s="2"/>
      <c r="OIU5" s="2"/>
      <c r="OIV5" s="2"/>
      <c r="OIW5" s="2"/>
      <c r="OIX5" s="2"/>
      <c r="OIY5" s="2"/>
      <c r="OIZ5" s="2"/>
      <c r="OJA5" s="2"/>
      <c r="OJB5" s="2"/>
      <c r="OJC5" s="2"/>
      <c r="OJD5" s="2"/>
      <c r="OJE5" s="2"/>
      <c r="OJF5" s="2"/>
      <c r="OJG5" s="2"/>
      <c r="OJH5" s="2"/>
      <c r="OJI5" s="2"/>
      <c r="OJJ5" s="2"/>
      <c r="OJK5" s="2"/>
      <c r="OJL5" s="2"/>
      <c r="OJM5" s="2"/>
      <c r="OJN5" s="2"/>
      <c r="OJO5" s="2"/>
      <c r="OJP5" s="2"/>
      <c r="OJQ5" s="2"/>
      <c r="OJR5" s="2"/>
      <c r="OJS5" s="2"/>
      <c r="OJT5" s="2"/>
      <c r="OJU5" s="2"/>
      <c r="OJV5" s="2"/>
      <c r="OJW5" s="2"/>
      <c r="OJX5" s="2"/>
      <c r="OJY5" s="2"/>
      <c r="OJZ5" s="2"/>
      <c r="OKA5" s="2"/>
      <c r="OKB5" s="2"/>
      <c r="OKC5" s="2"/>
      <c r="OKD5" s="2"/>
      <c r="OKE5" s="2"/>
      <c r="OKF5" s="2"/>
      <c r="OKG5" s="2"/>
      <c r="OKH5" s="2"/>
      <c r="OKI5" s="2"/>
      <c r="OKJ5" s="2"/>
      <c r="OKK5" s="2"/>
      <c r="OKL5" s="2"/>
      <c r="OKM5" s="2"/>
      <c r="OKN5" s="2"/>
      <c r="OKO5" s="2"/>
      <c r="OKP5" s="2"/>
      <c r="OKQ5" s="2"/>
      <c r="OKR5" s="2"/>
      <c r="OKS5" s="2"/>
      <c r="OKT5" s="2"/>
      <c r="OKU5" s="2"/>
      <c r="OKV5" s="2"/>
      <c r="OKW5" s="2"/>
      <c r="OKX5" s="2"/>
      <c r="OKY5" s="2"/>
      <c r="OKZ5" s="2"/>
      <c r="OLA5" s="2"/>
      <c r="OLB5" s="2"/>
      <c r="OLC5" s="2"/>
      <c r="OLD5" s="2"/>
      <c r="OLE5" s="2"/>
      <c r="OLF5" s="2"/>
      <c r="OLG5" s="2"/>
      <c r="OLH5" s="2"/>
      <c r="OLI5" s="2"/>
      <c r="OLJ5" s="2"/>
      <c r="OLK5" s="2"/>
      <c r="OLL5" s="2"/>
      <c r="OLM5" s="2"/>
      <c r="OLN5" s="2"/>
      <c r="OLO5" s="2"/>
      <c r="OLP5" s="2"/>
      <c r="OLQ5" s="2"/>
      <c r="OLR5" s="2"/>
      <c r="OLS5" s="2"/>
      <c r="OLT5" s="2"/>
      <c r="OLU5" s="2"/>
      <c r="OLV5" s="2"/>
      <c r="OLW5" s="2"/>
      <c r="OLX5" s="2"/>
      <c r="OLY5" s="2"/>
      <c r="OLZ5" s="2"/>
      <c r="OMA5" s="2"/>
      <c r="OMB5" s="2"/>
      <c r="OMC5" s="2"/>
      <c r="OMD5" s="2"/>
      <c r="OME5" s="2"/>
      <c r="OMF5" s="2"/>
      <c r="OMG5" s="2"/>
      <c r="OMH5" s="2"/>
      <c r="OMI5" s="2"/>
      <c r="OMJ5" s="2"/>
      <c r="OMK5" s="2"/>
      <c r="OML5" s="2"/>
      <c r="OMM5" s="2"/>
      <c r="OMN5" s="2"/>
      <c r="OMO5" s="2"/>
      <c r="OMP5" s="2"/>
      <c r="OMQ5" s="2"/>
      <c r="OMR5" s="2"/>
      <c r="OMS5" s="2"/>
      <c r="OMT5" s="2"/>
      <c r="OMU5" s="2"/>
      <c r="OMV5" s="2"/>
      <c r="OMW5" s="2"/>
      <c r="OMX5" s="2"/>
      <c r="OMY5" s="2"/>
      <c r="OMZ5" s="2"/>
      <c r="ONA5" s="2"/>
      <c r="ONB5" s="2"/>
      <c r="ONC5" s="2"/>
      <c r="OND5" s="2"/>
      <c r="ONE5" s="2"/>
      <c r="ONF5" s="2"/>
      <c r="ONG5" s="2"/>
      <c r="ONH5" s="2"/>
      <c r="ONI5" s="2"/>
      <c r="ONJ5" s="2"/>
      <c r="ONK5" s="2"/>
      <c r="ONL5" s="2"/>
      <c r="ONM5" s="2"/>
      <c r="ONN5" s="2"/>
      <c r="ONO5" s="2"/>
      <c r="ONP5" s="2"/>
      <c r="ONQ5" s="2"/>
      <c r="ONR5" s="2"/>
      <c r="ONS5" s="2"/>
      <c r="ONT5" s="2"/>
      <c r="ONU5" s="2"/>
      <c r="ONV5" s="2"/>
      <c r="ONW5" s="2"/>
      <c r="ONX5" s="2"/>
      <c r="ONY5" s="2"/>
      <c r="ONZ5" s="2"/>
      <c r="OOA5" s="2"/>
      <c r="OOB5" s="2"/>
      <c r="OOC5" s="2"/>
      <c r="OOD5" s="2"/>
      <c r="OOE5" s="2"/>
      <c r="OOF5" s="2"/>
      <c r="OOG5" s="2"/>
      <c r="OOH5" s="2"/>
      <c r="OOI5" s="2"/>
      <c r="OOJ5" s="2"/>
      <c r="OOK5" s="2"/>
      <c r="OOL5" s="2"/>
      <c r="OOM5" s="2"/>
      <c r="OON5" s="2"/>
      <c r="OOO5" s="2"/>
      <c r="OOP5" s="2"/>
      <c r="OOQ5" s="2"/>
      <c r="OOR5" s="2"/>
      <c r="OOS5" s="2"/>
      <c r="OOT5" s="2"/>
      <c r="OOU5" s="2"/>
      <c r="OOV5" s="2"/>
      <c r="OOW5" s="2"/>
      <c r="OOX5" s="2"/>
      <c r="OOY5" s="2"/>
      <c r="OOZ5" s="2"/>
      <c r="OPA5" s="2"/>
      <c r="OPB5" s="2"/>
      <c r="OPC5" s="2"/>
      <c r="OPD5" s="2"/>
      <c r="OPE5" s="2"/>
      <c r="OPF5" s="2"/>
      <c r="OPG5" s="2"/>
      <c r="OPH5" s="2"/>
      <c r="OPI5" s="2"/>
      <c r="OPJ5" s="2"/>
      <c r="OPK5" s="2"/>
      <c r="OPL5" s="2"/>
      <c r="OPM5" s="2"/>
      <c r="OPN5" s="2"/>
      <c r="OPO5" s="2"/>
      <c r="OPP5" s="2"/>
      <c r="OPQ5" s="2"/>
      <c r="OPR5" s="2"/>
      <c r="OPS5" s="2"/>
      <c r="OPT5" s="2"/>
      <c r="OPU5" s="2"/>
      <c r="OPV5" s="2"/>
      <c r="OPW5" s="2"/>
      <c r="OPX5" s="2"/>
      <c r="OPY5" s="2"/>
      <c r="OPZ5" s="2"/>
      <c r="OQA5" s="2"/>
      <c r="OQB5" s="2"/>
      <c r="OQC5" s="2"/>
      <c r="OQD5" s="2"/>
      <c r="OQE5" s="2"/>
      <c r="OQF5" s="2"/>
      <c r="OQG5" s="2"/>
      <c r="OQH5" s="2"/>
      <c r="OQI5" s="2"/>
      <c r="OQJ5" s="2"/>
      <c r="OQK5" s="2"/>
      <c r="OQL5" s="2"/>
      <c r="OQM5" s="2"/>
      <c r="OQN5" s="2"/>
      <c r="OQO5" s="2"/>
      <c r="OQP5" s="2"/>
      <c r="OQQ5" s="2"/>
      <c r="OQR5" s="2"/>
      <c r="OQS5" s="2"/>
      <c r="OQT5" s="2"/>
      <c r="OQU5" s="2"/>
      <c r="OQV5" s="2"/>
      <c r="OQW5" s="2"/>
      <c r="OQX5" s="2"/>
      <c r="OQY5" s="2"/>
      <c r="OQZ5" s="2"/>
      <c r="ORA5" s="2"/>
      <c r="ORB5" s="2"/>
      <c r="ORC5" s="2"/>
      <c r="ORD5" s="2"/>
      <c r="ORE5" s="2"/>
      <c r="ORF5" s="2"/>
      <c r="ORG5" s="2"/>
      <c r="ORH5" s="2"/>
      <c r="ORI5" s="2"/>
      <c r="ORJ5" s="2"/>
      <c r="ORK5" s="2"/>
      <c r="ORL5" s="2"/>
      <c r="ORM5" s="2"/>
      <c r="ORN5" s="2"/>
      <c r="ORO5" s="2"/>
      <c r="ORP5" s="2"/>
      <c r="ORQ5" s="2"/>
      <c r="ORR5" s="2"/>
      <c r="ORS5" s="2"/>
      <c r="ORT5" s="2"/>
      <c r="ORU5" s="2"/>
      <c r="ORV5" s="2"/>
      <c r="ORW5" s="2"/>
      <c r="ORX5" s="2"/>
      <c r="ORY5" s="2"/>
      <c r="ORZ5" s="2"/>
      <c r="OSA5" s="2"/>
      <c r="OSB5" s="2"/>
      <c r="OSC5" s="2"/>
      <c r="OSD5" s="2"/>
      <c r="OSE5" s="2"/>
      <c r="OSF5" s="2"/>
      <c r="OSG5" s="2"/>
      <c r="OSH5" s="2"/>
      <c r="OSI5" s="2"/>
      <c r="OSJ5" s="2"/>
      <c r="OSK5" s="2"/>
      <c r="OSL5" s="2"/>
      <c r="OSM5" s="2"/>
      <c r="OSN5" s="2"/>
      <c r="OSO5" s="2"/>
      <c r="OSP5" s="2"/>
      <c r="OSQ5" s="2"/>
      <c r="OSR5" s="2"/>
      <c r="OSS5" s="2"/>
      <c r="OST5" s="2"/>
      <c r="OSU5" s="2"/>
      <c r="OSV5" s="2"/>
      <c r="OSW5" s="2"/>
      <c r="OSX5" s="2"/>
      <c r="OSY5" s="2"/>
      <c r="OSZ5" s="2"/>
      <c r="OTA5" s="2"/>
      <c r="OTB5" s="2"/>
      <c r="OTC5" s="2"/>
      <c r="OTD5" s="2"/>
      <c r="OTE5" s="2"/>
      <c r="OTF5" s="2"/>
      <c r="OTG5" s="2"/>
      <c r="OTH5" s="2"/>
      <c r="OTI5" s="2"/>
      <c r="OTJ5" s="2"/>
      <c r="OTK5" s="2"/>
      <c r="OTL5" s="2"/>
      <c r="OTM5" s="2"/>
      <c r="OTN5" s="2"/>
      <c r="OTO5" s="2"/>
      <c r="OTP5" s="2"/>
      <c r="OTQ5" s="2"/>
      <c r="OTR5" s="2"/>
      <c r="OTS5" s="2"/>
      <c r="OTT5" s="2"/>
      <c r="OTU5" s="2"/>
      <c r="OTV5" s="2"/>
      <c r="OTW5" s="2"/>
      <c r="OTX5" s="2"/>
      <c r="OTY5" s="2"/>
      <c r="OTZ5" s="2"/>
      <c r="OUA5" s="2"/>
      <c r="OUB5" s="2"/>
      <c r="OUC5" s="2"/>
      <c r="OUD5" s="2"/>
      <c r="OUE5" s="2"/>
      <c r="OUF5" s="2"/>
      <c r="OUG5" s="2"/>
      <c r="OUH5" s="2"/>
      <c r="OUI5" s="2"/>
      <c r="OUJ5" s="2"/>
      <c r="OUK5" s="2"/>
      <c r="OUL5" s="2"/>
      <c r="OUM5" s="2"/>
      <c r="OUN5" s="2"/>
      <c r="OUO5" s="2"/>
      <c r="OUP5" s="2"/>
      <c r="OUQ5" s="2"/>
      <c r="OUR5" s="2"/>
      <c r="OUS5" s="2"/>
      <c r="OUT5" s="2"/>
      <c r="OUU5" s="2"/>
      <c r="OUV5" s="2"/>
      <c r="OUW5" s="2"/>
      <c r="OUX5" s="2"/>
      <c r="OUY5" s="2"/>
      <c r="OUZ5" s="2"/>
      <c r="OVA5" s="2"/>
      <c r="OVB5" s="2"/>
      <c r="OVC5" s="2"/>
      <c r="OVD5" s="2"/>
      <c r="OVE5" s="2"/>
      <c r="OVF5" s="2"/>
      <c r="OVG5" s="2"/>
      <c r="OVH5" s="2"/>
      <c r="OVI5" s="2"/>
      <c r="OVJ5" s="2"/>
      <c r="OVK5" s="2"/>
      <c r="OVL5" s="2"/>
      <c r="OVM5" s="2"/>
      <c r="OVN5" s="2"/>
      <c r="OVO5" s="2"/>
      <c r="OVP5" s="2"/>
      <c r="OVQ5" s="2"/>
      <c r="OVR5" s="2"/>
      <c r="OVS5" s="2"/>
      <c r="OVT5" s="2"/>
      <c r="OVU5" s="2"/>
      <c r="OVV5" s="2"/>
      <c r="OVW5" s="2"/>
      <c r="OVX5" s="2"/>
      <c r="OVY5" s="2"/>
      <c r="OVZ5" s="2"/>
      <c r="OWA5" s="2"/>
      <c r="OWB5" s="2"/>
      <c r="OWC5" s="2"/>
      <c r="OWD5" s="2"/>
      <c r="OWE5" s="2"/>
      <c r="OWF5" s="2"/>
      <c r="OWG5" s="2"/>
      <c r="OWH5" s="2"/>
      <c r="OWI5" s="2"/>
      <c r="OWJ5" s="2"/>
      <c r="OWK5" s="2"/>
      <c r="OWL5" s="2"/>
      <c r="OWM5" s="2"/>
      <c r="OWN5" s="2"/>
      <c r="OWO5" s="2"/>
      <c r="OWP5" s="2"/>
      <c r="OWQ5" s="2"/>
      <c r="OWR5" s="2"/>
      <c r="OWS5" s="2"/>
      <c r="OWT5" s="2"/>
      <c r="OWU5" s="2"/>
      <c r="OWV5" s="2"/>
      <c r="OWW5" s="2"/>
      <c r="OWX5" s="2"/>
      <c r="OWY5" s="2"/>
      <c r="OWZ5" s="2"/>
      <c r="OXA5" s="2"/>
      <c r="OXB5" s="2"/>
      <c r="OXC5" s="2"/>
      <c r="OXD5" s="2"/>
      <c r="OXE5" s="2"/>
      <c r="OXF5" s="2"/>
      <c r="OXG5" s="2"/>
      <c r="OXH5" s="2"/>
      <c r="OXI5" s="2"/>
      <c r="OXJ5" s="2"/>
      <c r="OXK5" s="2"/>
      <c r="OXL5" s="2"/>
      <c r="OXM5" s="2"/>
      <c r="OXN5" s="2"/>
      <c r="OXO5" s="2"/>
      <c r="OXP5" s="2"/>
      <c r="OXQ5" s="2"/>
      <c r="OXR5" s="2"/>
      <c r="OXS5" s="2"/>
      <c r="OXT5" s="2"/>
      <c r="OXU5" s="2"/>
      <c r="OXV5" s="2"/>
      <c r="OXW5" s="2"/>
      <c r="OXX5" s="2"/>
      <c r="OXY5" s="2"/>
      <c r="OXZ5" s="2"/>
      <c r="OYA5" s="2"/>
      <c r="OYB5" s="2"/>
      <c r="OYC5" s="2"/>
      <c r="OYD5" s="2"/>
      <c r="OYE5" s="2"/>
      <c r="OYF5" s="2"/>
      <c r="OYG5" s="2"/>
      <c r="OYH5" s="2"/>
      <c r="OYI5" s="2"/>
      <c r="OYJ5" s="2"/>
      <c r="OYK5" s="2"/>
      <c r="OYL5" s="2"/>
      <c r="OYM5" s="2"/>
      <c r="OYN5" s="2"/>
      <c r="OYO5" s="2"/>
      <c r="OYP5" s="2"/>
      <c r="OYQ5" s="2"/>
      <c r="OYR5" s="2"/>
      <c r="OYS5" s="2"/>
      <c r="OYT5" s="2"/>
      <c r="OYU5" s="2"/>
      <c r="OYV5" s="2"/>
      <c r="OYW5" s="2"/>
      <c r="OYX5" s="2"/>
      <c r="OYY5" s="2"/>
      <c r="OYZ5" s="2"/>
      <c r="OZA5" s="2"/>
      <c r="OZB5" s="2"/>
      <c r="OZC5" s="2"/>
      <c r="OZD5" s="2"/>
      <c r="OZE5" s="2"/>
      <c r="OZF5" s="2"/>
      <c r="OZG5" s="2"/>
      <c r="OZH5" s="2"/>
      <c r="OZI5" s="2"/>
      <c r="OZJ5" s="2"/>
      <c r="OZK5" s="2"/>
      <c r="OZL5" s="2"/>
      <c r="OZM5" s="2"/>
      <c r="OZN5" s="2"/>
      <c r="OZO5" s="2"/>
      <c r="OZP5" s="2"/>
      <c r="OZQ5" s="2"/>
      <c r="OZR5" s="2"/>
      <c r="OZS5" s="2"/>
      <c r="OZT5" s="2"/>
      <c r="OZU5" s="2"/>
      <c r="OZV5" s="2"/>
      <c r="OZW5" s="2"/>
      <c r="OZX5" s="2"/>
      <c r="OZY5" s="2"/>
      <c r="OZZ5" s="2"/>
      <c r="PAA5" s="2"/>
      <c r="PAB5" s="2"/>
      <c r="PAC5" s="2"/>
      <c r="PAD5" s="2"/>
      <c r="PAE5" s="2"/>
      <c r="PAF5" s="2"/>
      <c r="PAG5" s="2"/>
      <c r="PAH5" s="2"/>
      <c r="PAI5" s="2"/>
      <c r="PAJ5" s="2"/>
      <c r="PAK5" s="2"/>
      <c r="PAL5" s="2"/>
      <c r="PAM5" s="2"/>
      <c r="PAN5" s="2"/>
      <c r="PAO5" s="2"/>
      <c r="PAP5" s="2"/>
      <c r="PAQ5" s="2"/>
      <c r="PAR5" s="2"/>
      <c r="PAS5" s="2"/>
      <c r="PAT5" s="2"/>
      <c r="PAU5" s="2"/>
      <c r="PAV5" s="2"/>
      <c r="PAW5" s="2"/>
      <c r="PAX5" s="2"/>
      <c r="PAY5" s="2"/>
      <c r="PAZ5" s="2"/>
      <c r="PBA5" s="2"/>
      <c r="PBB5" s="2"/>
      <c r="PBC5" s="2"/>
      <c r="PBD5" s="2"/>
      <c r="PBE5" s="2"/>
      <c r="PBF5" s="2"/>
      <c r="PBG5" s="2"/>
      <c r="PBH5" s="2"/>
      <c r="PBI5" s="2"/>
      <c r="PBJ5" s="2"/>
      <c r="PBK5" s="2"/>
      <c r="PBL5" s="2"/>
      <c r="PBM5" s="2"/>
      <c r="PBN5" s="2"/>
      <c r="PBO5" s="2"/>
      <c r="PBP5" s="2"/>
      <c r="PBQ5" s="2"/>
      <c r="PBR5" s="2"/>
      <c r="PBS5" s="2"/>
      <c r="PBT5" s="2"/>
      <c r="PBU5" s="2"/>
      <c r="PBV5" s="2"/>
      <c r="PBW5" s="2"/>
      <c r="PBX5" s="2"/>
      <c r="PBY5" s="2"/>
      <c r="PBZ5" s="2"/>
      <c r="PCA5" s="2"/>
      <c r="PCB5" s="2"/>
      <c r="PCC5" s="2"/>
      <c r="PCD5" s="2"/>
      <c r="PCE5" s="2"/>
      <c r="PCF5" s="2"/>
      <c r="PCG5" s="2"/>
      <c r="PCH5" s="2"/>
      <c r="PCI5" s="2"/>
      <c r="PCJ5" s="2"/>
      <c r="PCK5" s="2"/>
      <c r="PCL5" s="2"/>
      <c r="PCM5" s="2"/>
      <c r="PCN5" s="2"/>
      <c r="PCO5" s="2"/>
      <c r="PCP5" s="2"/>
      <c r="PCQ5" s="2"/>
      <c r="PCR5" s="2"/>
      <c r="PCS5" s="2"/>
      <c r="PCT5" s="2"/>
      <c r="PCU5" s="2"/>
      <c r="PCV5" s="2"/>
      <c r="PCW5" s="2"/>
      <c r="PCX5" s="2"/>
      <c r="PCY5" s="2"/>
      <c r="PCZ5" s="2"/>
      <c r="PDA5" s="2"/>
      <c r="PDB5" s="2"/>
      <c r="PDC5" s="2"/>
      <c r="PDD5" s="2"/>
      <c r="PDE5" s="2"/>
      <c r="PDF5" s="2"/>
      <c r="PDG5" s="2"/>
      <c r="PDH5" s="2"/>
      <c r="PDI5" s="2"/>
      <c r="PDJ5" s="2"/>
      <c r="PDK5" s="2"/>
      <c r="PDL5" s="2"/>
      <c r="PDM5" s="2"/>
      <c r="PDN5" s="2"/>
      <c r="PDO5" s="2"/>
      <c r="PDP5" s="2"/>
      <c r="PDQ5" s="2"/>
      <c r="PDR5" s="2"/>
      <c r="PDS5" s="2"/>
      <c r="PDT5" s="2"/>
      <c r="PDU5" s="2"/>
      <c r="PDV5" s="2"/>
      <c r="PDW5" s="2"/>
      <c r="PDX5" s="2"/>
      <c r="PDY5" s="2"/>
      <c r="PDZ5" s="2"/>
      <c r="PEA5" s="2"/>
      <c r="PEB5" s="2"/>
      <c r="PEC5" s="2"/>
      <c r="PED5" s="2"/>
      <c r="PEE5" s="2"/>
      <c r="PEF5" s="2"/>
      <c r="PEG5" s="2"/>
      <c r="PEH5" s="2"/>
      <c r="PEI5" s="2"/>
      <c r="PEJ5" s="2"/>
      <c r="PEK5" s="2"/>
      <c r="PEL5" s="2"/>
      <c r="PEM5" s="2"/>
      <c r="PEN5" s="2"/>
      <c r="PEO5" s="2"/>
      <c r="PEP5" s="2"/>
      <c r="PEQ5" s="2"/>
      <c r="PER5" s="2"/>
      <c r="PES5" s="2"/>
      <c r="PET5" s="2"/>
      <c r="PEU5" s="2"/>
      <c r="PEV5" s="2"/>
      <c r="PEW5" s="2"/>
      <c r="PEX5" s="2"/>
      <c r="PEY5" s="2"/>
      <c r="PEZ5" s="2"/>
      <c r="PFA5" s="2"/>
      <c r="PFB5" s="2"/>
      <c r="PFC5" s="2"/>
      <c r="PFD5" s="2"/>
      <c r="PFE5" s="2"/>
      <c r="PFF5" s="2"/>
      <c r="PFG5" s="2"/>
      <c r="PFH5" s="2"/>
      <c r="PFI5" s="2"/>
      <c r="PFJ5" s="2"/>
      <c r="PFK5" s="2"/>
      <c r="PFL5" s="2"/>
      <c r="PFM5" s="2"/>
      <c r="PFN5" s="2"/>
      <c r="PFO5" s="2"/>
      <c r="PFP5" s="2"/>
      <c r="PFQ5" s="2"/>
      <c r="PFR5" s="2"/>
      <c r="PFS5" s="2"/>
      <c r="PFT5" s="2"/>
      <c r="PFU5" s="2"/>
      <c r="PFV5" s="2"/>
      <c r="PFW5" s="2"/>
      <c r="PFX5" s="2"/>
      <c r="PFY5" s="2"/>
      <c r="PFZ5" s="2"/>
      <c r="PGA5" s="2"/>
      <c r="PGB5" s="2"/>
      <c r="PGC5" s="2"/>
      <c r="PGD5" s="2"/>
      <c r="PGE5" s="2"/>
      <c r="PGF5" s="2"/>
      <c r="PGG5" s="2"/>
      <c r="PGH5" s="2"/>
      <c r="PGI5" s="2"/>
      <c r="PGJ5" s="2"/>
      <c r="PGK5" s="2"/>
      <c r="PGL5" s="2"/>
      <c r="PGM5" s="2"/>
      <c r="PGN5" s="2"/>
      <c r="PGO5" s="2"/>
      <c r="PGP5" s="2"/>
      <c r="PGQ5" s="2"/>
      <c r="PGR5" s="2"/>
      <c r="PGS5" s="2"/>
      <c r="PGT5" s="2"/>
      <c r="PGU5" s="2"/>
      <c r="PGV5" s="2"/>
      <c r="PGW5" s="2"/>
      <c r="PGX5" s="2"/>
      <c r="PGY5" s="2"/>
      <c r="PGZ5" s="2"/>
      <c r="PHA5" s="2"/>
      <c r="PHB5" s="2"/>
      <c r="PHC5" s="2"/>
      <c r="PHD5" s="2"/>
      <c r="PHE5" s="2"/>
      <c r="PHF5" s="2"/>
      <c r="PHG5" s="2"/>
      <c r="PHH5" s="2"/>
      <c r="PHI5" s="2"/>
      <c r="PHJ5" s="2"/>
      <c r="PHK5" s="2"/>
      <c r="PHL5" s="2"/>
      <c r="PHM5" s="2"/>
      <c r="PHN5" s="2"/>
      <c r="PHO5" s="2"/>
      <c r="PHP5" s="2"/>
      <c r="PHQ5" s="2"/>
      <c r="PHR5" s="2"/>
      <c r="PHS5" s="2"/>
      <c r="PHT5" s="2"/>
      <c r="PHU5" s="2"/>
      <c r="PHV5" s="2"/>
      <c r="PHW5" s="2"/>
      <c r="PHX5" s="2"/>
      <c r="PHY5" s="2"/>
      <c r="PHZ5" s="2"/>
      <c r="PIA5" s="2"/>
      <c r="PIB5" s="2"/>
      <c r="PIC5" s="2"/>
      <c r="PID5" s="2"/>
      <c r="PIE5" s="2"/>
      <c r="PIF5" s="2"/>
      <c r="PIG5" s="2"/>
      <c r="PIH5" s="2"/>
      <c r="PII5" s="2"/>
      <c r="PIJ5" s="2"/>
      <c r="PIK5" s="2"/>
      <c r="PIL5" s="2"/>
      <c r="PIM5" s="2"/>
      <c r="PIN5" s="2"/>
      <c r="PIO5" s="2"/>
      <c r="PIP5" s="2"/>
      <c r="PIQ5" s="2"/>
      <c r="PIR5" s="2"/>
      <c r="PIS5" s="2"/>
      <c r="PIT5" s="2"/>
      <c r="PIU5" s="2"/>
      <c r="PIV5" s="2"/>
      <c r="PIW5" s="2"/>
      <c r="PIX5" s="2"/>
      <c r="PIY5" s="2"/>
      <c r="PIZ5" s="2"/>
      <c r="PJA5" s="2"/>
      <c r="PJB5" s="2"/>
      <c r="PJC5" s="2"/>
      <c r="PJD5" s="2"/>
      <c r="PJE5" s="2"/>
      <c r="PJF5" s="2"/>
      <c r="PJG5" s="2"/>
      <c r="PJH5" s="2"/>
      <c r="PJI5" s="2"/>
      <c r="PJJ5" s="2"/>
      <c r="PJK5" s="2"/>
      <c r="PJL5" s="2"/>
      <c r="PJM5" s="2"/>
      <c r="PJN5" s="2"/>
      <c r="PJO5" s="2"/>
      <c r="PJP5" s="2"/>
      <c r="PJQ5" s="2"/>
      <c r="PJR5" s="2"/>
      <c r="PJS5" s="2"/>
      <c r="PJT5" s="2"/>
      <c r="PJU5" s="2"/>
      <c r="PJV5" s="2"/>
      <c r="PJW5" s="2"/>
      <c r="PJX5" s="2"/>
      <c r="PJY5" s="2"/>
      <c r="PJZ5" s="2"/>
      <c r="PKA5" s="2"/>
      <c r="PKB5" s="2"/>
      <c r="PKC5" s="2"/>
      <c r="PKD5" s="2"/>
      <c r="PKE5" s="2"/>
      <c r="PKF5" s="2"/>
      <c r="PKG5" s="2"/>
      <c r="PKH5" s="2"/>
      <c r="PKI5" s="2"/>
      <c r="PKJ5" s="2"/>
      <c r="PKK5" s="2"/>
      <c r="PKL5" s="2"/>
      <c r="PKM5" s="2"/>
      <c r="PKN5" s="2"/>
      <c r="PKO5" s="2"/>
      <c r="PKP5" s="2"/>
      <c r="PKQ5" s="2"/>
      <c r="PKR5" s="2"/>
      <c r="PKS5" s="2"/>
      <c r="PKT5" s="2"/>
      <c r="PKU5" s="2"/>
      <c r="PKV5" s="2"/>
      <c r="PKW5" s="2"/>
      <c r="PKX5" s="2"/>
      <c r="PKY5" s="2"/>
      <c r="PKZ5" s="2"/>
      <c r="PLA5" s="2"/>
      <c r="PLB5" s="2"/>
      <c r="PLC5" s="2"/>
      <c r="PLD5" s="2"/>
      <c r="PLE5" s="2"/>
      <c r="PLF5" s="2"/>
      <c r="PLG5" s="2"/>
      <c r="PLH5" s="2"/>
      <c r="PLI5" s="2"/>
      <c r="PLJ5" s="2"/>
      <c r="PLK5" s="2"/>
      <c r="PLL5" s="2"/>
      <c r="PLM5" s="2"/>
      <c r="PLN5" s="2"/>
      <c r="PLO5" s="2"/>
      <c r="PLP5" s="2"/>
      <c r="PLQ5" s="2"/>
      <c r="PLR5" s="2"/>
      <c r="PLS5" s="2"/>
      <c r="PLT5" s="2"/>
      <c r="PLU5" s="2"/>
      <c r="PLV5" s="2"/>
      <c r="PLW5" s="2"/>
      <c r="PLX5" s="2"/>
      <c r="PLY5" s="2"/>
      <c r="PLZ5" s="2"/>
      <c r="PMA5" s="2"/>
      <c r="PMB5" s="2"/>
      <c r="PMC5" s="2"/>
      <c r="PMD5" s="2"/>
      <c r="PME5" s="2"/>
      <c r="PMF5" s="2"/>
      <c r="PMG5" s="2"/>
      <c r="PMH5" s="2"/>
      <c r="PMI5" s="2"/>
      <c r="PMJ5" s="2"/>
      <c r="PMK5" s="2"/>
      <c r="PML5" s="2"/>
      <c r="PMM5" s="2"/>
      <c r="PMN5" s="2"/>
      <c r="PMO5" s="2"/>
      <c r="PMP5" s="2"/>
      <c r="PMQ5" s="2"/>
      <c r="PMR5" s="2"/>
      <c r="PMS5" s="2"/>
      <c r="PMT5" s="2"/>
      <c r="PMU5" s="2"/>
      <c r="PMV5" s="2"/>
      <c r="PMW5" s="2"/>
      <c r="PMX5" s="2"/>
      <c r="PMY5" s="2"/>
      <c r="PMZ5" s="2"/>
      <c r="PNA5" s="2"/>
      <c r="PNB5" s="2"/>
      <c r="PNC5" s="2"/>
      <c r="PND5" s="2"/>
      <c r="PNE5" s="2"/>
      <c r="PNF5" s="2"/>
      <c r="PNG5" s="2"/>
      <c r="PNH5" s="2"/>
      <c r="PNI5" s="2"/>
      <c r="PNJ5" s="2"/>
      <c r="PNK5" s="2"/>
      <c r="PNL5" s="2"/>
      <c r="PNM5" s="2"/>
      <c r="PNN5" s="2"/>
      <c r="PNO5" s="2"/>
      <c r="PNP5" s="2"/>
      <c r="PNQ5" s="2"/>
      <c r="PNR5" s="2"/>
      <c r="PNS5" s="2"/>
      <c r="PNT5" s="2"/>
      <c r="PNU5" s="2"/>
      <c r="PNV5" s="2"/>
      <c r="PNW5" s="2"/>
      <c r="PNX5" s="2"/>
      <c r="PNY5" s="2"/>
      <c r="PNZ5" s="2"/>
      <c r="POA5" s="2"/>
      <c r="POB5" s="2"/>
      <c r="POC5" s="2"/>
      <c r="POD5" s="2"/>
      <c r="POE5" s="2"/>
      <c r="POF5" s="2"/>
      <c r="POG5" s="2"/>
      <c r="POH5" s="2"/>
      <c r="POI5" s="2"/>
      <c r="POJ5" s="2"/>
      <c r="POK5" s="2"/>
      <c r="POL5" s="2"/>
      <c r="POM5" s="2"/>
      <c r="PON5" s="2"/>
      <c r="POO5" s="2"/>
      <c r="POP5" s="2"/>
      <c r="POQ5" s="2"/>
      <c r="POR5" s="2"/>
      <c r="POS5" s="2"/>
      <c r="POT5" s="2"/>
      <c r="POU5" s="2"/>
      <c r="POV5" s="2"/>
      <c r="POW5" s="2"/>
      <c r="POX5" s="2"/>
      <c r="POY5" s="2"/>
      <c r="POZ5" s="2"/>
      <c r="PPA5" s="2"/>
      <c r="PPB5" s="2"/>
      <c r="PPC5" s="2"/>
      <c r="PPD5" s="2"/>
      <c r="PPE5" s="2"/>
      <c r="PPF5" s="2"/>
      <c r="PPG5" s="2"/>
      <c r="PPH5" s="2"/>
      <c r="PPI5" s="2"/>
      <c r="PPJ5" s="2"/>
      <c r="PPK5" s="2"/>
      <c r="PPL5" s="2"/>
      <c r="PPM5" s="2"/>
      <c r="PPN5" s="2"/>
      <c r="PPO5" s="2"/>
      <c r="PPP5" s="2"/>
      <c r="PPQ5" s="2"/>
      <c r="PPR5" s="2"/>
      <c r="PPS5" s="2"/>
      <c r="PPT5" s="2"/>
      <c r="PPU5" s="2"/>
      <c r="PPV5" s="2"/>
      <c r="PPW5" s="2"/>
      <c r="PPX5" s="2"/>
      <c r="PPY5" s="2"/>
      <c r="PPZ5" s="2"/>
      <c r="PQA5" s="2"/>
      <c r="PQB5" s="2"/>
      <c r="PQC5" s="2"/>
      <c r="PQD5" s="2"/>
      <c r="PQE5" s="2"/>
      <c r="PQF5" s="2"/>
      <c r="PQG5" s="2"/>
      <c r="PQH5" s="2"/>
      <c r="PQI5" s="2"/>
      <c r="PQJ5" s="2"/>
      <c r="PQK5" s="2"/>
      <c r="PQL5" s="2"/>
      <c r="PQM5" s="2"/>
      <c r="PQN5" s="2"/>
      <c r="PQO5" s="2"/>
      <c r="PQP5" s="2"/>
      <c r="PQQ5" s="2"/>
      <c r="PQR5" s="2"/>
      <c r="PQS5" s="2"/>
      <c r="PQT5" s="2"/>
      <c r="PQU5" s="2"/>
      <c r="PQV5" s="2"/>
      <c r="PQW5" s="2"/>
      <c r="PQX5" s="2"/>
      <c r="PQY5" s="2"/>
      <c r="PQZ5" s="2"/>
      <c r="PRA5" s="2"/>
      <c r="PRB5" s="2"/>
      <c r="PRC5" s="2"/>
      <c r="PRD5" s="2"/>
      <c r="PRE5" s="2"/>
      <c r="PRF5" s="2"/>
      <c r="PRG5" s="2"/>
      <c r="PRH5" s="2"/>
      <c r="PRI5" s="2"/>
      <c r="PRJ5" s="2"/>
      <c r="PRK5" s="2"/>
      <c r="PRL5" s="2"/>
      <c r="PRM5" s="2"/>
      <c r="PRN5" s="2"/>
      <c r="PRO5" s="2"/>
      <c r="PRP5" s="2"/>
      <c r="PRQ5" s="2"/>
      <c r="PRR5" s="2"/>
      <c r="PRS5" s="2"/>
      <c r="PRT5" s="2"/>
      <c r="PRU5" s="2"/>
      <c r="PRV5" s="2"/>
      <c r="PRW5" s="2"/>
      <c r="PRX5" s="2"/>
      <c r="PRY5" s="2"/>
      <c r="PRZ5" s="2"/>
      <c r="PSA5" s="2"/>
      <c r="PSB5" s="2"/>
      <c r="PSC5" s="2"/>
      <c r="PSD5" s="2"/>
      <c r="PSE5" s="2"/>
      <c r="PSF5" s="2"/>
      <c r="PSG5" s="2"/>
      <c r="PSH5" s="2"/>
      <c r="PSI5" s="2"/>
      <c r="PSJ5" s="2"/>
      <c r="PSK5" s="2"/>
      <c r="PSL5" s="2"/>
      <c r="PSM5" s="2"/>
      <c r="PSN5" s="2"/>
      <c r="PSO5" s="2"/>
      <c r="PSP5" s="2"/>
      <c r="PSQ5" s="2"/>
      <c r="PSR5" s="2"/>
      <c r="PSS5" s="2"/>
      <c r="PST5" s="2"/>
      <c r="PSU5" s="2"/>
      <c r="PSV5" s="2"/>
      <c r="PSW5" s="2"/>
      <c r="PSX5" s="2"/>
      <c r="PSY5" s="2"/>
      <c r="PSZ5" s="2"/>
      <c r="PTA5" s="2"/>
      <c r="PTB5" s="2"/>
      <c r="PTC5" s="2"/>
      <c r="PTD5" s="2"/>
      <c r="PTE5" s="2"/>
      <c r="PTF5" s="2"/>
      <c r="PTG5" s="2"/>
      <c r="PTH5" s="2"/>
      <c r="PTI5" s="2"/>
      <c r="PTJ5" s="2"/>
      <c r="PTK5" s="2"/>
      <c r="PTL5" s="2"/>
      <c r="PTM5" s="2"/>
      <c r="PTN5" s="2"/>
      <c r="PTO5" s="2"/>
      <c r="PTP5" s="2"/>
      <c r="PTQ5" s="2"/>
      <c r="PTR5" s="2"/>
      <c r="PTS5" s="2"/>
      <c r="PTT5" s="2"/>
      <c r="PTU5" s="2"/>
      <c r="PTV5" s="2"/>
      <c r="PTW5" s="2"/>
      <c r="PTX5" s="2"/>
      <c r="PTY5" s="2"/>
      <c r="PTZ5" s="2"/>
      <c r="PUA5" s="2"/>
      <c r="PUB5" s="2"/>
      <c r="PUC5" s="2"/>
      <c r="PUD5" s="2"/>
      <c r="PUE5" s="2"/>
      <c r="PUF5" s="2"/>
      <c r="PUG5" s="2"/>
      <c r="PUH5" s="2"/>
      <c r="PUI5" s="2"/>
      <c r="PUJ5" s="2"/>
      <c r="PUK5" s="2"/>
      <c r="PUL5" s="2"/>
      <c r="PUM5" s="2"/>
      <c r="PUN5" s="2"/>
      <c r="PUO5" s="2"/>
      <c r="PUP5" s="2"/>
      <c r="PUQ5" s="2"/>
      <c r="PUR5" s="2"/>
      <c r="PUS5" s="2"/>
      <c r="PUT5" s="2"/>
      <c r="PUU5" s="2"/>
      <c r="PUV5" s="2"/>
      <c r="PUW5" s="2"/>
      <c r="PUX5" s="2"/>
      <c r="PUY5" s="2"/>
      <c r="PUZ5" s="2"/>
      <c r="PVA5" s="2"/>
      <c r="PVB5" s="2"/>
      <c r="PVC5" s="2"/>
      <c r="PVD5" s="2"/>
      <c r="PVE5" s="2"/>
      <c r="PVF5" s="2"/>
      <c r="PVG5" s="2"/>
      <c r="PVH5" s="2"/>
      <c r="PVI5" s="2"/>
      <c r="PVJ5" s="2"/>
      <c r="PVK5" s="2"/>
      <c r="PVL5" s="2"/>
      <c r="PVM5" s="2"/>
      <c r="PVN5" s="2"/>
      <c r="PVO5" s="2"/>
      <c r="PVP5" s="2"/>
      <c r="PVQ5" s="2"/>
      <c r="PVR5" s="2"/>
      <c r="PVS5" s="2"/>
      <c r="PVT5" s="2"/>
      <c r="PVU5" s="2"/>
      <c r="PVV5" s="2"/>
      <c r="PVW5" s="2"/>
      <c r="PVX5" s="2"/>
      <c r="PVY5" s="2"/>
      <c r="PVZ5" s="2"/>
      <c r="PWA5" s="2"/>
      <c r="PWB5" s="2"/>
      <c r="PWC5" s="2"/>
      <c r="PWD5" s="2"/>
      <c r="PWE5" s="2"/>
      <c r="PWF5" s="2"/>
      <c r="PWG5" s="2"/>
      <c r="PWH5" s="2"/>
      <c r="PWI5" s="2"/>
      <c r="PWJ5" s="2"/>
      <c r="PWK5" s="2"/>
      <c r="PWL5" s="2"/>
      <c r="PWM5" s="2"/>
      <c r="PWN5" s="2"/>
      <c r="PWO5" s="2"/>
      <c r="PWP5" s="2"/>
      <c r="PWQ5" s="2"/>
      <c r="PWR5" s="2"/>
      <c r="PWS5" s="2"/>
      <c r="PWT5" s="2"/>
      <c r="PWU5" s="2"/>
      <c r="PWV5" s="2"/>
      <c r="PWW5" s="2"/>
      <c r="PWX5" s="2"/>
      <c r="PWY5" s="2"/>
      <c r="PWZ5" s="2"/>
      <c r="PXA5" s="2"/>
      <c r="PXB5" s="2"/>
      <c r="PXC5" s="2"/>
      <c r="PXD5" s="2"/>
      <c r="PXE5" s="2"/>
      <c r="PXF5" s="2"/>
      <c r="PXG5" s="2"/>
      <c r="PXH5" s="2"/>
      <c r="PXI5" s="2"/>
      <c r="PXJ5" s="2"/>
      <c r="PXK5" s="2"/>
      <c r="PXL5" s="2"/>
      <c r="PXM5" s="2"/>
      <c r="PXN5" s="2"/>
      <c r="PXO5" s="2"/>
      <c r="PXP5" s="2"/>
      <c r="PXQ5" s="2"/>
      <c r="PXR5" s="2"/>
      <c r="PXS5" s="2"/>
      <c r="PXT5" s="2"/>
      <c r="PXU5" s="2"/>
      <c r="PXV5" s="2"/>
      <c r="PXW5" s="2"/>
      <c r="PXX5" s="2"/>
      <c r="PXY5" s="2"/>
      <c r="PXZ5" s="2"/>
      <c r="PYA5" s="2"/>
      <c r="PYB5" s="2"/>
      <c r="PYC5" s="2"/>
      <c r="PYD5" s="2"/>
      <c r="PYE5" s="2"/>
      <c r="PYF5" s="2"/>
      <c r="PYG5" s="2"/>
      <c r="PYH5" s="2"/>
      <c r="PYI5" s="2"/>
      <c r="PYJ5" s="2"/>
      <c r="PYK5" s="2"/>
      <c r="PYL5" s="2"/>
      <c r="PYM5" s="2"/>
      <c r="PYN5" s="2"/>
      <c r="PYO5" s="2"/>
      <c r="PYP5" s="2"/>
      <c r="PYQ5" s="2"/>
      <c r="PYR5" s="2"/>
      <c r="PYS5" s="2"/>
      <c r="PYT5" s="2"/>
      <c r="PYU5" s="2"/>
      <c r="PYV5" s="2"/>
      <c r="PYW5" s="2"/>
      <c r="PYX5" s="2"/>
      <c r="PYY5" s="2"/>
      <c r="PYZ5" s="2"/>
      <c r="PZA5" s="2"/>
      <c r="PZB5" s="2"/>
      <c r="PZC5" s="2"/>
      <c r="PZD5" s="2"/>
      <c r="PZE5" s="2"/>
      <c r="PZF5" s="2"/>
      <c r="PZG5" s="2"/>
      <c r="PZH5" s="2"/>
      <c r="PZI5" s="2"/>
      <c r="PZJ5" s="2"/>
      <c r="PZK5" s="2"/>
      <c r="PZL5" s="2"/>
      <c r="PZM5" s="2"/>
      <c r="PZN5" s="2"/>
      <c r="PZO5" s="2"/>
      <c r="PZP5" s="2"/>
      <c r="PZQ5" s="2"/>
      <c r="PZR5" s="2"/>
      <c r="PZS5" s="2"/>
      <c r="PZT5" s="2"/>
      <c r="PZU5" s="2"/>
      <c r="PZV5" s="2"/>
      <c r="PZW5" s="2"/>
      <c r="PZX5" s="2"/>
      <c r="PZY5" s="2"/>
      <c r="PZZ5" s="2"/>
      <c r="QAA5" s="2"/>
      <c r="QAB5" s="2"/>
      <c r="QAC5" s="2"/>
      <c r="QAD5" s="2"/>
      <c r="QAE5" s="2"/>
      <c r="QAF5" s="2"/>
      <c r="QAG5" s="2"/>
      <c r="QAH5" s="2"/>
      <c r="QAI5" s="2"/>
      <c r="QAJ5" s="2"/>
      <c r="QAK5" s="2"/>
      <c r="QAL5" s="2"/>
      <c r="QAM5" s="2"/>
      <c r="QAN5" s="2"/>
      <c r="QAO5" s="2"/>
      <c r="QAP5" s="2"/>
      <c r="QAQ5" s="2"/>
      <c r="QAR5" s="2"/>
      <c r="QAS5" s="2"/>
      <c r="QAT5" s="2"/>
      <c r="QAU5" s="2"/>
      <c r="QAV5" s="2"/>
      <c r="QAW5" s="2"/>
      <c r="QAX5" s="2"/>
      <c r="QAY5" s="2"/>
      <c r="QAZ5" s="2"/>
      <c r="QBA5" s="2"/>
      <c r="QBB5" s="2"/>
      <c r="QBC5" s="2"/>
      <c r="QBD5" s="2"/>
      <c r="QBE5" s="2"/>
      <c r="QBF5" s="2"/>
      <c r="QBG5" s="2"/>
      <c r="QBH5" s="2"/>
      <c r="QBI5" s="2"/>
      <c r="QBJ5" s="2"/>
      <c r="QBK5" s="2"/>
      <c r="QBL5" s="2"/>
      <c r="QBM5" s="2"/>
      <c r="QBN5" s="2"/>
      <c r="QBO5" s="2"/>
      <c r="QBP5" s="2"/>
      <c r="QBQ5" s="2"/>
      <c r="QBR5" s="2"/>
      <c r="QBS5" s="2"/>
      <c r="QBT5" s="2"/>
      <c r="QBU5" s="2"/>
      <c r="QBV5" s="2"/>
      <c r="QBW5" s="2"/>
      <c r="QBX5" s="2"/>
      <c r="QBY5" s="2"/>
      <c r="QBZ5" s="2"/>
      <c r="QCA5" s="2"/>
      <c r="QCB5" s="2"/>
      <c r="QCC5" s="2"/>
      <c r="QCD5" s="2"/>
      <c r="QCE5" s="2"/>
      <c r="QCF5" s="2"/>
      <c r="QCG5" s="2"/>
      <c r="QCH5" s="2"/>
      <c r="QCI5" s="2"/>
      <c r="QCJ5" s="2"/>
      <c r="QCK5" s="2"/>
      <c r="QCL5" s="2"/>
      <c r="QCM5" s="2"/>
      <c r="QCN5" s="2"/>
      <c r="QCO5" s="2"/>
      <c r="QCP5" s="2"/>
      <c r="QCQ5" s="2"/>
      <c r="QCR5" s="2"/>
      <c r="QCS5" s="2"/>
      <c r="QCT5" s="2"/>
      <c r="QCU5" s="2"/>
      <c r="QCV5" s="2"/>
      <c r="QCW5" s="2"/>
      <c r="QCX5" s="2"/>
      <c r="QCY5" s="2"/>
      <c r="QCZ5" s="2"/>
      <c r="QDA5" s="2"/>
      <c r="QDB5" s="2"/>
      <c r="QDC5" s="2"/>
      <c r="QDD5" s="2"/>
      <c r="QDE5" s="2"/>
      <c r="QDF5" s="2"/>
      <c r="QDG5" s="2"/>
      <c r="QDH5" s="2"/>
      <c r="QDI5" s="2"/>
      <c r="QDJ5" s="2"/>
      <c r="QDK5" s="2"/>
      <c r="QDL5" s="2"/>
      <c r="QDM5" s="2"/>
      <c r="QDN5" s="2"/>
      <c r="QDO5" s="2"/>
      <c r="QDP5" s="2"/>
      <c r="QDQ5" s="2"/>
      <c r="QDR5" s="2"/>
      <c r="QDS5" s="2"/>
      <c r="QDT5" s="2"/>
      <c r="QDU5" s="2"/>
      <c r="QDV5" s="2"/>
      <c r="QDW5" s="2"/>
      <c r="QDX5" s="2"/>
      <c r="QDY5" s="2"/>
      <c r="QDZ5" s="2"/>
      <c r="QEA5" s="2"/>
      <c r="QEB5" s="2"/>
      <c r="QEC5" s="2"/>
      <c r="QED5" s="2"/>
      <c r="QEE5" s="2"/>
      <c r="QEF5" s="2"/>
      <c r="QEG5" s="2"/>
      <c r="QEH5" s="2"/>
      <c r="QEI5" s="2"/>
      <c r="QEJ5" s="2"/>
      <c r="QEK5" s="2"/>
      <c r="QEL5" s="2"/>
      <c r="QEM5" s="2"/>
      <c r="QEN5" s="2"/>
      <c r="QEO5" s="2"/>
      <c r="QEP5" s="2"/>
      <c r="QEQ5" s="2"/>
      <c r="QER5" s="2"/>
      <c r="QES5" s="2"/>
      <c r="QET5" s="2"/>
      <c r="QEU5" s="2"/>
      <c r="QEV5" s="2"/>
      <c r="QEW5" s="2"/>
      <c r="QEX5" s="2"/>
      <c r="QEY5" s="2"/>
      <c r="QEZ5" s="2"/>
      <c r="QFA5" s="2"/>
      <c r="QFB5" s="2"/>
      <c r="QFC5" s="2"/>
      <c r="QFD5" s="2"/>
      <c r="QFE5" s="2"/>
      <c r="QFF5" s="2"/>
      <c r="QFG5" s="2"/>
      <c r="QFH5" s="2"/>
      <c r="QFI5" s="2"/>
      <c r="QFJ5" s="2"/>
      <c r="QFK5" s="2"/>
      <c r="QFL5" s="2"/>
      <c r="QFM5" s="2"/>
      <c r="QFN5" s="2"/>
      <c r="QFO5" s="2"/>
      <c r="QFP5" s="2"/>
      <c r="QFQ5" s="2"/>
      <c r="QFR5" s="2"/>
      <c r="QFS5" s="2"/>
      <c r="QFT5" s="2"/>
      <c r="QFU5" s="2"/>
      <c r="QFV5" s="2"/>
      <c r="QFW5" s="2"/>
      <c r="QFX5" s="2"/>
      <c r="QFY5" s="2"/>
      <c r="QFZ5" s="2"/>
      <c r="QGA5" s="2"/>
      <c r="QGB5" s="2"/>
      <c r="QGC5" s="2"/>
      <c r="QGD5" s="2"/>
      <c r="QGE5" s="2"/>
      <c r="QGF5" s="2"/>
      <c r="QGG5" s="2"/>
      <c r="QGH5" s="2"/>
      <c r="QGI5" s="2"/>
      <c r="QGJ5" s="2"/>
      <c r="QGK5" s="2"/>
      <c r="QGL5" s="2"/>
      <c r="QGM5" s="2"/>
      <c r="QGN5" s="2"/>
      <c r="QGO5" s="2"/>
      <c r="QGP5" s="2"/>
      <c r="QGQ5" s="2"/>
      <c r="QGR5" s="2"/>
      <c r="QGS5" s="2"/>
      <c r="QGT5" s="2"/>
      <c r="QGU5" s="2"/>
      <c r="QGV5" s="2"/>
      <c r="QGW5" s="2"/>
      <c r="QGX5" s="2"/>
      <c r="QGY5" s="2"/>
      <c r="QGZ5" s="2"/>
      <c r="QHA5" s="2"/>
      <c r="QHB5" s="2"/>
      <c r="QHC5" s="2"/>
      <c r="QHD5" s="2"/>
      <c r="QHE5" s="2"/>
      <c r="QHF5" s="2"/>
      <c r="QHG5" s="2"/>
      <c r="QHH5" s="2"/>
      <c r="QHI5" s="2"/>
      <c r="QHJ5" s="2"/>
      <c r="QHK5" s="2"/>
      <c r="QHL5" s="2"/>
      <c r="QHM5" s="2"/>
      <c r="QHN5" s="2"/>
      <c r="QHO5" s="2"/>
      <c r="QHP5" s="2"/>
      <c r="QHQ5" s="2"/>
      <c r="QHR5" s="2"/>
      <c r="QHS5" s="2"/>
      <c r="QHT5" s="2"/>
      <c r="QHU5" s="2"/>
      <c r="QHV5" s="2"/>
      <c r="QHW5" s="2"/>
      <c r="QHX5" s="2"/>
      <c r="QHY5" s="2"/>
      <c r="QHZ5" s="2"/>
      <c r="QIA5" s="2"/>
      <c r="QIB5" s="2"/>
      <c r="QIC5" s="2"/>
      <c r="QID5" s="2"/>
      <c r="QIE5" s="2"/>
      <c r="QIF5" s="2"/>
      <c r="QIG5" s="2"/>
      <c r="QIH5" s="2"/>
      <c r="QII5" s="2"/>
      <c r="QIJ5" s="2"/>
      <c r="QIK5" s="2"/>
      <c r="QIL5" s="2"/>
      <c r="QIM5" s="2"/>
      <c r="QIN5" s="2"/>
      <c r="QIO5" s="2"/>
      <c r="QIP5" s="2"/>
      <c r="QIQ5" s="2"/>
      <c r="QIR5" s="2"/>
      <c r="QIS5" s="2"/>
      <c r="QIT5" s="2"/>
      <c r="QIU5" s="2"/>
      <c r="QIV5" s="2"/>
      <c r="QIW5" s="2"/>
      <c r="QIX5" s="2"/>
      <c r="QIY5" s="2"/>
      <c r="QIZ5" s="2"/>
      <c r="QJA5" s="2"/>
      <c r="QJB5" s="2"/>
      <c r="QJC5" s="2"/>
      <c r="QJD5" s="2"/>
      <c r="QJE5" s="2"/>
      <c r="QJF5" s="2"/>
      <c r="QJG5" s="2"/>
      <c r="QJH5" s="2"/>
      <c r="QJI5" s="2"/>
      <c r="QJJ5" s="2"/>
      <c r="QJK5" s="2"/>
      <c r="QJL5" s="2"/>
      <c r="QJM5" s="2"/>
      <c r="QJN5" s="2"/>
      <c r="QJO5" s="2"/>
      <c r="QJP5" s="2"/>
      <c r="QJQ5" s="2"/>
      <c r="QJR5" s="2"/>
      <c r="QJS5" s="2"/>
      <c r="QJT5" s="2"/>
      <c r="QJU5" s="2"/>
      <c r="QJV5" s="2"/>
      <c r="QJW5" s="2"/>
      <c r="QJX5" s="2"/>
      <c r="QJY5" s="2"/>
      <c r="QJZ5" s="2"/>
      <c r="QKA5" s="2"/>
      <c r="QKB5" s="2"/>
      <c r="QKC5" s="2"/>
      <c r="QKD5" s="2"/>
      <c r="QKE5" s="2"/>
      <c r="QKF5" s="2"/>
      <c r="QKG5" s="2"/>
      <c r="QKH5" s="2"/>
      <c r="QKI5" s="2"/>
      <c r="QKJ5" s="2"/>
      <c r="QKK5" s="2"/>
      <c r="QKL5" s="2"/>
      <c r="QKM5" s="2"/>
      <c r="QKN5" s="2"/>
      <c r="QKO5" s="2"/>
      <c r="QKP5" s="2"/>
      <c r="QKQ5" s="2"/>
      <c r="QKR5" s="2"/>
      <c r="QKS5" s="2"/>
      <c r="QKT5" s="2"/>
      <c r="QKU5" s="2"/>
      <c r="QKV5" s="2"/>
      <c r="QKW5" s="2"/>
      <c r="QKX5" s="2"/>
      <c r="QKY5" s="2"/>
      <c r="QKZ5" s="2"/>
      <c r="QLA5" s="2"/>
      <c r="QLB5" s="2"/>
      <c r="QLC5" s="2"/>
      <c r="QLD5" s="2"/>
      <c r="QLE5" s="2"/>
      <c r="QLF5" s="2"/>
      <c r="QLG5" s="2"/>
      <c r="QLH5" s="2"/>
      <c r="QLI5" s="2"/>
      <c r="QLJ5" s="2"/>
      <c r="QLK5" s="2"/>
      <c r="QLL5" s="2"/>
      <c r="QLM5" s="2"/>
      <c r="QLN5" s="2"/>
      <c r="QLO5" s="2"/>
      <c r="QLP5" s="2"/>
      <c r="QLQ5" s="2"/>
      <c r="QLR5" s="2"/>
      <c r="QLS5" s="2"/>
      <c r="QLT5" s="2"/>
      <c r="QLU5" s="2"/>
      <c r="QLV5" s="2"/>
      <c r="QLW5" s="2"/>
      <c r="QLX5" s="2"/>
      <c r="QLY5" s="2"/>
      <c r="QLZ5" s="2"/>
      <c r="QMA5" s="2"/>
      <c r="QMB5" s="2"/>
      <c r="QMC5" s="2"/>
      <c r="QMD5" s="2"/>
      <c r="QME5" s="2"/>
      <c r="QMF5" s="2"/>
      <c r="QMG5" s="2"/>
      <c r="QMH5" s="2"/>
      <c r="QMI5" s="2"/>
      <c r="QMJ5" s="2"/>
      <c r="QMK5" s="2"/>
      <c r="QML5" s="2"/>
      <c r="QMM5" s="2"/>
      <c r="QMN5" s="2"/>
      <c r="QMO5" s="2"/>
      <c r="QMP5" s="2"/>
      <c r="QMQ5" s="2"/>
      <c r="QMR5" s="2"/>
      <c r="QMS5" s="2"/>
      <c r="QMT5" s="2"/>
      <c r="QMU5" s="2"/>
      <c r="QMV5" s="2"/>
      <c r="QMW5" s="2"/>
      <c r="QMX5" s="2"/>
      <c r="QMY5" s="2"/>
      <c r="QMZ5" s="2"/>
      <c r="QNA5" s="2"/>
      <c r="QNB5" s="2"/>
      <c r="QNC5" s="2"/>
      <c r="QND5" s="2"/>
      <c r="QNE5" s="2"/>
      <c r="QNF5" s="2"/>
      <c r="QNG5" s="2"/>
      <c r="QNH5" s="2"/>
      <c r="QNI5" s="2"/>
      <c r="QNJ5" s="2"/>
      <c r="QNK5" s="2"/>
      <c r="QNL5" s="2"/>
      <c r="QNM5" s="2"/>
      <c r="QNN5" s="2"/>
      <c r="QNO5" s="2"/>
      <c r="QNP5" s="2"/>
      <c r="QNQ5" s="2"/>
      <c r="QNR5" s="2"/>
      <c r="QNS5" s="2"/>
      <c r="QNT5" s="2"/>
      <c r="QNU5" s="2"/>
      <c r="QNV5" s="2"/>
      <c r="QNW5" s="2"/>
      <c r="QNX5" s="2"/>
      <c r="QNY5" s="2"/>
      <c r="QNZ5" s="2"/>
      <c r="QOA5" s="2"/>
      <c r="QOB5" s="2"/>
      <c r="QOC5" s="2"/>
      <c r="QOD5" s="2"/>
      <c r="QOE5" s="2"/>
      <c r="QOF5" s="2"/>
      <c r="QOG5" s="2"/>
      <c r="QOH5" s="2"/>
      <c r="QOI5" s="2"/>
      <c r="QOJ5" s="2"/>
      <c r="QOK5" s="2"/>
      <c r="QOL5" s="2"/>
      <c r="QOM5" s="2"/>
      <c r="QON5" s="2"/>
      <c r="QOO5" s="2"/>
      <c r="QOP5" s="2"/>
      <c r="QOQ5" s="2"/>
      <c r="QOR5" s="2"/>
      <c r="QOS5" s="2"/>
      <c r="QOT5" s="2"/>
      <c r="QOU5" s="2"/>
      <c r="QOV5" s="2"/>
      <c r="QOW5" s="2"/>
      <c r="QOX5" s="2"/>
      <c r="QOY5" s="2"/>
      <c r="QOZ5" s="2"/>
      <c r="QPA5" s="2"/>
      <c r="QPB5" s="2"/>
      <c r="QPC5" s="2"/>
      <c r="QPD5" s="2"/>
      <c r="QPE5" s="2"/>
      <c r="QPF5" s="2"/>
      <c r="QPG5" s="2"/>
      <c r="QPH5" s="2"/>
      <c r="QPI5" s="2"/>
      <c r="QPJ5" s="2"/>
      <c r="QPK5" s="2"/>
      <c r="QPL5" s="2"/>
      <c r="QPM5" s="2"/>
      <c r="QPN5" s="2"/>
      <c r="QPO5" s="2"/>
      <c r="QPP5" s="2"/>
      <c r="QPQ5" s="2"/>
      <c r="QPR5" s="2"/>
      <c r="QPS5" s="2"/>
      <c r="QPT5" s="2"/>
      <c r="QPU5" s="2"/>
      <c r="QPV5" s="2"/>
      <c r="QPW5" s="2"/>
      <c r="QPX5" s="2"/>
      <c r="QPY5" s="2"/>
      <c r="QPZ5" s="2"/>
      <c r="QQA5" s="2"/>
      <c r="QQB5" s="2"/>
      <c r="QQC5" s="2"/>
      <c r="QQD5" s="2"/>
      <c r="QQE5" s="2"/>
      <c r="QQF5" s="2"/>
      <c r="QQG5" s="2"/>
      <c r="QQH5" s="2"/>
      <c r="QQI5" s="2"/>
      <c r="QQJ5" s="2"/>
      <c r="QQK5" s="2"/>
      <c r="QQL5" s="2"/>
      <c r="QQM5" s="2"/>
      <c r="QQN5" s="2"/>
      <c r="QQO5" s="2"/>
      <c r="QQP5" s="2"/>
      <c r="QQQ5" s="2"/>
      <c r="QQR5" s="2"/>
      <c r="QQS5" s="2"/>
      <c r="QQT5" s="2"/>
      <c r="QQU5" s="2"/>
      <c r="QQV5" s="2"/>
      <c r="QQW5" s="2"/>
      <c r="QQX5" s="2"/>
      <c r="QQY5" s="2"/>
      <c r="QQZ5" s="2"/>
      <c r="QRA5" s="2"/>
      <c r="QRB5" s="2"/>
      <c r="QRC5" s="2"/>
      <c r="QRD5" s="2"/>
      <c r="QRE5" s="2"/>
      <c r="QRF5" s="2"/>
      <c r="QRG5" s="2"/>
      <c r="QRH5" s="2"/>
      <c r="QRI5" s="2"/>
      <c r="QRJ5" s="2"/>
      <c r="QRK5" s="2"/>
      <c r="QRL5" s="2"/>
      <c r="QRM5" s="2"/>
      <c r="QRN5" s="2"/>
      <c r="QRO5" s="2"/>
      <c r="QRP5" s="2"/>
      <c r="QRQ5" s="2"/>
      <c r="QRR5" s="2"/>
      <c r="QRS5" s="2"/>
      <c r="QRT5" s="2"/>
      <c r="QRU5" s="2"/>
      <c r="QRV5" s="2"/>
      <c r="QRW5" s="2"/>
      <c r="QRX5" s="2"/>
      <c r="QRY5" s="2"/>
      <c r="QRZ5" s="2"/>
      <c r="QSA5" s="2"/>
      <c r="QSB5" s="2"/>
      <c r="QSC5" s="2"/>
      <c r="QSD5" s="2"/>
      <c r="QSE5" s="2"/>
      <c r="QSF5" s="2"/>
      <c r="QSG5" s="2"/>
      <c r="QSH5" s="2"/>
      <c r="QSI5" s="2"/>
      <c r="QSJ5" s="2"/>
      <c r="QSK5" s="2"/>
      <c r="QSL5" s="2"/>
      <c r="QSM5" s="2"/>
      <c r="QSN5" s="2"/>
      <c r="QSO5" s="2"/>
      <c r="QSP5" s="2"/>
      <c r="QSQ5" s="2"/>
      <c r="QSR5" s="2"/>
      <c r="QSS5" s="2"/>
      <c r="QST5" s="2"/>
      <c r="QSU5" s="2"/>
      <c r="QSV5" s="2"/>
      <c r="QSW5" s="2"/>
      <c r="QSX5" s="2"/>
      <c r="QSY5" s="2"/>
      <c r="QSZ5" s="2"/>
      <c r="QTA5" s="2"/>
      <c r="QTB5" s="2"/>
      <c r="QTC5" s="2"/>
      <c r="QTD5" s="2"/>
      <c r="QTE5" s="2"/>
      <c r="QTF5" s="2"/>
      <c r="QTG5" s="2"/>
      <c r="QTH5" s="2"/>
      <c r="QTI5" s="2"/>
      <c r="QTJ5" s="2"/>
      <c r="QTK5" s="2"/>
      <c r="QTL5" s="2"/>
      <c r="QTM5" s="2"/>
      <c r="QTN5" s="2"/>
      <c r="QTO5" s="2"/>
      <c r="QTP5" s="2"/>
      <c r="QTQ5" s="2"/>
      <c r="QTR5" s="2"/>
      <c r="QTS5" s="2"/>
      <c r="QTT5" s="2"/>
      <c r="QTU5" s="2"/>
      <c r="QTV5" s="2"/>
      <c r="QTW5" s="2"/>
      <c r="QTX5" s="2"/>
      <c r="QTY5" s="2"/>
      <c r="QTZ5" s="2"/>
      <c r="QUA5" s="2"/>
      <c r="QUB5" s="2"/>
      <c r="QUC5" s="2"/>
      <c r="QUD5" s="2"/>
      <c r="QUE5" s="2"/>
      <c r="QUF5" s="2"/>
      <c r="QUG5" s="2"/>
      <c r="QUH5" s="2"/>
      <c r="QUI5" s="2"/>
      <c r="QUJ5" s="2"/>
      <c r="QUK5" s="2"/>
      <c r="QUL5" s="2"/>
      <c r="QUM5" s="2"/>
      <c r="QUN5" s="2"/>
      <c r="QUO5" s="2"/>
      <c r="QUP5" s="2"/>
      <c r="QUQ5" s="2"/>
      <c r="QUR5" s="2"/>
      <c r="QUS5" s="2"/>
      <c r="QUT5" s="2"/>
      <c r="QUU5" s="2"/>
      <c r="QUV5" s="2"/>
      <c r="QUW5" s="2"/>
      <c r="QUX5" s="2"/>
      <c r="QUY5" s="2"/>
      <c r="QUZ5" s="2"/>
      <c r="QVA5" s="2"/>
      <c r="QVB5" s="2"/>
      <c r="QVC5" s="2"/>
      <c r="QVD5" s="2"/>
      <c r="QVE5" s="2"/>
      <c r="QVF5" s="2"/>
      <c r="QVG5" s="2"/>
      <c r="QVH5" s="2"/>
      <c r="QVI5" s="2"/>
      <c r="QVJ5" s="2"/>
      <c r="QVK5" s="2"/>
      <c r="QVL5" s="2"/>
      <c r="QVM5" s="2"/>
      <c r="QVN5" s="2"/>
      <c r="QVO5" s="2"/>
      <c r="QVP5" s="2"/>
      <c r="QVQ5" s="2"/>
      <c r="QVR5" s="2"/>
      <c r="QVS5" s="2"/>
      <c r="QVT5" s="2"/>
      <c r="QVU5" s="2"/>
      <c r="QVV5" s="2"/>
      <c r="QVW5" s="2"/>
      <c r="QVX5" s="2"/>
      <c r="QVY5" s="2"/>
      <c r="QVZ5" s="2"/>
      <c r="QWA5" s="2"/>
      <c r="QWB5" s="2"/>
      <c r="QWC5" s="2"/>
      <c r="QWD5" s="2"/>
      <c r="QWE5" s="2"/>
      <c r="QWF5" s="2"/>
      <c r="QWG5" s="2"/>
      <c r="QWH5" s="2"/>
      <c r="QWI5" s="2"/>
      <c r="QWJ5" s="2"/>
      <c r="QWK5" s="2"/>
      <c r="QWL5" s="2"/>
      <c r="QWM5" s="2"/>
      <c r="QWN5" s="2"/>
      <c r="QWO5" s="2"/>
      <c r="QWP5" s="2"/>
      <c r="QWQ5" s="2"/>
      <c r="QWR5" s="2"/>
      <c r="QWS5" s="2"/>
      <c r="QWT5" s="2"/>
      <c r="QWU5" s="2"/>
      <c r="QWV5" s="2"/>
      <c r="QWW5" s="2"/>
      <c r="QWX5" s="2"/>
      <c r="QWY5" s="2"/>
      <c r="QWZ5" s="2"/>
      <c r="QXA5" s="2"/>
      <c r="QXB5" s="2"/>
      <c r="QXC5" s="2"/>
      <c r="QXD5" s="2"/>
      <c r="QXE5" s="2"/>
      <c r="QXF5" s="2"/>
      <c r="QXG5" s="2"/>
      <c r="QXH5" s="2"/>
      <c r="QXI5" s="2"/>
      <c r="QXJ5" s="2"/>
      <c r="QXK5" s="2"/>
      <c r="QXL5" s="2"/>
      <c r="QXM5" s="2"/>
      <c r="QXN5" s="2"/>
      <c r="QXO5" s="2"/>
      <c r="QXP5" s="2"/>
      <c r="QXQ5" s="2"/>
      <c r="QXR5" s="2"/>
      <c r="QXS5" s="2"/>
      <c r="QXT5" s="2"/>
      <c r="QXU5" s="2"/>
      <c r="QXV5" s="2"/>
      <c r="QXW5" s="2"/>
      <c r="QXX5" s="2"/>
      <c r="QXY5" s="2"/>
      <c r="QXZ5" s="2"/>
      <c r="QYA5" s="2"/>
      <c r="QYB5" s="2"/>
      <c r="QYC5" s="2"/>
      <c r="QYD5" s="2"/>
      <c r="QYE5" s="2"/>
      <c r="QYF5" s="2"/>
      <c r="QYG5" s="2"/>
      <c r="QYH5" s="2"/>
      <c r="QYI5" s="2"/>
      <c r="QYJ5" s="2"/>
      <c r="QYK5" s="2"/>
      <c r="QYL5" s="2"/>
      <c r="QYM5" s="2"/>
      <c r="QYN5" s="2"/>
      <c r="QYO5" s="2"/>
      <c r="QYP5" s="2"/>
      <c r="QYQ5" s="2"/>
      <c r="QYR5" s="2"/>
      <c r="QYS5" s="2"/>
      <c r="QYT5" s="2"/>
      <c r="QYU5" s="2"/>
      <c r="QYV5" s="2"/>
      <c r="QYW5" s="2"/>
      <c r="QYX5" s="2"/>
      <c r="QYY5" s="2"/>
      <c r="QYZ5" s="2"/>
      <c r="QZA5" s="2"/>
      <c r="QZB5" s="2"/>
      <c r="QZC5" s="2"/>
      <c r="QZD5" s="2"/>
      <c r="QZE5" s="2"/>
      <c r="QZF5" s="2"/>
      <c r="QZG5" s="2"/>
      <c r="QZH5" s="2"/>
      <c r="QZI5" s="2"/>
      <c r="QZJ5" s="2"/>
      <c r="QZK5" s="2"/>
      <c r="QZL5" s="2"/>
      <c r="QZM5" s="2"/>
      <c r="QZN5" s="2"/>
      <c r="QZO5" s="2"/>
      <c r="QZP5" s="2"/>
      <c r="QZQ5" s="2"/>
      <c r="QZR5" s="2"/>
      <c r="QZS5" s="2"/>
      <c r="QZT5" s="2"/>
      <c r="QZU5" s="2"/>
      <c r="QZV5" s="2"/>
      <c r="QZW5" s="2"/>
      <c r="QZX5" s="2"/>
      <c r="QZY5" s="2"/>
      <c r="QZZ5" s="2"/>
      <c r="RAA5" s="2"/>
      <c r="RAB5" s="2"/>
      <c r="RAC5" s="2"/>
      <c r="RAD5" s="2"/>
      <c r="RAE5" s="2"/>
      <c r="RAF5" s="2"/>
      <c r="RAG5" s="2"/>
      <c r="RAH5" s="2"/>
      <c r="RAI5" s="2"/>
      <c r="RAJ5" s="2"/>
      <c r="RAK5" s="2"/>
      <c r="RAL5" s="2"/>
      <c r="RAM5" s="2"/>
      <c r="RAN5" s="2"/>
      <c r="RAO5" s="2"/>
      <c r="RAP5" s="2"/>
      <c r="RAQ5" s="2"/>
      <c r="RAR5" s="2"/>
      <c r="RAS5" s="2"/>
      <c r="RAT5" s="2"/>
      <c r="RAU5" s="2"/>
      <c r="RAV5" s="2"/>
      <c r="RAW5" s="2"/>
      <c r="RAX5" s="2"/>
      <c r="RAY5" s="2"/>
      <c r="RAZ5" s="2"/>
      <c r="RBA5" s="2"/>
      <c r="RBB5" s="2"/>
      <c r="RBC5" s="2"/>
      <c r="RBD5" s="2"/>
      <c r="RBE5" s="2"/>
      <c r="RBF5" s="2"/>
      <c r="RBG5" s="2"/>
      <c r="RBH5" s="2"/>
      <c r="RBI5" s="2"/>
      <c r="RBJ5" s="2"/>
      <c r="RBK5" s="2"/>
      <c r="RBL5" s="2"/>
      <c r="RBM5" s="2"/>
      <c r="RBN5" s="2"/>
      <c r="RBO5" s="2"/>
      <c r="RBP5" s="2"/>
      <c r="RBQ5" s="2"/>
      <c r="RBR5" s="2"/>
      <c r="RBS5" s="2"/>
      <c r="RBT5" s="2"/>
      <c r="RBU5" s="2"/>
      <c r="RBV5" s="2"/>
      <c r="RBW5" s="2"/>
      <c r="RBX5" s="2"/>
      <c r="RBY5" s="2"/>
      <c r="RBZ5" s="2"/>
      <c r="RCA5" s="2"/>
      <c r="RCB5" s="2"/>
      <c r="RCC5" s="2"/>
      <c r="RCD5" s="2"/>
      <c r="RCE5" s="2"/>
      <c r="RCF5" s="2"/>
      <c r="RCG5" s="2"/>
      <c r="RCH5" s="2"/>
      <c r="RCI5" s="2"/>
      <c r="RCJ5" s="2"/>
      <c r="RCK5" s="2"/>
      <c r="RCL5" s="2"/>
      <c r="RCM5" s="2"/>
      <c r="RCN5" s="2"/>
      <c r="RCO5" s="2"/>
      <c r="RCP5" s="2"/>
      <c r="RCQ5" s="2"/>
      <c r="RCR5" s="2"/>
      <c r="RCS5" s="2"/>
      <c r="RCT5" s="2"/>
      <c r="RCU5" s="2"/>
      <c r="RCV5" s="2"/>
      <c r="RCW5" s="2"/>
      <c r="RCX5" s="2"/>
      <c r="RCY5" s="2"/>
      <c r="RCZ5" s="2"/>
      <c r="RDA5" s="2"/>
      <c r="RDB5" s="2"/>
      <c r="RDC5" s="2"/>
      <c r="RDD5" s="2"/>
      <c r="RDE5" s="2"/>
      <c r="RDF5" s="2"/>
      <c r="RDG5" s="2"/>
      <c r="RDH5" s="2"/>
      <c r="RDI5" s="2"/>
      <c r="RDJ5" s="2"/>
      <c r="RDK5" s="2"/>
      <c r="RDL5" s="2"/>
      <c r="RDM5" s="2"/>
      <c r="RDN5" s="2"/>
      <c r="RDO5" s="2"/>
      <c r="RDP5" s="2"/>
      <c r="RDQ5" s="2"/>
      <c r="RDR5" s="2"/>
      <c r="RDS5" s="2"/>
      <c r="RDT5" s="2"/>
      <c r="RDU5" s="2"/>
      <c r="RDV5" s="2"/>
      <c r="RDW5" s="2"/>
      <c r="RDX5" s="2"/>
      <c r="RDY5" s="2"/>
      <c r="RDZ5" s="2"/>
      <c r="REA5" s="2"/>
      <c r="REB5" s="2"/>
      <c r="REC5" s="2"/>
      <c r="RED5" s="2"/>
      <c r="REE5" s="2"/>
      <c r="REF5" s="2"/>
      <c r="REG5" s="2"/>
      <c r="REH5" s="2"/>
      <c r="REI5" s="2"/>
      <c r="REJ5" s="2"/>
      <c r="REK5" s="2"/>
      <c r="REL5" s="2"/>
      <c r="REM5" s="2"/>
      <c r="REN5" s="2"/>
      <c r="REO5" s="2"/>
      <c r="REP5" s="2"/>
      <c r="REQ5" s="2"/>
      <c r="RER5" s="2"/>
      <c r="RES5" s="2"/>
      <c r="RET5" s="2"/>
      <c r="REU5" s="2"/>
      <c r="REV5" s="2"/>
      <c r="REW5" s="2"/>
      <c r="REX5" s="2"/>
      <c r="REY5" s="2"/>
      <c r="REZ5" s="2"/>
      <c r="RFA5" s="2"/>
      <c r="RFB5" s="2"/>
      <c r="RFC5" s="2"/>
      <c r="RFD5" s="2"/>
      <c r="RFE5" s="2"/>
      <c r="RFF5" s="2"/>
      <c r="RFG5" s="2"/>
      <c r="RFH5" s="2"/>
      <c r="RFI5" s="2"/>
      <c r="RFJ5" s="2"/>
      <c r="RFK5" s="2"/>
      <c r="RFL5" s="2"/>
      <c r="RFM5" s="2"/>
      <c r="RFN5" s="2"/>
      <c r="RFO5" s="2"/>
      <c r="RFP5" s="2"/>
      <c r="RFQ5" s="2"/>
      <c r="RFR5" s="2"/>
      <c r="RFS5" s="2"/>
      <c r="RFT5" s="2"/>
      <c r="RFU5" s="2"/>
      <c r="RFV5" s="2"/>
      <c r="RFW5" s="2"/>
      <c r="RFX5" s="2"/>
      <c r="RFY5" s="2"/>
      <c r="RFZ5" s="2"/>
      <c r="RGA5" s="2"/>
      <c r="RGB5" s="2"/>
      <c r="RGC5" s="2"/>
      <c r="RGD5" s="2"/>
      <c r="RGE5" s="2"/>
      <c r="RGF5" s="2"/>
      <c r="RGG5" s="2"/>
      <c r="RGH5" s="2"/>
      <c r="RGI5" s="2"/>
      <c r="RGJ5" s="2"/>
      <c r="RGK5" s="2"/>
      <c r="RGL5" s="2"/>
      <c r="RGM5" s="2"/>
      <c r="RGN5" s="2"/>
      <c r="RGO5" s="2"/>
      <c r="RGP5" s="2"/>
      <c r="RGQ5" s="2"/>
      <c r="RGR5" s="2"/>
      <c r="RGS5" s="2"/>
      <c r="RGT5" s="2"/>
      <c r="RGU5" s="2"/>
      <c r="RGV5" s="2"/>
      <c r="RGW5" s="2"/>
      <c r="RGX5" s="2"/>
      <c r="RGY5" s="2"/>
      <c r="RGZ5" s="2"/>
      <c r="RHA5" s="2"/>
      <c r="RHB5" s="2"/>
      <c r="RHC5" s="2"/>
      <c r="RHD5" s="2"/>
      <c r="RHE5" s="2"/>
      <c r="RHF5" s="2"/>
      <c r="RHG5" s="2"/>
      <c r="RHH5" s="2"/>
      <c r="RHI5" s="2"/>
      <c r="RHJ5" s="2"/>
      <c r="RHK5" s="2"/>
      <c r="RHL5" s="2"/>
      <c r="RHM5" s="2"/>
      <c r="RHN5" s="2"/>
      <c r="RHO5" s="2"/>
      <c r="RHP5" s="2"/>
      <c r="RHQ5" s="2"/>
      <c r="RHR5" s="2"/>
      <c r="RHS5" s="2"/>
      <c r="RHT5" s="2"/>
      <c r="RHU5" s="2"/>
      <c r="RHV5" s="2"/>
      <c r="RHW5" s="2"/>
      <c r="RHX5" s="2"/>
      <c r="RHY5" s="2"/>
      <c r="RHZ5" s="2"/>
      <c r="RIA5" s="2"/>
      <c r="RIB5" s="2"/>
      <c r="RIC5" s="2"/>
      <c r="RID5" s="2"/>
      <c r="RIE5" s="2"/>
      <c r="RIF5" s="2"/>
      <c r="RIG5" s="2"/>
      <c r="RIH5" s="2"/>
      <c r="RII5" s="2"/>
      <c r="RIJ5" s="2"/>
      <c r="RIK5" s="2"/>
      <c r="RIL5" s="2"/>
      <c r="RIM5" s="2"/>
      <c r="RIN5" s="2"/>
      <c r="RIO5" s="2"/>
      <c r="RIP5" s="2"/>
      <c r="RIQ5" s="2"/>
      <c r="RIR5" s="2"/>
      <c r="RIS5" s="2"/>
      <c r="RIT5" s="2"/>
      <c r="RIU5" s="2"/>
      <c r="RIV5" s="2"/>
      <c r="RIW5" s="2"/>
      <c r="RIX5" s="2"/>
      <c r="RIY5" s="2"/>
      <c r="RIZ5" s="2"/>
      <c r="RJA5" s="2"/>
      <c r="RJB5" s="2"/>
      <c r="RJC5" s="2"/>
      <c r="RJD5" s="2"/>
      <c r="RJE5" s="2"/>
      <c r="RJF5" s="2"/>
      <c r="RJG5" s="2"/>
      <c r="RJH5" s="2"/>
      <c r="RJI5" s="2"/>
      <c r="RJJ5" s="2"/>
      <c r="RJK5" s="2"/>
      <c r="RJL5" s="2"/>
      <c r="RJM5" s="2"/>
      <c r="RJN5" s="2"/>
      <c r="RJO5" s="2"/>
      <c r="RJP5" s="2"/>
      <c r="RJQ5" s="2"/>
      <c r="RJR5" s="2"/>
      <c r="RJS5" s="2"/>
      <c r="RJT5" s="2"/>
      <c r="RJU5" s="2"/>
      <c r="RJV5" s="2"/>
      <c r="RJW5" s="2"/>
      <c r="RJX5" s="2"/>
      <c r="RJY5" s="2"/>
      <c r="RJZ5" s="2"/>
      <c r="RKA5" s="2"/>
      <c r="RKB5" s="2"/>
      <c r="RKC5" s="2"/>
      <c r="RKD5" s="2"/>
      <c r="RKE5" s="2"/>
      <c r="RKF5" s="2"/>
      <c r="RKG5" s="2"/>
      <c r="RKH5" s="2"/>
      <c r="RKI5" s="2"/>
      <c r="RKJ5" s="2"/>
      <c r="RKK5" s="2"/>
      <c r="RKL5" s="2"/>
      <c r="RKM5" s="2"/>
      <c r="RKN5" s="2"/>
      <c r="RKO5" s="2"/>
      <c r="RKP5" s="2"/>
      <c r="RKQ5" s="2"/>
      <c r="RKR5" s="2"/>
      <c r="RKS5" s="2"/>
      <c r="RKT5" s="2"/>
      <c r="RKU5" s="2"/>
      <c r="RKV5" s="2"/>
      <c r="RKW5" s="2"/>
      <c r="RKX5" s="2"/>
      <c r="RKY5" s="2"/>
      <c r="RKZ5" s="2"/>
      <c r="RLA5" s="2"/>
      <c r="RLB5" s="2"/>
      <c r="RLC5" s="2"/>
      <c r="RLD5" s="2"/>
      <c r="RLE5" s="2"/>
      <c r="RLF5" s="2"/>
      <c r="RLG5" s="2"/>
      <c r="RLH5" s="2"/>
      <c r="RLI5" s="2"/>
      <c r="RLJ5" s="2"/>
      <c r="RLK5" s="2"/>
      <c r="RLL5" s="2"/>
      <c r="RLM5" s="2"/>
      <c r="RLN5" s="2"/>
      <c r="RLO5" s="2"/>
      <c r="RLP5" s="2"/>
      <c r="RLQ5" s="2"/>
      <c r="RLR5" s="2"/>
      <c r="RLS5" s="2"/>
      <c r="RLT5" s="2"/>
      <c r="RLU5" s="2"/>
      <c r="RLV5" s="2"/>
      <c r="RLW5" s="2"/>
      <c r="RLX5" s="2"/>
      <c r="RLY5" s="2"/>
      <c r="RLZ5" s="2"/>
      <c r="RMA5" s="2"/>
      <c r="RMB5" s="2"/>
      <c r="RMC5" s="2"/>
      <c r="RMD5" s="2"/>
      <c r="RME5" s="2"/>
      <c r="RMF5" s="2"/>
      <c r="RMG5" s="2"/>
      <c r="RMH5" s="2"/>
      <c r="RMI5" s="2"/>
      <c r="RMJ5" s="2"/>
      <c r="RMK5" s="2"/>
      <c r="RML5" s="2"/>
      <c r="RMM5" s="2"/>
      <c r="RMN5" s="2"/>
      <c r="RMO5" s="2"/>
      <c r="RMP5" s="2"/>
      <c r="RMQ5" s="2"/>
      <c r="RMR5" s="2"/>
      <c r="RMS5" s="2"/>
      <c r="RMT5" s="2"/>
      <c r="RMU5" s="2"/>
      <c r="RMV5" s="2"/>
      <c r="RMW5" s="2"/>
      <c r="RMX5" s="2"/>
      <c r="RMY5" s="2"/>
      <c r="RMZ5" s="2"/>
      <c r="RNA5" s="2"/>
      <c r="RNB5" s="2"/>
      <c r="RNC5" s="2"/>
      <c r="RND5" s="2"/>
      <c r="RNE5" s="2"/>
      <c r="RNF5" s="2"/>
      <c r="RNG5" s="2"/>
      <c r="RNH5" s="2"/>
      <c r="RNI5" s="2"/>
      <c r="RNJ5" s="2"/>
      <c r="RNK5" s="2"/>
      <c r="RNL5" s="2"/>
      <c r="RNM5" s="2"/>
      <c r="RNN5" s="2"/>
      <c r="RNO5" s="2"/>
      <c r="RNP5" s="2"/>
      <c r="RNQ5" s="2"/>
      <c r="RNR5" s="2"/>
      <c r="RNS5" s="2"/>
      <c r="RNT5" s="2"/>
      <c r="RNU5" s="2"/>
      <c r="RNV5" s="2"/>
      <c r="RNW5" s="2"/>
      <c r="RNX5" s="2"/>
      <c r="RNY5" s="2"/>
      <c r="RNZ5" s="2"/>
      <c r="ROA5" s="2"/>
      <c r="ROB5" s="2"/>
      <c r="ROC5" s="2"/>
      <c r="ROD5" s="2"/>
      <c r="ROE5" s="2"/>
      <c r="ROF5" s="2"/>
      <c r="ROG5" s="2"/>
      <c r="ROH5" s="2"/>
      <c r="ROI5" s="2"/>
      <c r="ROJ5" s="2"/>
      <c r="ROK5" s="2"/>
      <c r="ROL5" s="2"/>
      <c r="ROM5" s="2"/>
      <c r="RON5" s="2"/>
      <c r="ROO5" s="2"/>
      <c r="ROP5" s="2"/>
      <c r="ROQ5" s="2"/>
      <c r="ROR5" s="2"/>
      <c r="ROS5" s="2"/>
      <c r="ROT5" s="2"/>
      <c r="ROU5" s="2"/>
      <c r="ROV5" s="2"/>
      <c r="ROW5" s="2"/>
      <c r="ROX5" s="2"/>
      <c r="ROY5" s="2"/>
      <c r="ROZ5" s="2"/>
      <c r="RPA5" s="2"/>
      <c r="RPB5" s="2"/>
      <c r="RPC5" s="2"/>
      <c r="RPD5" s="2"/>
      <c r="RPE5" s="2"/>
      <c r="RPF5" s="2"/>
      <c r="RPG5" s="2"/>
      <c r="RPH5" s="2"/>
      <c r="RPI5" s="2"/>
      <c r="RPJ5" s="2"/>
      <c r="RPK5" s="2"/>
      <c r="RPL5" s="2"/>
      <c r="RPM5" s="2"/>
      <c r="RPN5" s="2"/>
      <c r="RPO5" s="2"/>
      <c r="RPP5" s="2"/>
      <c r="RPQ5" s="2"/>
      <c r="RPR5" s="2"/>
      <c r="RPS5" s="2"/>
      <c r="RPT5" s="2"/>
      <c r="RPU5" s="2"/>
      <c r="RPV5" s="2"/>
      <c r="RPW5" s="2"/>
      <c r="RPX5" s="2"/>
      <c r="RPY5" s="2"/>
      <c r="RPZ5" s="2"/>
      <c r="RQA5" s="2"/>
      <c r="RQB5" s="2"/>
      <c r="RQC5" s="2"/>
      <c r="RQD5" s="2"/>
      <c r="RQE5" s="2"/>
      <c r="RQF5" s="2"/>
      <c r="RQG5" s="2"/>
      <c r="RQH5" s="2"/>
      <c r="RQI5" s="2"/>
      <c r="RQJ5" s="2"/>
      <c r="RQK5" s="2"/>
      <c r="RQL5" s="2"/>
      <c r="RQM5" s="2"/>
      <c r="RQN5" s="2"/>
      <c r="RQO5" s="2"/>
      <c r="RQP5" s="2"/>
      <c r="RQQ5" s="2"/>
      <c r="RQR5" s="2"/>
      <c r="RQS5" s="2"/>
      <c r="RQT5" s="2"/>
      <c r="RQU5" s="2"/>
      <c r="RQV5" s="2"/>
      <c r="RQW5" s="2"/>
      <c r="RQX5" s="2"/>
      <c r="RQY5" s="2"/>
      <c r="RQZ5" s="2"/>
      <c r="RRA5" s="2"/>
      <c r="RRB5" s="2"/>
      <c r="RRC5" s="2"/>
      <c r="RRD5" s="2"/>
      <c r="RRE5" s="2"/>
      <c r="RRF5" s="2"/>
      <c r="RRG5" s="2"/>
      <c r="RRH5" s="2"/>
      <c r="RRI5" s="2"/>
      <c r="RRJ5" s="2"/>
      <c r="RRK5" s="2"/>
      <c r="RRL5" s="2"/>
      <c r="RRM5" s="2"/>
      <c r="RRN5" s="2"/>
      <c r="RRO5" s="2"/>
      <c r="RRP5" s="2"/>
      <c r="RRQ5" s="2"/>
      <c r="RRR5" s="2"/>
      <c r="RRS5" s="2"/>
      <c r="RRT5" s="2"/>
      <c r="RRU5" s="2"/>
      <c r="RRV5" s="2"/>
      <c r="RRW5" s="2"/>
      <c r="RRX5" s="2"/>
      <c r="RRY5" s="2"/>
      <c r="RRZ5" s="2"/>
      <c r="RSA5" s="2"/>
      <c r="RSB5" s="2"/>
      <c r="RSC5" s="2"/>
      <c r="RSD5" s="2"/>
      <c r="RSE5" s="2"/>
      <c r="RSF5" s="2"/>
      <c r="RSG5" s="2"/>
      <c r="RSH5" s="2"/>
      <c r="RSI5" s="2"/>
      <c r="RSJ5" s="2"/>
      <c r="RSK5" s="2"/>
      <c r="RSL5" s="2"/>
      <c r="RSM5" s="2"/>
      <c r="RSN5" s="2"/>
      <c r="RSO5" s="2"/>
      <c r="RSP5" s="2"/>
      <c r="RSQ5" s="2"/>
      <c r="RSR5" s="2"/>
      <c r="RSS5" s="2"/>
      <c r="RST5" s="2"/>
      <c r="RSU5" s="2"/>
      <c r="RSV5" s="2"/>
      <c r="RSW5" s="2"/>
      <c r="RSX5" s="2"/>
      <c r="RSY5" s="2"/>
      <c r="RSZ5" s="2"/>
      <c r="RTA5" s="2"/>
      <c r="RTB5" s="2"/>
      <c r="RTC5" s="2"/>
      <c r="RTD5" s="2"/>
      <c r="RTE5" s="2"/>
      <c r="RTF5" s="2"/>
      <c r="RTG5" s="2"/>
      <c r="RTH5" s="2"/>
      <c r="RTI5" s="2"/>
      <c r="RTJ5" s="2"/>
      <c r="RTK5" s="2"/>
      <c r="RTL5" s="2"/>
      <c r="RTM5" s="2"/>
      <c r="RTN5" s="2"/>
      <c r="RTO5" s="2"/>
      <c r="RTP5" s="2"/>
      <c r="RTQ5" s="2"/>
      <c r="RTR5" s="2"/>
      <c r="RTS5" s="2"/>
      <c r="RTT5" s="2"/>
      <c r="RTU5" s="2"/>
      <c r="RTV5" s="2"/>
      <c r="RTW5" s="2"/>
      <c r="RTX5" s="2"/>
      <c r="RTY5" s="2"/>
      <c r="RTZ5" s="2"/>
      <c r="RUA5" s="2"/>
      <c r="RUB5" s="2"/>
      <c r="RUC5" s="2"/>
      <c r="RUD5" s="2"/>
      <c r="RUE5" s="2"/>
      <c r="RUF5" s="2"/>
      <c r="RUG5" s="2"/>
      <c r="RUH5" s="2"/>
      <c r="RUI5" s="2"/>
      <c r="RUJ5" s="2"/>
      <c r="RUK5" s="2"/>
      <c r="RUL5" s="2"/>
      <c r="RUM5" s="2"/>
      <c r="RUN5" s="2"/>
      <c r="RUO5" s="2"/>
      <c r="RUP5" s="2"/>
      <c r="RUQ5" s="2"/>
      <c r="RUR5" s="2"/>
      <c r="RUS5" s="2"/>
      <c r="RUT5" s="2"/>
      <c r="RUU5" s="2"/>
      <c r="RUV5" s="2"/>
      <c r="RUW5" s="2"/>
      <c r="RUX5" s="2"/>
      <c r="RUY5" s="2"/>
      <c r="RUZ5" s="2"/>
      <c r="RVA5" s="2"/>
      <c r="RVB5" s="2"/>
      <c r="RVC5" s="2"/>
      <c r="RVD5" s="2"/>
      <c r="RVE5" s="2"/>
      <c r="RVF5" s="2"/>
      <c r="RVG5" s="2"/>
      <c r="RVH5" s="2"/>
      <c r="RVI5" s="2"/>
      <c r="RVJ5" s="2"/>
      <c r="RVK5" s="2"/>
      <c r="RVL5" s="2"/>
      <c r="RVM5" s="2"/>
      <c r="RVN5" s="2"/>
      <c r="RVO5" s="2"/>
      <c r="RVP5" s="2"/>
      <c r="RVQ5" s="2"/>
      <c r="RVR5" s="2"/>
      <c r="RVS5" s="2"/>
      <c r="RVT5" s="2"/>
      <c r="RVU5" s="2"/>
      <c r="RVV5" s="2"/>
      <c r="RVW5" s="2"/>
      <c r="RVX5" s="2"/>
      <c r="RVY5" s="2"/>
      <c r="RVZ5" s="2"/>
      <c r="RWA5" s="2"/>
      <c r="RWB5" s="2"/>
      <c r="RWC5" s="2"/>
      <c r="RWD5" s="2"/>
      <c r="RWE5" s="2"/>
      <c r="RWF5" s="2"/>
      <c r="RWG5" s="2"/>
      <c r="RWH5" s="2"/>
      <c r="RWI5" s="2"/>
      <c r="RWJ5" s="2"/>
      <c r="RWK5" s="2"/>
      <c r="RWL5" s="2"/>
      <c r="RWM5" s="2"/>
      <c r="RWN5" s="2"/>
      <c r="RWO5" s="2"/>
      <c r="RWP5" s="2"/>
      <c r="RWQ5" s="2"/>
      <c r="RWR5" s="2"/>
      <c r="RWS5" s="2"/>
      <c r="RWT5" s="2"/>
      <c r="RWU5" s="2"/>
      <c r="RWV5" s="2"/>
      <c r="RWW5" s="2"/>
      <c r="RWX5" s="2"/>
      <c r="RWY5" s="2"/>
      <c r="RWZ5" s="2"/>
      <c r="RXA5" s="2"/>
      <c r="RXB5" s="2"/>
      <c r="RXC5" s="2"/>
      <c r="RXD5" s="2"/>
      <c r="RXE5" s="2"/>
      <c r="RXF5" s="2"/>
      <c r="RXG5" s="2"/>
      <c r="RXH5" s="2"/>
      <c r="RXI5" s="2"/>
      <c r="RXJ5" s="2"/>
      <c r="RXK5" s="2"/>
      <c r="RXL5" s="2"/>
      <c r="RXM5" s="2"/>
      <c r="RXN5" s="2"/>
      <c r="RXO5" s="2"/>
      <c r="RXP5" s="2"/>
      <c r="RXQ5" s="2"/>
      <c r="RXR5" s="2"/>
      <c r="RXS5" s="2"/>
      <c r="RXT5" s="2"/>
      <c r="RXU5" s="2"/>
      <c r="RXV5" s="2"/>
      <c r="RXW5" s="2"/>
      <c r="RXX5" s="2"/>
      <c r="RXY5" s="2"/>
      <c r="RXZ5" s="2"/>
      <c r="RYA5" s="2"/>
      <c r="RYB5" s="2"/>
      <c r="RYC5" s="2"/>
      <c r="RYD5" s="2"/>
      <c r="RYE5" s="2"/>
      <c r="RYF5" s="2"/>
      <c r="RYG5" s="2"/>
      <c r="RYH5" s="2"/>
      <c r="RYI5" s="2"/>
      <c r="RYJ5" s="2"/>
      <c r="RYK5" s="2"/>
      <c r="RYL5" s="2"/>
      <c r="RYM5" s="2"/>
      <c r="RYN5" s="2"/>
      <c r="RYO5" s="2"/>
      <c r="RYP5" s="2"/>
      <c r="RYQ5" s="2"/>
      <c r="RYR5" s="2"/>
      <c r="RYS5" s="2"/>
      <c r="RYT5" s="2"/>
      <c r="RYU5" s="2"/>
      <c r="RYV5" s="2"/>
      <c r="RYW5" s="2"/>
      <c r="RYX5" s="2"/>
      <c r="RYY5" s="2"/>
      <c r="RYZ5" s="2"/>
      <c r="RZA5" s="2"/>
      <c r="RZB5" s="2"/>
      <c r="RZC5" s="2"/>
      <c r="RZD5" s="2"/>
      <c r="RZE5" s="2"/>
      <c r="RZF5" s="2"/>
      <c r="RZG5" s="2"/>
      <c r="RZH5" s="2"/>
      <c r="RZI5" s="2"/>
      <c r="RZJ5" s="2"/>
      <c r="RZK5" s="2"/>
      <c r="RZL5" s="2"/>
      <c r="RZM5" s="2"/>
      <c r="RZN5" s="2"/>
      <c r="RZO5" s="2"/>
      <c r="RZP5" s="2"/>
      <c r="RZQ5" s="2"/>
      <c r="RZR5" s="2"/>
      <c r="RZS5" s="2"/>
      <c r="RZT5" s="2"/>
      <c r="RZU5" s="2"/>
      <c r="RZV5" s="2"/>
      <c r="RZW5" s="2"/>
      <c r="RZX5" s="2"/>
      <c r="RZY5" s="2"/>
      <c r="RZZ5" s="2"/>
      <c r="SAA5" s="2"/>
      <c r="SAB5" s="2"/>
      <c r="SAC5" s="2"/>
      <c r="SAD5" s="2"/>
      <c r="SAE5" s="2"/>
      <c r="SAF5" s="2"/>
      <c r="SAG5" s="2"/>
      <c r="SAH5" s="2"/>
      <c r="SAI5" s="2"/>
      <c r="SAJ5" s="2"/>
      <c r="SAK5" s="2"/>
      <c r="SAL5" s="2"/>
      <c r="SAM5" s="2"/>
      <c r="SAN5" s="2"/>
      <c r="SAO5" s="2"/>
      <c r="SAP5" s="2"/>
      <c r="SAQ5" s="2"/>
      <c r="SAR5" s="2"/>
      <c r="SAS5" s="2"/>
      <c r="SAT5" s="2"/>
      <c r="SAU5" s="2"/>
      <c r="SAV5" s="2"/>
      <c r="SAW5" s="2"/>
      <c r="SAX5" s="2"/>
      <c r="SAY5" s="2"/>
      <c r="SAZ5" s="2"/>
      <c r="SBA5" s="2"/>
      <c r="SBB5" s="2"/>
      <c r="SBC5" s="2"/>
      <c r="SBD5" s="2"/>
      <c r="SBE5" s="2"/>
      <c r="SBF5" s="2"/>
      <c r="SBG5" s="2"/>
      <c r="SBH5" s="2"/>
      <c r="SBI5" s="2"/>
      <c r="SBJ5" s="2"/>
      <c r="SBK5" s="2"/>
      <c r="SBL5" s="2"/>
      <c r="SBM5" s="2"/>
      <c r="SBN5" s="2"/>
      <c r="SBO5" s="2"/>
      <c r="SBP5" s="2"/>
      <c r="SBQ5" s="2"/>
      <c r="SBR5" s="2"/>
      <c r="SBS5" s="2"/>
      <c r="SBT5" s="2"/>
      <c r="SBU5" s="2"/>
      <c r="SBV5" s="2"/>
      <c r="SBW5" s="2"/>
      <c r="SBX5" s="2"/>
      <c r="SBY5" s="2"/>
      <c r="SBZ5" s="2"/>
      <c r="SCA5" s="2"/>
      <c r="SCB5" s="2"/>
      <c r="SCC5" s="2"/>
      <c r="SCD5" s="2"/>
      <c r="SCE5" s="2"/>
      <c r="SCF5" s="2"/>
      <c r="SCG5" s="2"/>
      <c r="SCH5" s="2"/>
      <c r="SCI5" s="2"/>
      <c r="SCJ5" s="2"/>
      <c r="SCK5" s="2"/>
      <c r="SCL5" s="2"/>
      <c r="SCM5" s="2"/>
      <c r="SCN5" s="2"/>
      <c r="SCO5" s="2"/>
      <c r="SCP5" s="2"/>
      <c r="SCQ5" s="2"/>
      <c r="SCR5" s="2"/>
      <c r="SCS5" s="2"/>
      <c r="SCT5" s="2"/>
      <c r="SCU5" s="2"/>
      <c r="SCV5" s="2"/>
      <c r="SCW5" s="2"/>
      <c r="SCX5" s="2"/>
      <c r="SCY5" s="2"/>
      <c r="SCZ5" s="2"/>
      <c r="SDA5" s="2"/>
      <c r="SDB5" s="2"/>
      <c r="SDC5" s="2"/>
      <c r="SDD5" s="2"/>
      <c r="SDE5" s="2"/>
      <c r="SDF5" s="2"/>
      <c r="SDG5" s="2"/>
      <c r="SDH5" s="2"/>
      <c r="SDI5" s="2"/>
      <c r="SDJ5" s="2"/>
      <c r="SDK5" s="2"/>
      <c r="SDL5" s="2"/>
      <c r="SDM5" s="2"/>
      <c r="SDN5" s="2"/>
      <c r="SDO5" s="2"/>
      <c r="SDP5" s="2"/>
      <c r="SDQ5" s="2"/>
      <c r="SDR5" s="2"/>
      <c r="SDS5" s="2"/>
      <c r="SDT5" s="2"/>
      <c r="SDU5" s="2"/>
      <c r="SDV5" s="2"/>
      <c r="SDW5" s="2"/>
      <c r="SDX5" s="2"/>
      <c r="SDY5" s="2"/>
      <c r="SDZ5" s="2"/>
      <c r="SEA5" s="2"/>
      <c r="SEB5" s="2"/>
      <c r="SEC5" s="2"/>
      <c r="SED5" s="2"/>
      <c r="SEE5" s="2"/>
      <c r="SEF5" s="2"/>
      <c r="SEG5" s="2"/>
      <c r="SEH5" s="2"/>
      <c r="SEI5" s="2"/>
      <c r="SEJ5" s="2"/>
      <c r="SEK5" s="2"/>
      <c r="SEL5" s="2"/>
      <c r="SEM5" s="2"/>
      <c r="SEN5" s="2"/>
      <c r="SEO5" s="2"/>
      <c r="SEP5" s="2"/>
      <c r="SEQ5" s="2"/>
      <c r="SER5" s="2"/>
      <c r="SES5" s="2"/>
      <c r="SET5" s="2"/>
      <c r="SEU5" s="2"/>
      <c r="SEV5" s="2"/>
      <c r="SEW5" s="2"/>
      <c r="SEX5" s="2"/>
      <c r="SEY5" s="2"/>
      <c r="SEZ5" s="2"/>
      <c r="SFA5" s="2"/>
      <c r="SFB5" s="2"/>
      <c r="SFC5" s="2"/>
      <c r="SFD5" s="2"/>
      <c r="SFE5" s="2"/>
      <c r="SFF5" s="2"/>
      <c r="SFG5" s="2"/>
      <c r="SFH5" s="2"/>
      <c r="SFI5" s="2"/>
      <c r="SFJ5" s="2"/>
      <c r="SFK5" s="2"/>
      <c r="SFL5" s="2"/>
      <c r="SFM5" s="2"/>
      <c r="SFN5" s="2"/>
      <c r="SFO5" s="2"/>
      <c r="SFP5" s="2"/>
      <c r="SFQ5" s="2"/>
      <c r="SFR5" s="2"/>
      <c r="SFS5" s="2"/>
      <c r="SFT5" s="2"/>
      <c r="SFU5" s="2"/>
      <c r="SFV5" s="2"/>
      <c r="SFW5" s="2"/>
      <c r="SFX5" s="2"/>
      <c r="SFY5" s="2"/>
      <c r="SFZ5" s="2"/>
      <c r="SGA5" s="2"/>
      <c r="SGB5" s="2"/>
      <c r="SGC5" s="2"/>
      <c r="SGD5" s="2"/>
      <c r="SGE5" s="2"/>
      <c r="SGF5" s="2"/>
      <c r="SGG5" s="2"/>
      <c r="SGH5" s="2"/>
      <c r="SGI5" s="2"/>
      <c r="SGJ5" s="2"/>
      <c r="SGK5" s="2"/>
      <c r="SGL5" s="2"/>
      <c r="SGM5" s="2"/>
      <c r="SGN5" s="2"/>
      <c r="SGO5" s="2"/>
      <c r="SGP5" s="2"/>
      <c r="SGQ5" s="2"/>
      <c r="SGR5" s="2"/>
      <c r="SGS5" s="2"/>
      <c r="SGT5" s="2"/>
      <c r="SGU5" s="2"/>
      <c r="SGV5" s="2"/>
      <c r="SGW5" s="2"/>
      <c r="SGX5" s="2"/>
      <c r="SGY5" s="2"/>
      <c r="SGZ5" s="2"/>
      <c r="SHA5" s="2"/>
      <c r="SHB5" s="2"/>
      <c r="SHC5" s="2"/>
      <c r="SHD5" s="2"/>
      <c r="SHE5" s="2"/>
      <c r="SHF5" s="2"/>
      <c r="SHG5" s="2"/>
      <c r="SHH5" s="2"/>
      <c r="SHI5" s="2"/>
      <c r="SHJ5" s="2"/>
      <c r="SHK5" s="2"/>
      <c r="SHL5" s="2"/>
      <c r="SHM5" s="2"/>
      <c r="SHN5" s="2"/>
      <c r="SHO5" s="2"/>
      <c r="SHP5" s="2"/>
      <c r="SHQ5" s="2"/>
      <c r="SHR5" s="2"/>
      <c r="SHS5" s="2"/>
      <c r="SHT5" s="2"/>
      <c r="SHU5" s="2"/>
      <c r="SHV5" s="2"/>
      <c r="SHW5" s="2"/>
      <c r="SHX5" s="2"/>
      <c r="SHY5" s="2"/>
      <c r="SHZ5" s="2"/>
      <c r="SIA5" s="2"/>
      <c r="SIB5" s="2"/>
      <c r="SIC5" s="2"/>
      <c r="SID5" s="2"/>
      <c r="SIE5" s="2"/>
      <c r="SIF5" s="2"/>
      <c r="SIG5" s="2"/>
      <c r="SIH5" s="2"/>
      <c r="SII5" s="2"/>
      <c r="SIJ5" s="2"/>
      <c r="SIK5" s="2"/>
      <c r="SIL5" s="2"/>
      <c r="SIM5" s="2"/>
      <c r="SIN5" s="2"/>
      <c r="SIO5" s="2"/>
      <c r="SIP5" s="2"/>
      <c r="SIQ5" s="2"/>
      <c r="SIR5" s="2"/>
      <c r="SIS5" s="2"/>
      <c r="SIT5" s="2"/>
      <c r="SIU5" s="2"/>
      <c r="SIV5" s="2"/>
      <c r="SIW5" s="2"/>
      <c r="SIX5" s="2"/>
      <c r="SIY5" s="2"/>
      <c r="SIZ5" s="2"/>
      <c r="SJA5" s="2"/>
      <c r="SJB5" s="2"/>
      <c r="SJC5" s="2"/>
      <c r="SJD5" s="2"/>
      <c r="SJE5" s="2"/>
      <c r="SJF5" s="2"/>
      <c r="SJG5" s="2"/>
      <c r="SJH5" s="2"/>
      <c r="SJI5" s="2"/>
      <c r="SJJ5" s="2"/>
      <c r="SJK5" s="2"/>
      <c r="SJL5" s="2"/>
      <c r="SJM5" s="2"/>
      <c r="SJN5" s="2"/>
      <c r="SJO5" s="2"/>
      <c r="SJP5" s="2"/>
      <c r="SJQ5" s="2"/>
      <c r="SJR5" s="2"/>
      <c r="SJS5" s="2"/>
      <c r="SJT5" s="2"/>
      <c r="SJU5" s="2"/>
      <c r="SJV5" s="2"/>
      <c r="SJW5" s="2"/>
      <c r="SJX5" s="2"/>
      <c r="SJY5" s="2"/>
      <c r="SJZ5" s="2"/>
      <c r="SKA5" s="2"/>
      <c r="SKB5" s="2"/>
      <c r="SKC5" s="2"/>
      <c r="SKD5" s="2"/>
      <c r="SKE5" s="2"/>
      <c r="SKF5" s="2"/>
      <c r="SKG5" s="2"/>
      <c r="SKH5" s="2"/>
      <c r="SKI5" s="2"/>
      <c r="SKJ5" s="2"/>
      <c r="SKK5" s="2"/>
      <c r="SKL5" s="2"/>
      <c r="SKM5" s="2"/>
      <c r="SKN5" s="2"/>
      <c r="SKO5" s="2"/>
      <c r="SKP5" s="2"/>
      <c r="SKQ5" s="2"/>
      <c r="SKR5" s="2"/>
      <c r="SKS5" s="2"/>
      <c r="SKT5" s="2"/>
      <c r="SKU5" s="2"/>
      <c r="SKV5" s="2"/>
      <c r="SKW5" s="2"/>
      <c r="SKX5" s="2"/>
      <c r="SKY5" s="2"/>
      <c r="SKZ5" s="2"/>
      <c r="SLA5" s="2"/>
      <c r="SLB5" s="2"/>
      <c r="SLC5" s="2"/>
      <c r="SLD5" s="2"/>
      <c r="SLE5" s="2"/>
      <c r="SLF5" s="2"/>
      <c r="SLG5" s="2"/>
      <c r="SLH5" s="2"/>
      <c r="SLI5" s="2"/>
      <c r="SLJ5" s="2"/>
      <c r="SLK5" s="2"/>
      <c r="SLL5" s="2"/>
      <c r="SLM5" s="2"/>
      <c r="SLN5" s="2"/>
      <c r="SLO5" s="2"/>
      <c r="SLP5" s="2"/>
      <c r="SLQ5" s="2"/>
      <c r="SLR5" s="2"/>
      <c r="SLS5" s="2"/>
      <c r="SLT5" s="2"/>
      <c r="SLU5" s="2"/>
      <c r="SLV5" s="2"/>
      <c r="SLW5" s="2"/>
      <c r="SLX5" s="2"/>
      <c r="SLY5" s="2"/>
      <c r="SLZ5" s="2"/>
      <c r="SMA5" s="2"/>
      <c r="SMB5" s="2"/>
      <c r="SMC5" s="2"/>
      <c r="SMD5" s="2"/>
      <c r="SME5" s="2"/>
      <c r="SMF5" s="2"/>
      <c r="SMG5" s="2"/>
      <c r="SMH5" s="2"/>
      <c r="SMI5" s="2"/>
      <c r="SMJ5" s="2"/>
      <c r="SMK5" s="2"/>
      <c r="SML5" s="2"/>
      <c r="SMM5" s="2"/>
      <c r="SMN5" s="2"/>
      <c r="SMO5" s="2"/>
      <c r="SMP5" s="2"/>
      <c r="SMQ5" s="2"/>
      <c r="SMR5" s="2"/>
      <c r="SMS5" s="2"/>
      <c r="SMT5" s="2"/>
      <c r="SMU5" s="2"/>
      <c r="SMV5" s="2"/>
      <c r="SMW5" s="2"/>
      <c r="SMX5" s="2"/>
      <c r="SMY5" s="2"/>
      <c r="SMZ5" s="2"/>
      <c r="SNA5" s="2"/>
      <c r="SNB5" s="2"/>
      <c r="SNC5" s="2"/>
      <c r="SND5" s="2"/>
      <c r="SNE5" s="2"/>
      <c r="SNF5" s="2"/>
      <c r="SNG5" s="2"/>
      <c r="SNH5" s="2"/>
      <c r="SNI5" s="2"/>
      <c r="SNJ5" s="2"/>
      <c r="SNK5" s="2"/>
      <c r="SNL5" s="2"/>
      <c r="SNM5" s="2"/>
      <c r="SNN5" s="2"/>
      <c r="SNO5" s="2"/>
      <c r="SNP5" s="2"/>
      <c r="SNQ5" s="2"/>
      <c r="SNR5" s="2"/>
      <c r="SNS5" s="2"/>
      <c r="SNT5" s="2"/>
      <c r="SNU5" s="2"/>
      <c r="SNV5" s="2"/>
      <c r="SNW5" s="2"/>
      <c r="SNX5" s="2"/>
      <c r="SNY5" s="2"/>
      <c r="SNZ5" s="2"/>
      <c r="SOA5" s="2"/>
      <c r="SOB5" s="2"/>
      <c r="SOC5" s="2"/>
      <c r="SOD5" s="2"/>
      <c r="SOE5" s="2"/>
      <c r="SOF5" s="2"/>
      <c r="SOG5" s="2"/>
      <c r="SOH5" s="2"/>
      <c r="SOI5" s="2"/>
      <c r="SOJ5" s="2"/>
      <c r="SOK5" s="2"/>
      <c r="SOL5" s="2"/>
      <c r="SOM5" s="2"/>
      <c r="SON5" s="2"/>
      <c r="SOO5" s="2"/>
      <c r="SOP5" s="2"/>
      <c r="SOQ5" s="2"/>
      <c r="SOR5" s="2"/>
      <c r="SOS5" s="2"/>
      <c r="SOT5" s="2"/>
      <c r="SOU5" s="2"/>
      <c r="SOV5" s="2"/>
      <c r="SOW5" s="2"/>
      <c r="SOX5" s="2"/>
      <c r="SOY5" s="2"/>
      <c r="SOZ5" s="2"/>
      <c r="SPA5" s="2"/>
      <c r="SPB5" s="2"/>
      <c r="SPC5" s="2"/>
      <c r="SPD5" s="2"/>
      <c r="SPE5" s="2"/>
      <c r="SPF5" s="2"/>
      <c r="SPG5" s="2"/>
      <c r="SPH5" s="2"/>
      <c r="SPI5" s="2"/>
      <c r="SPJ5" s="2"/>
      <c r="SPK5" s="2"/>
      <c r="SPL5" s="2"/>
      <c r="SPM5" s="2"/>
      <c r="SPN5" s="2"/>
      <c r="SPO5" s="2"/>
      <c r="SPP5" s="2"/>
      <c r="SPQ5" s="2"/>
      <c r="SPR5" s="2"/>
      <c r="SPS5" s="2"/>
      <c r="SPT5" s="2"/>
      <c r="SPU5" s="2"/>
      <c r="SPV5" s="2"/>
      <c r="SPW5" s="2"/>
      <c r="SPX5" s="2"/>
      <c r="SPY5" s="2"/>
      <c r="SPZ5" s="2"/>
      <c r="SQA5" s="2"/>
      <c r="SQB5" s="2"/>
      <c r="SQC5" s="2"/>
      <c r="SQD5" s="2"/>
      <c r="SQE5" s="2"/>
      <c r="SQF5" s="2"/>
      <c r="SQG5" s="2"/>
      <c r="SQH5" s="2"/>
      <c r="SQI5" s="2"/>
      <c r="SQJ5" s="2"/>
      <c r="SQK5" s="2"/>
      <c r="SQL5" s="2"/>
      <c r="SQM5" s="2"/>
      <c r="SQN5" s="2"/>
      <c r="SQO5" s="2"/>
      <c r="SQP5" s="2"/>
      <c r="SQQ5" s="2"/>
      <c r="SQR5" s="2"/>
      <c r="SQS5" s="2"/>
      <c r="SQT5" s="2"/>
      <c r="SQU5" s="2"/>
      <c r="SQV5" s="2"/>
      <c r="SQW5" s="2"/>
      <c r="SQX5" s="2"/>
      <c r="SQY5" s="2"/>
      <c r="SQZ5" s="2"/>
      <c r="SRA5" s="2"/>
      <c r="SRB5" s="2"/>
      <c r="SRC5" s="2"/>
      <c r="SRD5" s="2"/>
      <c r="SRE5" s="2"/>
      <c r="SRF5" s="2"/>
      <c r="SRG5" s="2"/>
      <c r="SRH5" s="2"/>
      <c r="SRI5" s="2"/>
      <c r="SRJ5" s="2"/>
      <c r="SRK5" s="2"/>
      <c r="SRL5" s="2"/>
      <c r="SRM5" s="2"/>
      <c r="SRN5" s="2"/>
      <c r="SRO5" s="2"/>
      <c r="SRP5" s="2"/>
      <c r="SRQ5" s="2"/>
      <c r="SRR5" s="2"/>
      <c r="SRS5" s="2"/>
      <c r="SRT5" s="2"/>
      <c r="SRU5" s="2"/>
      <c r="SRV5" s="2"/>
      <c r="SRW5" s="2"/>
      <c r="SRX5" s="2"/>
      <c r="SRY5" s="2"/>
      <c r="SRZ5" s="2"/>
      <c r="SSA5" s="2"/>
      <c r="SSB5" s="2"/>
      <c r="SSC5" s="2"/>
      <c r="SSD5" s="2"/>
      <c r="SSE5" s="2"/>
      <c r="SSF5" s="2"/>
      <c r="SSG5" s="2"/>
      <c r="SSH5" s="2"/>
      <c r="SSI5" s="2"/>
      <c r="SSJ5" s="2"/>
      <c r="SSK5" s="2"/>
      <c r="SSL5" s="2"/>
      <c r="SSM5" s="2"/>
      <c r="SSN5" s="2"/>
      <c r="SSO5" s="2"/>
      <c r="SSP5" s="2"/>
      <c r="SSQ5" s="2"/>
      <c r="SSR5" s="2"/>
      <c r="SSS5" s="2"/>
      <c r="SST5" s="2"/>
      <c r="SSU5" s="2"/>
      <c r="SSV5" s="2"/>
      <c r="SSW5" s="2"/>
      <c r="SSX5" s="2"/>
      <c r="SSY5" s="2"/>
      <c r="SSZ5" s="2"/>
      <c r="STA5" s="2"/>
      <c r="STB5" s="2"/>
      <c r="STC5" s="2"/>
      <c r="STD5" s="2"/>
      <c r="STE5" s="2"/>
      <c r="STF5" s="2"/>
      <c r="STG5" s="2"/>
      <c r="STH5" s="2"/>
      <c r="STI5" s="2"/>
      <c r="STJ5" s="2"/>
      <c r="STK5" s="2"/>
      <c r="STL5" s="2"/>
      <c r="STM5" s="2"/>
      <c r="STN5" s="2"/>
      <c r="STO5" s="2"/>
      <c r="STP5" s="2"/>
      <c r="STQ5" s="2"/>
      <c r="STR5" s="2"/>
      <c r="STS5" s="2"/>
      <c r="STT5" s="2"/>
      <c r="STU5" s="2"/>
      <c r="STV5" s="2"/>
      <c r="STW5" s="2"/>
      <c r="STX5" s="2"/>
      <c r="STY5" s="2"/>
      <c r="STZ5" s="2"/>
      <c r="SUA5" s="2"/>
      <c r="SUB5" s="2"/>
      <c r="SUC5" s="2"/>
      <c r="SUD5" s="2"/>
      <c r="SUE5" s="2"/>
      <c r="SUF5" s="2"/>
      <c r="SUG5" s="2"/>
      <c r="SUH5" s="2"/>
      <c r="SUI5" s="2"/>
      <c r="SUJ5" s="2"/>
      <c r="SUK5" s="2"/>
      <c r="SUL5" s="2"/>
      <c r="SUM5" s="2"/>
      <c r="SUN5" s="2"/>
      <c r="SUO5" s="2"/>
      <c r="SUP5" s="2"/>
      <c r="SUQ5" s="2"/>
      <c r="SUR5" s="2"/>
      <c r="SUS5" s="2"/>
      <c r="SUT5" s="2"/>
      <c r="SUU5" s="2"/>
      <c r="SUV5" s="2"/>
      <c r="SUW5" s="2"/>
      <c r="SUX5" s="2"/>
      <c r="SUY5" s="2"/>
      <c r="SUZ5" s="2"/>
      <c r="SVA5" s="2"/>
      <c r="SVB5" s="2"/>
      <c r="SVC5" s="2"/>
      <c r="SVD5" s="2"/>
      <c r="SVE5" s="2"/>
      <c r="SVF5" s="2"/>
      <c r="SVG5" s="2"/>
      <c r="SVH5" s="2"/>
      <c r="SVI5" s="2"/>
      <c r="SVJ5" s="2"/>
      <c r="SVK5" s="2"/>
      <c r="SVL5" s="2"/>
      <c r="SVM5" s="2"/>
      <c r="SVN5" s="2"/>
      <c r="SVO5" s="2"/>
      <c r="SVP5" s="2"/>
      <c r="SVQ5" s="2"/>
      <c r="SVR5" s="2"/>
      <c r="SVS5" s="2"/>
      <c r="SVT5" s="2"/>
      <c r="SVU5" s="2"/>
      <c r="SVV5" s="2"/>
      <c r="SVW5" s="2"/>
      <c r="SVX5" s="2"/>
      <c r="SVY5" s="2"/>
      <c r="SVZ5" s="2"/>
      <c r="SWA5" s="2"/>
      <c r="SWB5" s="2"/>
      <c r="SWC5" s="2"/>
      <c r="SWD5" s="2"/>
      <c r="SWE5" s="2"/>
      <c r="SWF5" s="2"/>
      <c r="SWG5" s="2"/>
      <c r="SWH5" s="2"/>
      <c r="SWI5" s="2"/>
      <c r="SWJ5" s="2"/>
      <c r="SWK5" s="2"/>
      <c r="SWL5" s="2"/>
      <c r="SWM5" s="2"/>
      <c r="SWN5" s="2"/>
      <c r="SWO5" s="2"/>
      <c r="SWP5" s="2"/>
      <c r="SWQ5" s="2"/>
      <c r="SWR5" s="2"/>
      <c r="SWS5" s="2"/>
      <c r="SWT5" s="2"/>
      <c r="SWU5" s="2"/>
      <c r="SWV5" s="2"/>
      <c r="SWW5" s="2"/>
      <c r="SWX5" s="2"/>
      <c r="SWY5" s="2"/>
      <c r="SWZ5" s="2"/>
      <c r="SXA5" s="2"/>
      <c r="SXB5" s="2"/>
      <c r="SXC5" s="2"/>
      <c r="SXD5" s="2"/>
      <c r="SXE5" s="2"/>
      <c r="SXF5" s="2"/>
      <c r="SXG5" s="2"/>
      <c r="SXH5" s="2"/>
      <c r="SXI5" s="2"/>
      <c r="SXJ5" s="2"/>
      <c r="SXK5" s="2"/>
      <c r="SXL5" s="2"/>
      <c r="SXM5" s="2"/>
      <c r="SXN5" s="2"/>
      <c r="SXO5" s="2"/>
      <c r="SXP5" s="2"/>
      <c r="SXQ5" s="2"/>
      <c r="SXR5" s="2"/>
      <c r="SXS5" s="2"/>
      <c r="SXT5" s="2"/>
      <c r="SXU5" s="2"/>
      <c r="SXV5" s="2"/>
      <c r="SXW5" s="2"/>
      <c r="SXX5" s="2"/>
      <c r="SXY5" s="2"/>
      <c r="SXZ5" s="2"/>
      <c r="SYA5" s="2"/>
      <c r="SYB5" s="2"/>
      <c r="SYC5" s="2"/>
      <c r="SYD5" s="2"/>
      <c r="SYE5" s="2"/>
      <c r="SYF5" s="2"/>
      <c r="SYG5" s="2"/>
      <c r="SYH5" s="2"/>
      <c r="SYI5" s="2"/>
      <c r="SYJ5" s="2"/>
      <c r="SYK5" s="2"/>
      <c r="SYL5" s="2"/>
      <c r="SYM5" s="2"/>
      <c r="SYN5" s="2"/>
      <c r="SYO5" s="2"/>
      <c r="SYP5" s="2"/>
      <c r="SYQ5" s="2"/>
      <c r="SYR5" s="2"/>
      <c r="SYS5" s="2"/>
      <c r="SYT5" s="2"/>
      <c r="SYU5" s="2"/>
      <c r="SYV5" s="2"/>
      <c r="SYW5" s="2"/>
      <c r="SYX5" s="2"/>
      <c r="SYY5" s="2"/>
      <c r="SYZ5" s="2"/>
      <c r="SZA5" s="2"/>
      <c r="SZB5" s="2"/>
      <c r="SZC5" s="2"/>
      <c r="SZD5" s="2"/>
      <c r="SZE5" s="2"/>
      <c r="SZF5" s="2"/>
      <c r="SZG5" s="2"/>
      <c r="SZH5" s="2"/>
      <c r="SZI5" s="2"/>
      <c r="SZJ5" s="2"/>
      <c r="SZK5" s="2"/>
      <c r="SZL5" s="2"/>
      <c r="SZM5" s="2"/>
      <c r="SZN5" s="2"/>
      <c r="SZO5" s="2"/>
      <c r="SZP5" s="2"/>
      <c r="SZQ5" s="2"/>
      <c r="SZR5" s="2"/>
      <c r="SZS5" s="2"/>
      <c r="SZT5" s="2"/>
      <c r="SZU5" s="2"/>
      <c r="SZV5" s="2"/>
      <c r="SZW5" s="2"/>
      <c r="SZX5" s="2"/>
      <c r="SZY5" s="2"/>
      <c r="SZZ5" s="2"/>
      <c r="TAA5" s="2"/>
      <c r="TAB5" s="2"/>
      <c r="TAC5" s="2"/>
      <c r="TAD5" s="2"/>
      <c r="TAE5" s="2"/>
      <c r="TAF5" s="2"/>
      <c r="TAG5" s="2"/>
      <c r="TAH5" s="2"/>
      <c r="TAI5" s="2"/>
      <c r="TAJ5" s="2"/>
      <c r="TAK5" s="2"/>
      <c r="TAL5" s="2"/>
      <c r="TAM5" s="2"/>
      <c r="TAN5" s="2"/>
      <c r="TAO5" s="2"/>
      <c r="TAP5" s="2"/>
      <c r="TAQ5" s="2"/>
      <c r="TAR5" s="2"/>
      <c r="TAS5" s="2"/>
      <c r="TAT5" s="2"/>
      <c r="TAU5" s="2"/>
      <c r="TAV5" s="2"/>
      <c r="TAW5" s="2"/>
      <c r="TAX5" s="2"/>
      <c r="TAY5" s="2"/>
      <c r="TAZ5" s="2"/>
      <c r="TBA5" s="2"/>
      <c r="TBB5" s="2"/>
      <c r="TBC5" s="2"/>
      <c r="TBD5" s="2"/>
      <c r="TBE5" s="2"/>
      <c r="TBF5" s="2"/>
      <c r="TBG5" s="2"/>
      <c r="TBH5" s="2"/>
      <c r="TBI5" s="2"/>
      <c r="TBJ5" s="2"/>
      <c r="TBK5" s="2"/>
      <c r="TBL5" s="2"/>
      <c r="TBM5" s="2"/>
      <c r="TBN5" s="2"/>
      <c r="TBO5" s="2"/>
      <c r="TBP5" s="2"/>
      <c r="TBQ5" s="2"/>
      <c r="TBR5" s="2"/>
      <c r="TBS5" s="2"/>
      <c r="TBT5" s="2"/>
      <c r="TBU5" s="2"/>
      <c r="TBV5" s="2"/>
      <c r="TBW5" s="2"/>
      <c r="TBX5" s="2"/>
      <c r="TBY5" s="2"/>
      <c r="TBZ5" s="2"/>
      <c r="TCA5" s="2"/>
      <c r="TCB5" s="2"/>
      <c r="TCC5" s="2"/>
      <c r="TCD5" s="2"/>
      <c r="TCE5" s="2"/>
      <c r="TCF5" s="2"/>
      <c r="TCG5" s="2"/>
      <c r="TCH5" s="2"/>
      <c r="TCI5" s="2"/>
      <c r="TCJ5" s="2"/>
      <c r="TCK5" s="2"/>
      <c r="TCL5" s="2"/>
      <c r="TCM5" s="2"/>
      <c r="TCN5" s="2"/>
      <c r="TCO5" s="2"/>
      <c r="TCP5" s="2"/>
      <c r="TCQ5" s="2"/>
      <c r="TCR5" s="2"/>
      <c r="TCS5" s="2"/>
      <c r="TCT5" s="2"/>
      <c r="TCU5" s="2"/>
      <c r="TCV5" s="2"/>
      <c r="TCW5" s="2"/>
      <c r="TCX5" s="2"/>
      <c r="TCY5" s="2"/>
      <c r="TCZ5" s="2"/>
      <c r="TDA5" s="2"/>
      <c r="TDB5" s="2"/>
      <c r="TDC5" s="2"/>
      <c r="TDD5" s="2"/>
      <c r="TDE5" s="2"/>
      <c r="TDF5" s="2"/>
      <c r="TDG5" s="2"/>
      <c r="TDH5" s="2"/>
      <c r="TDI5" s="2"/>
      <c r="TDJ5" s="2"/>
      <c r="TDK5" s="2"/>
      <c r="TDL5" s="2"/>
      <c r="TDM5" s="2"/>
      <c r="TDN5" s="2"/>
      <c r="TDO5" s="2"/>
      <c r="TDP5" s="2"/>
      <c r="TDQ5" s="2"/>
      <c r="TDR5" s="2"/>
      <c r="TDS5" s="2"/>
      <c r="TDT5" s="2"/>
      <c r="TDU5" s="2"/>
      <c r="TDV5" s="2"/>
      <c r="TDW5" s="2"/>
      <c r="TDX5" s="2"/>
      <c r="TDY5" s="2"/>
      <c r="TDZ5" s="2"/>
      <c r="TEA5" s="2"/>
      <c r="TEB5" s="2"/>
      <c r="TEC5" s="2"/>
      <c r="TED5" s="2"/>
      <c r="TEE5" s="2"/>
      <c r="TEF5" s="2"/>
      <c r="TEG5" s="2"/>
      <c r="TEH5" s="2"/>
      <c r="TEI5" s="2"/>
      <c r="TEJ5" s="2"/>
      <c r="TEK5" s="2"/>
      <c r="TEL5" s="2"/>
      <c r="TEM5" s="2"/>
      <c r="TEN5" s="2"/>
      <c r="TEO5" s="2"/>
      <c r="TEP5" s="2"/>
      <c r="TEQ5" s="2"/>
      <c r="TER5" s="2"/>
      <c r="TES5" s="2"/>
      <c r="TET5" s="2"/>
      <c r="TEU5" s="2"/>
      <c r="TEV5" s="2"/>
      <c r="TEW5" s="2"/>
      <c r="TEX5" s="2"/>
      <c r="TEY5" s="2"/>
      <c r="TEZ5" s="2"/>
      <c r="TFA5" s="2"/>
      <c r="TFB5" s="2"/>
      <c r="TFC5" s="2"/>
      <c r="TFD5" s="2"/>
      <c r="TFE5" s="2"/>
      <c r="TFF5" s="2"/>
      <c r="TFG5" s="2"/>
      <c r="TFH5" s="2"/>
      <c r="TFI5" s="2"/>
      <c r="TFJ5" s="2"/>
      <c r="TFK5" s="2"/>
      <c r="TFL5" s="2"/>
      <c r="TFM5" s="2"/>
      <c r="TFN5" s="2"/>
      <c r="TFO5" s="2"/>
      <c r="TFP5" s="2"/>
      <c r="TFQ5" s="2"/>
      <c r="TFR5" s="2"/>
      <c r="TFS5" s="2"/>
      <c r="TFT5" s="2"/>
      <c r="TFU5" s="2"/>
      <c r="TFV5" s="2"/>
      <c r="TFW5" s="2"/>
      <c r="TFX5" s="2"/>
      <c r="TFY5" s="2"/>
      <c r="TFZ5" s="2"/>
      <c r="TGA5" s="2"/>
      <c r="TGB5" s="2"/>
      <c r="TGC5" s="2"/>
      <c r="TGD5" s="2"/>
      <c r="TGE5" s="2"/>
      <c r="TGF5" s="2"/>
      <c r="TGG5" s="2"/>
      <c r="TGH5" s="2"/>
      <c r="TGI5" s="2"/>
      <c r="TGJ5" s="2"/>
      <c r="TGK5" s="2"/>
      <c r="TGL5" s="2"/>
      <c r="TGM5" s="2"/>
      <c r="TGN5" s="2"/>
      <c r="TGO5" s="2"/>
      <c r="TGP5" s="2"/>
      <c r="TGQ5" s="2"/>
      <c r="TGR5" s="2"/>
      <c r="TGS5" s="2"/>
      <c r="TGT5" s="2"/>
      <c r="TGU5" s="2"/>
      <c r="TGV5" s="2"/>
      <c r="TGW5" s="2"/>
      <c r="TGX5" s="2"/>
      <c r="TGY5" s="2"/>
      <c r="TGZ5" s="2"/>
      <c r="THA5" s="2"/>
      <c r="THB5" s="2"/>
      <c r="THC5" s="2"/>
      <c r="THD5" s="2"/>
      <c r="THE5" s="2"/>
      <c r="THF5" s="2"/>
      <c r="THG5" s="2"/>
      <c r="THH5" s="2"/>
      <c r="THI5" s="2"/>
      <c r="THJ5" s="2"/>
      <c r="THK5" s="2"/>
      <c r="THL5" s="2"/>
      <c r="THM5" s="2"/>
      <c r="THN5" s="2"/>
      <c r="THO5" s="2"/>
      <c r="THP5" s="2"/>
      <c r="THQ5" s="2"/>
      <c r="THR5" s="2"/>
      <c r="THS5" s="2"/>
      <c r="THT5" s="2"/>
      <c r="THU5" s="2"/>
      <c r="THV5" s="2"/>
      <c r="THW5" s="2"/>
      <c r="THX5" s="2"/>
      <c r="THY5" s="2"/>
      <c r="THZ5" s="2"/>
      <c r="TIA5" s="2"/>
      <c r="TIB5" s="2"/>
      <c r="TIC5" s="2"/>
      <c r="TID5" s="2"/>
      <c r="TIE5" s="2"/>
      <c r="TIF5" s="2"/>
      <c r="TIG5" s="2"/>
      <c r="TIH5" s="2"/>
      <c r="TII5" s="2"/>
      <c r="TIJ5" s="2"/>
      <c r="TIK5" s="2"/>
      <c r="TIL5" s="2"/>
      <c r="TIM5" s="2"/>
      <c r="TIN5" s="2"/>
      <c r="TIO5" s="2"/>
      <c r="TIP5" s="2"/>
      <c r="TIQ5" s="2"/>
      <c r="TIR5" s="2"/>
      <c r="TIS5" s="2"/>
      <c r="TIT5" s="2"/>
      <c r="TIU5" s="2"/>
      <c r="TIV5" s="2"/>
      <c r="TIW5" s="2"/>
      <c r="TIX5" s="2"/>
      <c r="TIY5" s="2"/>
      <c r="TIZ5" s="2"/>
      <c r="TJA5" s="2"/>
      <c r="TJB5" s="2"/>
      <c r="TJC5" s="2"/>
      <c r="TJD5" s="2"/>
      <c r="TJE5" s="2"/>
      <c r="TJF5" s="2"/>
      <c r="TJG5" s="2"/>
      <c r="TJH5" s="2"/>
      <c r="TJI5" s="2"/>
      <c r="TJJ5" s="2"/>
      <c r="TJK5" s="2"/>
      <c r="TJL5" s="2"/>
      <c r="TJM5" s="2"/>
      <c r="TJN5" s="2"/>
      <c r="TJO5" s="2"/>
      <c r="TJP5" s="2"/>
      <c r="TJQ5" s="2"/>
      <c r="TJR5" s="2"/>
      <c r="TJS5" s="2"/>
      <c r="TJT5" s="2"/>
      <c r="TJU5" s="2"/>
      <c r="TJV5" s="2"/>
      <c r="TJW5" s="2"/>
      <c r="TJX5" s="2"/>
      <c r="TJY5" s="2"/>
      <c r="TJZ5" s="2"/>
      <c r="TKA5" s="2"/>
      <c r="TKB5" s="2"/>
      <c r="TKC5" s="2"/>
      <c r="TKD5" s="2"/>
      <c r="TKE5" s="2"/>
      <c r="TKF5" s="2"/>
      <c r="TKG5" s="2"/>
      <c r="TKH5" s="2"/>
      <c r="TKI5" s="2"/>
      <c r="TKJ5" s="2"/>
      <c r="TKK5" s="2"/>
      <c r="TKL5" s="2"/>
      <c r="TKM5" s="2"/>
      <c r="TKN5" s="2"/>
      <c r="TKO5" s="2"/>
      <c r="TKP5" s="2"/>
      <c r="TKQ5" s="2"/>
      <c r="TKR5" s="2"/>
      <c r="TKS5" s="2"/>
      <c r="TKT5" s="2"/>
      <c r="TKU5" s="2"/>
      <c r="TKV5" s="2"/>
      <c r="TKW5" s="2"/>
      <c r="TKX5" s="2"/>
      <c r="TKY5" s="2"/>
      <c r="TKZ5" s="2"/>
      <c r="TLA5" s="2"/>
      <c r="TLB5" s="2"/>
      <c r="TLC5" s="2"/>
      <c r="TLD5" s="2"/>
      <c r="TLE5" s="2"/>
      <c r="TLF5" s="2"/>
      <c r="TLG5" s="2"/>
      <c r="TLH5" s="2"/>
      <c r="TLI5" s="2"/>
      <c r="TLJ5" s="2"/>
      <c r="TLK5" s="2"/>
      <c r="TLL5" s="2"/>
      <c r="TLM5" s="2"/>
      <c r="TLN5" s="2"/>
      <c r="TLO5" s="2"/>
      <c r="TLP5" s="2"/>
      <c r="TLQ5" s="2"/>
      <c r="TLR5" s="2"/>
      <c r="TLS5" s="2"/>
      <c r="TLT5" s="2"/>
      <c r="TLU5" s="2"/>
      <c r="TLV5" s="2"/>
      <c r="TLW5" s="2"/>
      <c r="TLX5" s="2"/>
      <c r="TLY5" s="2"/>
      <c r="TLZ5" s="2"/>
      <c r="TMA5" s="2"/>
      <c r="TMB5" s="2"/>
      <c r="TMC5" s="2"/>
      <c r="TMD5" s="2"/>
      <c r="TME5" s="2"/>
      <c r="TMF5" s="2"/>
      <c r="TMG5" s="2"/>
      <c r="TMH5" s="2"/>
      <c r="TMI5" s="2"/>
      <c r="TMJ5" s="2"/>
      <c r="TMK5" s="2"/>
      <c r="TML5" s="2"/>
      <c r="TMM5" s="2"/>
      <c r="TMN5" s="2"/>
      <c r="TMO5" s="2"/>
      <c r="TMP5" s="2"/>
      <c r="TMQ5" s="2"/>
      <c r="TMR5" s="2"/>
      <c r="TMS5" s="2"/>
      <c r="TMT5" s="2"/>
      <c r="TMU5" s="2"/>
      <c r="TMV5" s="2"/>
      <c r="TMW5" s="2"/>
      <c r="TMX5" s="2"/>
      <c r="TMY5" s="2"/>
      <c r="TMZ5" s="2"/>
      <c r="TNA5" s="2"/>
      <c r="TNB5" s="2"/>
      <c r="TNC5" s="2"/>
      <c r="TND5" s="2"/>
      <c r="TNE5" s="2"/>
      <c r="TNF5" s="2"/>
      <c r="TNG5" s="2"/>
      <c r="TNH5" s="2"/>
      <c r="TNI5" s="2"/>
      <c r="TNJ5" s="2"/>
      <c r="TNK5" s="2"/>
      <c r="TNL5" s="2"/>
      <c r="TNM5" s="2"/>
      <c r="TNN5" s="2"/>
      <c r="TNO5" s="2"/>
      <c r="TNP5" s="2"/>
      <c r="TNQ5" s="2"/>
      <c r="TNR5" s="2"/>
      <c r="TNS5" s="2"/>
      <c r="TNT5" s="2"/>
      <c r="TNU5" s="2"/>
      <c r="TNV5" s="2"/>
      <c r="TNW5" s="2"/>
      <c r="TNX5" s="2"/>
      <c r="TNY5" s="2"/>
      <c r="TNZ5" s="2"/>
      <c r="TOA5" s="2"/>
      <c r="TOB5" s="2"/>
      <c r="TOC5" s="2"/>
      <c r="TOD5" s="2"/>
      <c r="TOE5" s="2"/>
      <c r="TOF5" s="2"/>
      <c r="TOG5" s="2"/>
      <c r="TOH5" s="2"/>
      <c r="TOI5" s="2"/>
      <c r="TOJ5" s="2"/>
      <c r="TOK5" s="2"/>
      <c r="TOL5" s="2"/>
      <c r="TOM5" s="2"/>
      <c r="TON5" s="2"/>
      <c r="TOO5" s="2"/>
      <c r="TOP5" s="2"/>
      <c r="TOQ5" s="2"/>
      <c r="TOR5" s="2"/>
      <c r="TOS5" s="2"/>
      <c r="TOT5" s="2"/>
      <c r="TOU5" s="2"/>
      <c r="TOV5" s="2"/>
      <c r="TOW5" s="2"/>
      <c r="TOX5" s="2"/>
      <c r="TOY5" s="2"/>
      <c r="TOZ5" s="2"/>
      <c r="TPA5" s="2"/>
      <c r="TPB5" s="2"/>
      <c r="TPC5" s="2"/>
      <c r="TPD5" s="2"/>
      <c r="TPE5" s="2"/>
      <c r="TPF5" s="2"/>
      <c r="TPG5" s="2"/>
      <c r="TPH5" s="2"/>
      <c r="TPI5" s="2"/>
      <c r="TPJ5" s="2"/>
      <c r="TPK5" s="2"/>
      <c r="TPL5" s="2"/>
      <c r="TPM5" s="2"/>
      <c r="TPN5" s="2"/>
      <c r="TPO5" s="2"/>
      <c r="TPP5" s="2"/>
      <c r="TPQ5" s="2"/>
      <c r="TPR5" s="2"/>
      <c r="TPS5" s="2"/>
      <c r="TPT5" s="2"/>
      <c r="TPU5" s="2"/>
      <c r="TPV5" s="2"/>
      <c r="TPW5" s="2"/>
      <c r="TPX5" s="2"/>
      <c r="TPY5" s="2"/>
      <c r="TPZ5" s="2"/>
      <c r="TQA5" s="2"/>
      <c r="TQB5" s="2"/>
      <c r="TQC5" s="2"/>
      <c r="TQD5" s="2"/>
      <c r="TQE5" s="2"/>
      <c r="TQF5" s="2"/>
      <c r="TQG5" s="2"/>
      <c r="TQH5" s="2"/>
      <c r="TQI5" s="2"/>
      <c r="TQJ5" s="2"/>
      <c r="TQK5" s="2"/>
      <c r="TQL5" s="2"/>
      <c r="TQM5" s="2"/>
      <c r="TQN5" s="2"/>
      <c r="TQO5" s="2"/>
      <c r="TQP5" s="2"/>
      <c r="TQQ5" s="2"/>
      <c r="TQR5" s="2"/>
      <c r="TQS5" s="2"/>
      <c r="TQT5" s="2"/>
      <c r="TQU5" s="2"/>
      <c r="TQV5" s="2"/>
      <c r="TQW5" s="2"/>
      <c r="TQX5" s="2"/>
      <c r="TQY5" s="2"/>
      <c r="TQZ5" s="2"/>
      <c r="TRA5" s="2"/>
      <c r="TRB5" s="2"/>
      <c r="TRC5" s="2"/>
      <c r="TRD5" s="2"/>
      <c r="TRE5" s="2"/>
      <c r="TRF5" s="2"/>
      <c r="TRG5" s="2"/>
      <c r="TRH5" s="2"/>
      <c r="TRI5" s="2"/>
      <c r="TRJ5" s="2"/>
      <c r="TRK5" s="2"/>
      <c r="TRL5" s="2"/>
      <c r="TRM5" s="2"/>
      <c r="TRN5" s="2"/>
      <c r="TRO5" s="2"/>
      <c r="TRP5" s="2"/>
      <c r="TRQ5" s="2"/>
      <c r="TRR5" s="2"/>
      <c r="TRS5" s="2"/>
      <c r="TRT5" s="2"/>
      <c r="TRU5" s="2"/>
      <c r="TRV5" s="2"/>
      <c r="TRW5" s="2"/>
      <c r="TRX5" s="2"/>
      <c r="TRY5" s="2"/>
      <c r="TRZ5" s="2"/>
      <c r="TSA5" s="2"/>
      <c r="TSB5" s="2"/>
      <c r="TSC5" s="2"/>
      <c r="TSD5" s="2"/>
      <c r="TSE5" s="2"/>
      <c r="TSF5" s="2"/>
      <c r="TSG5" s="2"/>
      <c r="TSH5" s="2"/>
      <c r="TSI5" s="2"/>
      <c r="TSJ5" s="2"/>
      <c r="TSK5" s="2"/>
      <c r="TSL5" s="2"/>
      <c r="TSM5" s="2"/>
      <c r="TSN5" s="2"/>
      <c r="TSO5" s="2"/>
      <c r="TSP5" s="2"/>
      <c r="TSQ5" s="2"/>
      <c r="TSR5" s="2"/>
      <c r="TSS5" s="2"/>
      <c r="TST5" s="2"/>
      <c r="TSU5" s="2"/>
      <c r="TSV5" s="2"/>
      <c r="TSW5" s="2"/>
      <c r="TSX5" s="2"/>
      <c r="TSY5" s="2"/>
      <c r="TSZ5" s="2"/>
      <c r="TTA5" s="2"/>
      <c r="TTB5" s="2"/>
      <c r="TTC5" s="2"/>
      <c r="TTD5" s="2"/>
      <c r="TTE5" s="2"/>
      <c r="TTF5" s="2"/>
      <c r="TTG5" s="2"/>
      <c r="TTH5" s="2"/>
      <c r="TTI5" s="2"/>
      <c r="TTJ5" s="2"/>
      <c r="TTK5" s="2"/>
      <c r="TTL5" s="2"/>
      <c r="TTM5" s="2"/>
      <c r="TTN5" s="2"/>
      <c r="TTO5" s="2"/>
      <c r="TTP5" s="2"/>
      <c r="TTQ5" s="2"/>
      <c r="TTR5" s="2"/>
      <c r="TTS5" s="2"/>
      <c r="TTT5" s="2"/>
      <c r="TTU5" s="2"/>
      <c r="TTV5" s="2"/>
      <c r="TTW5" s="2"/>
      <c r="TTX5" s="2"/>
      <c r="TTY5" s="2"/>
      <c r="TTZ5" s="2"/>
      <c r="TUA5" s="2"/>
      <c r="TUB5" s="2"/>
      <c r="TUC5" s="2"/>
      <c r="TUD5" s="2"/>
      <c r="TUE5" s="2"/>
      <c r="TUF5" s="2"/>
      <c r="TUG5" s="2"/>
      <c r="TUH5" s="2"/>
      <c r="TUI5" s="2"/>
      <c r="TUJ5" s="2"/>
      <c r="TUK5" s="2"/>
      <c r="TUL5" s="2"/>
      <c r="TUM5" s="2"/>
      <c r="TUN5" s="2"/>
      <c r="TUO5" s="2"/>
      <c r="TUP5" s="2"/>
      <c r="TUQ5" s="2"/>
      <c r="TUR5" s="2"/>
      <c r="TUS5" s="2"/>
      <c r="TUT5" s="2"/>
      <c r="TUU5" s="2"/>
      <c r="TUV5" s="2"/>
      <c r="TUW5" s="2"/>
      <c r="TUX5" s="2"/>
      <c r="TUY5" s="2"/>
      <c r="TUZ5" s="2"/>
      <c r="TVA5" s="2"/>
      <c r="TVB5" s="2"/>
      <c r="TVC5" s="2"/>
      <c r="TVD5" s="2"/>
      <c r="TVE5" s="2"/>
      <c r="TVF5" s="2"/>
      <c r="TVG5" s="2"/>
      <c r="TVH5" s="2"/>
      <c r="TVI5" s="2"/>
      <c r="TVJ5" s="2"/>
      <c r="TVK5" s="2"/>
      <c r="TVL5" s="2"/>
      <c r="TVM5" s="2"/>
      <c r="TVN5" s="2"/>
      <c r="TVO5" s="2"/>
      <c r="TVP5" s="2"/>
      <c r="TVQ5" s="2"/>
      <c r="TVR5" s="2"/>
      <c r="TVS5" s="2"/>
      <c r="TVT5" s="2"/>
      <c r="TVU5" s="2"/>
      <c r="TVV5" s="2"/>
      <c r="TVW5" s="2"/>
      <c r="TVX5" s="2"/>
      <c r="TVY5" s="2"/>
      <c r="TVZ5" s="2"/>
      <c r="TWA5" s="2"/>
      <c r="TWB5" s="2"/>
      <c r="TWC5" s="2"/>
      <c r="TWD5" s="2"/>
      <c r="TWE5" s="2"/>
      <c r="TWF5" s="2"/>
      <c r="TWG5" s="2"/>
      <c r="TWH5" s="2"/>
      <c r="TWI5" s="2"/>
      <c r="TWJ5" s="2"/>
      <c r="TWK5" s="2"/>
      <c r="TWL5" s="2"/>
      <c r="TWM5" s="2"/>
      <c r="TWN5" s="2"/>
      <c r="TWO5" s="2"/>
      <c r="TWP5" s="2"/>
      <c r="TWQ5" s="2"/>
      <c r="TWR5" s="2"/>
      <c r="TWS5" s="2"/>
      <c r="TWT5" s="2"/>
      <c r="TWU5" s="2"/>
      <c r="TWV5" s="2"/>
      <c r="TWW5" s="2"/>
      <c r="TWX5" s="2"/>
      <c r="TWY5" s="2"/>
      <c r="TWZ5" s="2"/>
      <c r="TXA5" s="2"/>
      <c r="TXB5" s="2"/>
      <c r="TXC5" s="2"/>
      <c r="TXD5" s="2"/>
      <c r="TXE5" s="2"/>
      <c r="TXF5" s="2"/>
      <c r="TXG5" s="2"/>
      <c r="TXH5" s="2"/>
      <c r="TXI5" s="2"/>
      <c r="TXJ5" s="2"/>
      <c r="TXK5" s="2"/>
      <c r="TXL5" s="2"/>
      <c r="TXM5" s="2"/>
      <c r="TXN5" s="2"/>
      <c r="TXO5" s="2"/>
      <c r="TXP5" s="2"/>
      <c r="TXQ5" s="2"/>
      <c r="TXR5" s="2"/>
      <c r="TXS5" s="2"/>
      <c r="TXT5" s="2"/>
      <c r="TXU5" s="2"/>
      <c r="TXV5" s="2"/>
      <c r="TXW5" s="2"/>
      <c r="TXX5" s="2"/>
      <c r="TXY5" s="2"/>
      <c r="TXZ5" s="2"/>
      <c r="TYA5" s="2"/>
      <c r="TYB5" s="2"/>
      <c r="TYC5" s="2"/>
      <c r="TYD5" s="2"/>
      <c r="TYE5" s="2"/>
      <c r="TYF5" s="2"/>
      <c r="TYG5" s="2"/>
      <c r="TYH5" s="2"/>
      <c r="TYI5" s="2"/>
      <c r="TYJ5" s="2"/>
      <c r="TYK5" s="2"/>
      <c r="TYL5" s="2"/>
      <c r="TYM5" s="2"/>
      <c r="TYN5" s="2"/>
      <c r="TYO5" s="2"/>
      <c r="TYP5" s="2"/>
      <c r="TYQ5" s="2"/>
      <c r="TYR5" s="2"/>
      <c r="TYS5" s="2"/>
      <c r="TYT5" s="2"/>
      <c r="TYU5" s="2"/>
      <c r="TYV5" s="2"/>
      <c r="TYW5" s="2"/>
      <c r="TYX5" s="2"/>
      <c r="TYY5" s="2"/>
      <c r="TYZ5" s="2"/>
      <c r="TZA5" s="2"/>
      <c r="TZB5" s="2"/>
      <c r="TZC5" s="2"/>
      <c r="TZD5" s="2"/>
      <c r="TZE5" s="2"/>
      <c r="TZF5" s="2"/>
      <c r="TZG5" s="2"/>
      <c r="TZH5" s="2"/>
      <c r="TZI5" s="2"/>
      <c r="TZJ5" s="2"/>
      <c r="TZK5" s="2"/>
      <c r="TZL5" s="2"/>
      <c r="TZM5" s="2"/>
      <c r="TZN5" s="2"/>
      <c r="TZO5" s="2"/>
      <c r="TZP5" s="2"/>
      <c r="TZQ5" s="2"/>
      <c r="TZR5" s="2"/>
      <c r="TZS5" s="2"/>
      <c r="TZT5" s="2"/>
      <c r="TZU5" s="2"/>
      <c r="TZV5" s="2"/>
      <c r="TZW5" s="2"/>
      <c r="TZX5" s="2"/>
      <c r="TZY5" s="2"/>
      <c r="TZZ5" s="2"/>
      <c r="UAA5" s="2"/>
      <c r="UAB5" s="2"/>
      <c r="UAC5" s="2"/>
      <c r="UAD5" s="2"/>
      <c r="UAE5" s="2"/>
      <c r="UAF5" s="2"/>
      <c r="UAG5" s="2"/>
      <c r="UAH5" s="2"/>
      <c r="UAI5" s="2"/>
      <c r="UAJ5" s="2"/>
      <c r="UAK5" s="2"/>
      <c r="UAL5" s="2"/>
      <c r="UAM5" s="2"/>
      <c r="UAN5" s="2"/>
      <c r="UAO5" s="2"/>
      <c r="UAP5" s="2"/>
      <c r="UAQ5" s="2"/>
      <c r="UAR5" s="2"/>
      <c r="UAS5" s="2"/>
      <c r="UAT5" s="2"/>
      <c r="UAU5" s="2"/>
      <c r="UAV5" s="2"/>
      <c r="UAW5" s="2"/>
      <c r="UAX5" s="2"/>
      <c r="UAY5" s="2"/>
      <c r="UAZ5" s="2"/>
      <c r="UBA5" s="2"/>
      <c r="UBB5" s="2"/>
      <c r="UBC5" s="2"/>
      <c r="UBD5" s="2"/>
      <c r="UBE5" s="2"/>
      <c r="UBF5" s="2"/>
      <c r="UBG5" s="2"/>
      <c r="UBH5" s="2"/>
      <c r="UBI5" s="2"/>
      <c r="UBJ5" s="2"/>
      <c r="UBK5" s="2"/>
      <c r="UBL5" s="2"/>
      <c r="UBM5" s="2"/>
      <c r="UBN5" s="2"/>
      <c r="UBO5" s="2"/>
      <c r="UBP5" s="2"/>
      <c r="UBQ5" s="2"/>
      <c r="UBR5" s="2"/>
      <c r="UBS5" s="2"/>
      <c r="UBT5" s="2"/>
      <c r="UBU5" s="2"/>
      <c r="UBV5" s="2"/>
      <c r="UBW5" s="2"/>
      <c r="UBX5" s="2"/>
      <c r="UBY5" s="2"/>
      <c r="UBZ5" s="2"/>
      <c r="UCA5" s="2"/>
      <c r="UCB5" s="2"/>
      <c r="UCC5" s="2"/>
      <c r="UCD5" s="2"/>
      <c r="UCE5" s="2"/>
      <c r="UCF5" s="2"/>
      <c r="UCG5" s="2"/>
      <c r="UCH5" s="2"/>
      <c r="UCI5" s="2"/>
      <c r="UCJ5" s="2"/>
      <c r="UCK5" s="2"/>
      <c r="UCL5" s="2"/>
      <c r="UCM5" s="2"/>
      <c r="UCN5" s="2"/>
      <c r="UCO5" s="2"/>
      <c r="UCP5" s="2"/>
      <c r="UCQ5" s="2"/>
      <c r="UCR5" s="2"/>
      <c r="UCS5" s="2"/>
      <c r="UCT5" s="2"/>
      <c r="UCU5" s="2"/>
      <c r="UCV5" s="2"/>
      <c r="UCW5" s="2"/>
      <c r="UCX5" s="2"/>
      <c r="UCY5" s="2"/>
      <c r="UCZ5" s="2"/>
      <c r="UDA5" s="2"/>
      <c r="UDB5" s="2"/>
      <c r="UDC5" s="2"/>
      <c r="UDD5" s="2"/>
      <c r="UDE5" s="2"/>
      <c r="UDF5" s="2"/>
      <c r="UDG5" s="2"/>
      <c r="UDH5" s="2"/>
      <c r="UDI5" s="2"/>
      <c r="UDJ5" s="2"/>
      <c r="UDK5" s="2"/>
      <c r="UDL5" s="2"/>
      <c r="UDM5" s="2"/>
      <c r="UDN5" s="2"/>
      <c r="UDO5" s="2"/>
      <c r="UDP5" s="2"/>
      <c r="UDQ5" s="2"/>
      <c r="UDR5" s="2"/>
      <c r="UDS5" s="2"/>
      <c r="UDT5" s="2"/>
      <c r="UDU5" s="2"/>
      <c r="UDV5" s="2"/>
      <c r="UDW5" s="2"/>
      <c r="UDX5" s="2"/>
      <c r="UDY5" s="2"/>
      <c r="UDZ5" s="2"/>
      <c r="UEA5" s="2"/>
      <c r="UEB5" s="2"/>
      <c r="UEC5" s="2"/>
      <c r="UED5" s="2"/>
      <c r="UEE5" s="2"/>
      <c r="UEF5" s="2"/>
      <c r="UEG5" s="2"/>
      <c r="UEH5" s="2"/>
      <c r="UEI5" s="2"/>
      <c r="UEJ5" s="2"/>
      <c r="UEK5" s="2"/>
      <c r="UEL5" s="2"/>
      <c r="UEM5" s="2"/>
      <c r="UEN5" s="2"/>
      <c r="UEO5" s="2"/>
      <c r="UEP5" s="2"/>
      <c r="UEQ5" s="2"/>
      <c r="UER5" s="2"/>
      <c r="UES5" s="2"/>
      <c r="UET5" s="2"/>
      <c r="UEU5" s="2"/>
      <c r="UEV5" s="2"/>
      <c r="UEW5" s="2"/>
      <c r="UEX5" s="2"/>
      <c r="UEY5" s="2"/>
      <c r="UEZ5" s="2"/>
      <c r="UFA5" s="2"/>
      <c r="UFB5" s="2"/>
      <c r="UFC5" s="2"/>
      <c r="UFD5" s="2"/>
      <c r="UFE5" s="2"/>
      <c r="UFF5" s="2"/>
      <c r="UFG5" s="2"/>
      <c r="UFH5" s="2"/>
      <c r="UFI5" s="2"/>
      <c r="UFJ5" s="2"/>
      <c r="UFK5" s="2"/>
      <c r="UFL5" s="2"/>
      <c r="UFM5" s="2"/>
      <c r="UFN5" s="2"/>
      <c r="UFO5" s="2"/>
      <c r="UFP5" s="2"/>
      <c r="UFQ5" s="2"/>
      <c r="UFR5" s="2"/>
      <c r="UFS5" s="2"/>
      <c r="UFT5" s="2"/>
      <c r="UFU5" s="2"/>
      <c r="UFV5" s="2"/>
      <c r="UFW5" s="2"/>
      <c r="UFX5" s="2"/>
      <c r="UFY5" s="2"/>
      <c r="UFZ5" s="2"/>
      <c r="UGA5" s="2"/>
      <c r="UGB5" s="2"/>
      <c r="UGC5" s="2"/>
      <c r="UGD5" s="2"/>
      <c r="UGE5" s="2"/>
      <c r="UGF5" s="2"/>
      <c r="UGG5" s="2"/>
      <c r="UGH5" s="2"/>
      <c r="UGI5" s="2"/>
      <c r="UGJ5" s="2"/>
      <c r="UGK5" s="2"/>
      <c r="UGL5" s="2"/>
      <c r="UGM5" s="2"/>
      <c r="UGN5" s="2"/>
      <c r="UGO5" s="2"/>
      <c r="UGP5" s="2"/>
      <c r="UGQ5" s="2"/>
      <c r="UGR5" s="2"/>
      <c r="UGS5" s="2"/>
      <c r="UGT5" s="2"/>
      <c r="UGU5" s="2"/>
      <c r="UGV5" s="2"/>
      <c r="UGW5" s="2"/>
      <c r="UGX5" s="2"/>
      <c r="UGY5" s="2"/>
      <c r="UGZ5" s="2"/>
      <c r="UHA5" s="2"/>
      <c r="UHB5" s="2"/>
      <c r="UHC5" s="2"/>
      <c r="UHD5" s="2"/>
      <c r="UHE5" s="2"/>
      <c r="UHF5" s="2"/>
      <c r="UHG5" s="2"/>
      <c r="UHH5" s="2"/>
      <c r="UHI5" s="2"/>
      <c r="UHJ5" s="2"/>
      <c r="UHK5" s="2"/>
      <c r="UHL5" s="2"/>
      <c r="UHM5" s="2"/>
      <c r="UHN5" s="2"/>
      <c r="UHO5" s="2"/>
      <c r="UHP5" s="2"/>
      <c r="UHQ5" s="2"/>
      <c r="UHR5" s="2"/>
      <c r="UHS5" s="2"/>
      <c r="UHT5" s="2"/>
      <c r="UHU5" s="2"/>
      <c r="UHV5" s="2"/>
      <c r="UHW5" s="2"/>
      <c r="UHX5" s="2"/>
      <c r="UHY5" s="2"/>
      <c r="UHZ5" s="2"/>
      <c r="UIA5" s="2"/>
      <c r="UIB5" s="2"/>
      <c r="UIC5" s="2"/>
      <c r="UID5" s="2"/>
      <c r="UIE5" s="2"/>
      <c r="UIF5" s="2"/>
      <c r="UIG5" s="2"/>
      <c r="UIH5" s="2"/>
      <c r="UII5" s="2"/>
      <c r="UIJ5" s="2"/>
      <c r="UIK5" s="2"/>
      <c r="UIL5" s="2"/>
      <c r="UIM5" s="2"/>
      <c r="UIN5" s="2"/>
      <c r="UIO5" s="2"/>
      <c r="UIP5" s="2"/>
      <c r="UIQ5" s="2"/>
      <c r="UIR5" s="2"/>
      <c r="UIS5" s="2"/>
      <c r="UIT5" s="2"/>
      <c r="UIU5" s="2"/>
      <c r="UIV5" s="2"/>
      <c r="UIW5" s="2"/>
      <c r="UIX5" s="2"/>
      <c r="UIY5" s="2"/>
      <c r="UIZ5" s="2"/>
      <c r="UJA5" s="2"/>
      <c r="UJB5" s="2"/>
      <c r="UJC5" s="2"/>
      <c r="UJD5" s="2"/>
      <c r="UJE5" s="2"/>
      <c r="UJF5" s="2"/>
      <c r="UJG5" s="2"/>
      <c r="UJH5" s="2"/>
      <c r="UJI5" s="2"/>
      <c r="UJJ5" s="2"/>
      <c r="UJK5" s="2"/>
      <c r="UJL5" s="2"/>
      <c r="UJM5" s="2"/>
      <c r="UJN5" s="2"/>
      <c r="UJO5" s="2"/>
      <c r="UJP5" s="2"/>
      <c r="UJQ5" s="2"/>
      <c r="UJR5" s="2"/>
      <c r="UJS5" s="2"/>
      <c r="UJT5" s="2"/>
      <c r="UJU5" s="2"/>
      <c r="UJV5" s="2"/>
      <c r="UJW5" s="2"/>
      <c r="UJX5" s="2"/>
      <c r="UJY5" s="2"/>
      <c r="UJZ5" s="2"/>
      <c r="UKA5" s="2"/>
      <c r="UKB5" s="2"/>
      <c r="UKC5" s="2"/>
      <c r="UKD5" s="2"/>
      <c r="UKE5" s="2"/>
      <c r="UKF5" s="2"/>
      <c r="UKG5" s="2"/>
      <c r="UKH5" s="2"/>
      <c r="UKI5" s="2"/>
      <c r="UKJ5" s="2"/>
      <c r="UKK5" s="2"/>
      <c r="UKL5" s="2"/>
      <c r="UKM5" s="2"/>
      <c r="UKN5" s="2"/>
      <c r="UKO5" s="2"/>
      <c r="UKP5" s="2"/>
      <c r="UKQ5" s="2"/>
      <c r="UKR5" s="2"/>
      <c r="UKS5" s="2"/>
      <c r="UKT5" s="2"/>
      <c r="UKU5" s="2"/>
      <c r="UKV5" s="2"/>
      <c r="UKW5" s="2"/>
      <c r="UKX5" s="2"/>
      <c r="UKY5" s="2"/>
      <c r="UKZ5" s="2"/>
      <c r="ULA5" s="2"/>
      <c r="ULB5" s="2"/>
      <c r="ULC5" s="2"/>
      <c r="ULD5" s="2"/>
      <c r="ULE5" s="2"/>
      <c r="ULF5" s="2"/>
      <c r="ULG5" s="2"/>
      <c r="ULH5" s="2"/>
      <c r="ULI5" s="2"/>
      <c r="ULJ5" s="2"/>
      <c r="ULK5" s="2"/>
      <c r="ULL5" s="2"/>
      <c r="ULM5" s="2"/>
      <c r="ULN5" s="2"/>
      <c r="ULO5" s="2"/>
      <c r="ULP5" s="2"/>
      <c r="ULQ5" s="2"/>
      <c r="ULR5" s="2"/>
      <c r="ULS5" s="2"/>
      <c r="ULT5" s="2"/>
      <c r="ULU5" s="2"/>
      <c r="ULV5" s="2"/>
      <c r="ULW5" s="2"/>
      <c r="ULX5" s="2"/>
      <c r="ULY5" s="2"/>
      <c r="ULZ5" s="2"/>
      <c r="UMA5" s="2"/>
      <c r="UMB5" s="2"/>
      <c r="UMC5" s="2"/>
      <c r="UMD5" s="2"/>
      <c r="UME5" s="2"/>
      <c r="UMF5" s="2"/>
      <c r="UMG5" s="2"/>
      <c r="UMH5" s="2"/>
      <c r="UMI5" s="2"/>
      <c r="UMJ5" s="2"/>
      <c r="UMK5" s="2"/>
      <c r="UML5" s="2"/>
      <c r="UMM5" s="2"/>
      <c r="UMN5" s="2"/>
      <c r="UMO5" s="2"/>
      <c r="UMP5" s="2"/>
      <c r="UMQ5" s="2"/>
      <c r="UMR5" s="2"/>
      <c r="UMS5" s="2"/>
      <c r="UMT5" s="2"/>
      <c r="UMU5" s="2"/>
      <c r="UMV5" s="2"/>
      <c r="UMW5" s="2"/>
      <c r="UMX5" s="2"/>
      <c r="UMY5" s="2"/>
      <c r="UMZ5" s="2"/>
      <c r="UNA5" s="2"/>
      <c r="UNB5" s="2"/>
      <c r="UNC5" s="2"/>
      <c r="UND5" s="2"/>
      <c r="UNE5" s="2"/>
      <c r="UNF5" s="2"/>
      <c r="UNG5" s="2"/>
      <c r="UNH5" s="2"/>
      <c r="UNI5" s="2"/>
      <c r="UNJ5" s="2"/>
      <c r="UNK5" s="2"/>
      <c r="UNL5" s="2"/>
      <c r="UNM5" s="2"/>
      <c r="UNN5" s="2"/>
      <c r="UNO5" s="2"/>
      <c r="UNP5" s="2"/>
      <c r="UNQ5" s="2"/>
      <c r="UNR5" s="2"/>
      <c r="UNS5" s="2"/>
      <c r="UNT5" s="2"/>
      <c r="UNU5" s="2"/>
      <c r="UNV5" s="2"/>
      <c r="UNW5" s="2"/>
      <c r="UNX5" s="2"/>
      <c r="UNY5" s="2"/>
      <c r="UNZ5" s="2"/>
      <c r="UOA5" s="2"/>
      <c r="UOB5" s="2"/>
      <c r="UOC5" s="2"/>
      <c r="UOD5" s="2"/>
      <c r="UOE5" s="2"/>
      <c r="UOF5" s="2"/>
      <c r="UOG5" s="2"/>
      <c r="UOH5" s="2"/>
      <c r="UOI5" s="2"/>
      <c r="UOJ5" s="2"/>
      <c r="UOK5" s="2"/>
      <c r="UOL5" s="2"/>
      <c r="UOM5" s="2"/>
      <c r="UON5" s="2"/>
      <c r="UOO5" s="2"/>
      <c r="UOP5" s="2"/>
      <c r="UOQ5" s="2"/>
      <c r="UOR5" s="2"/>
      <c r="UOS5" s="2"/>
      <c r="UOT5" s="2"/>
      <c r="UOU5" s="2"/>
      <c r="UOV5" s="2"/>
      <c r="UOW5" s="2"/>
      <c r="UOX5" s="2"/>
      <c r="UOY5" s="2"/>
      <c r="UOZ5" s="2"/>
      <c r="UPA5" s="2"/>
      <c r="UPB5" s="2"/>
      <c r="UPC5" s="2"/>
      <c r="UPD5" s="2"/>
      <c r="UPE5" s="2"/>
      <c r="UPF5" s="2"/>
      <c r="UPG5" s="2"/>
      <c r="UPH5" s="2"/>
      <c r="UPI5" s="2"/>
      <c r="UPJ5" s="2"/>
      <c r="UPK5" s="2"/>
      <c r="UPL5" s="2"/>
      <c r="UPM5" s="2"/>
      <c r="UPN5" s="2"/>
      <c r="UPO5" s="2"/>
      <c r="UPP5" s="2"/>
      <c r="UPQ5" s="2"/>
      <c r="UPR5" s="2"/>
      <c r="UPS5" s="2"/>
      <c r="UPT5" s="2"/>
      <c r="UPU5" s="2"/>
      <c r="UPV5" s="2"/>
      <c r="UPW5" s="2"/>
      <c r="UPX5" s="2"/>
      <c r="UPY5" s="2"/>
      <c r="UPZ5" s="2"/>
      <c r="UQA5" s="2"/>
      <c r="UQB5" s="2"/>
      <c r="UQC5" s="2"/>
      <c r="UQD5" s="2"/>
      <c r="UQE5" s="2"/>
      <c r="UQF5" s="2"/>
      <c r="UQG5" s="2"/>
      <c r="UQH5" s="2"/>
      <c r="UQI5" s="2"/>
      <c r="UQJ5" s="2"/>
      <c r="UQK5" s="2"/>
      <c r="UQL5" s="2"/>
      <c r="UQM5" s="2"/>
      <c r="UQN5" s="2"/>
      <c r="UQO5" s="2"/>
      <c r="UQP5" s="2"/>
      <c r="UQQ5" s="2"/>
      <c r="UQR5" s="2"/>
      <c r="UQS5" s="2"/>
      <c r="UQT5" s="2"/>
      <c r="UQU5" s="2"/>
      <c r="UQV5" s="2"/>
      <c r="UQW5" s="2"/>
      <c r="UQX5" s="2"/>
      <c r="UQY5" s="2"/>
      <c r="UQZ5" s="2"/>
      <c r="URA5" s="2"/>
      <c r="URB5" s="2"/>
      <c r="URC5" s="2"/>
      <c r="URD5" s="2"/>
      <c r="URE5" s="2"/>
      <c r="URF5" s="2"/>
      <c r="URG5" s="2"/>
      <c r="URH5" s="2"/>
      <c r="URI5" s="2"/>
      <c r="URJ5" s="2"/>
      <c r="URK5" s="2"/>
      <c r="URL5" s="2"/>
      <c r="URM5" s="2"/>
      <c r="URN5" s="2"/>
      <c r="URO5" s="2"/>
      <c r="URP5" s="2"/>
      <c r="URQ5" s="2"/>
      <c r="URR5" s="2"/>
      <c r="URS5" s="2"/>
      <c r="URT5" s="2"/>
      <c r="URU5" s="2"/>
      <c r="URV5" s="2"/>
      <c r="URW5" s="2"/>
      <c r="URX5" s="2"/>
      <c r="URY5" s="2"/>
      <c r="URZ5" s="2"/>
      <c r="USA5" s="2"/>
      <c r="USB5" s="2"/>
      <c r="USC5" s="2"/>
      <c r="USD5" s="2"/>
      <c r="USE5" s="2"/>
      <c r="USF5" s="2"/>
      <c r="USG5" s="2"/>
      <c r="USH5" s="2"/>
      <c r="USI5" s="2"/>
      <c r="USJ5" s="2"/>
      <c r="USK5" s="2"/>
      <c r="USL5" s="2"/>
      <c r="USM5" s="2"/>
      <c r="USN5" s="2"/>
      <c r="USO5" s="2"/>
      <c r="USP5" s="2"/>
      <c r="USQ5" s="2"/>
      <c r="USR5" s="2"/>
      <c r="USS5" s="2"/>
      <c r="UST5" s="2"/>
      <c r="USU5" s="2"/>
      <c r="USV5" s="2"/>
      <c r="USW5" s="2"/>
      <c r="USX5" s="2"/>
      <c r="USY5" s="2"/>
      <c r="USZ5" s="2"/>
      <c r="UTA5" s="2"/>
      <c r="UTB5" s="2"/>
      <c r="UTC5" s="2"/>
      <c r="UTD5" s="2"/>
      <c r="UTE5" s="2"/>
      <c r="UTF5" s="2"/>
      <c r="UTG5" s="2"/>
      <c r="UTH5" s="2"/>
      <c r="UTI5" s="2"/>
      <c r="UTJ5" s="2"/>
      <c r="UTK5" s="2"/>
      <c r="UTL5" s="2"/>
      <c r="UTM5" s="2"/>
      <c r="UTN5" s="2"/>
      <c r="UTO5" s="2"/>
      <c r="UTP5" s="2"/>
      <c r="UTQ5" s="2"/>
      <c r="UTR5" s="2"/>
      <c r="UTS5" s="2"/>
      <c r="UTT5" s="2"/>
      <c r="UTU5" s="2"/>
      <c r="UTV5" s="2"/>
      <c r="UTW5" s="2"/>
      <c r="UTX5" s="2"/>
      <c r="UTY5" s="2"/>
      <c r="UTZ5" s="2"/>
      <c r="UUA5" s="2"/>
      <c r="UUB5" s="2"/>
      <c r="UUC5" s="2"/>
      <c r="UUD5" s="2"/>
      <c r="UUE5" s="2"/>
      <c r="UUF5" s="2"/>
      <c r="UUG5" s="2"/>
      <c r="UUH5" s="2"/>
      <c r="UUI5" s="2"/>
      <c r="UUJ5" s="2"/>
      <c r="UUK5" s="2"/>
      <c r="UUL5" s="2"/>
      <c r="UUM5" s="2"/>
      <c r="UUN5" s="2"/>
      <c r="UUO5" s="2"/>
      <c r="UUP5" s="2"/>
      <c r="UUQ5" s="2"/>
      <c r="UUR5" s="2"/>
      <c r="UUS5" s="2"/>
      <c r="UUT5" s="2"/>
      <c r="UUU5" s="2"/>
      <c r="UUV5" s="2"/>
      <c r="UUW5" s="2"/>
      <c r="UUX5" s="2"/>
      <c r="UUY5" s="2"/>
      <c r="UUZ5" s="2"/>
      <c r="UVA5" s="2"/>
      <c r="UVB5" s="2"/>
      <c r="UVC5" s="2"/>
      <c r="UVD5" s="2"/>
      <c r="UVE5" s="2"/>
      <c r="UVF5" s="2"/>
      <c r="UVG5" s="2"/>
      <c r="UVH5" s="2"/>
      <c r="UVI5" s="2"/>
      <c r="UVJ5" s="2"/>
      <c r="UVK5" s="2"/>
      <c r="UVL5" s="2"/>
      <c r="UVM5" s="2"/>
      <c r="UVN5" s="2"/>
      <c r="UVO5" s="2"/>
      <c r="UVP5" s="2"/>
      <c r="UVQ5" s="2"/>
      <c r="UVR5" s="2"/>
      <c r="UVS5" s="2"/>
      <c r="UVT5" s="2"/>
      <c r="UVU5" s="2"/>
      <c r="UVV5" s="2"/>
      <c r="UVW5" s="2"/>
      <c r="UVX5" s="2"/>
      <c r="UVY5" s="2"/>
      <c r="UVZ5" s="2"/>
      <c r="UWA5" s="2"/>
      <c r="UWB5" s="2"/>
      <c r="UWC5" s="2"/>
      <c r="UWD5" s="2"/>
      <c r="UWE5" s="2"/>
      <c r="UWF5" s="2"/>
      <c r="UWG5" s="2"/>
      <c r="UWH5" s="2"/>
      <c r="UWI5" s="2"/>
      <c r="UWJ5" s="2"/>
      <c r="UWK5" s="2"/>
      <c r="UWL5" s="2"/>
      <c r="UWM5" s="2"/>
      <c r="UWN5" s="2"/>
      <c r="UWO5" s="2"/>
      <c r="UWP5" s="2"/>
      <c r="UWQ5" s="2"/>
      <c r="UWR5" s="2"/>
      <c r="UWS5" s="2"/>
      <c r="UWT5" s="2"/>
      <c r="UWU5" s="2"/>
      <c r="UWV5" s="2"/>
      <c r="UWW5" s="2"/>
      <c r="UWX5" s="2"/>
      <c r="UWY5" s="2"/>
      <c r="UWZ5" s="2"/>
      <c r="UXA5" s="2"/>
      <c r="UXB5" s="2"/>
      <c r="UXC5" s="2"/>
      <c r="UXD5" s="2"/>
      <c r="UXE5" s="2"/>
      <c r="UXF5" s="2"/>
      <c r="UXG5" s="2"/>
      <c r="UXH5" s="2"/>
      <c r="UXI5" s="2"/>
      <c r="UXJ5" s="2"/>
      <c r="UXK5" s="2"/>
      <c r="UXL5" s="2"/>
      <c r="UXM5" s="2"/>
      <c r="UXN5" s="2"/>
      <c r="UXO5" s="2"/>
      <c r="UXP5" s="2"/>
      <c r="UXQ5" s="2"/>
      <c r="UXR5" s="2"/>
      <c r="UXS5" s="2"/>
      <c r="UXT5" s="2"/>
      <c r="UXU5" s="2"/>
      <c r="UXV5" s="2"/>
      <c r="UXW5" s="2"/>
      <c r="UXX5" s="2"/>
      <c r="UXY5" s="2"/>
      <c r="UXZ5" s="2"/>
      <c r="UYA5" s="2"/>
      <c r="UYB5" s="2"/>
      <c r="UYC5" s="2"/>
      <c r="UYD5" s="2"/>
      <c r="UYE5" s="2"/>
      <c r="UYF5" s="2"/>
      <c r="UYG5" s="2"/>
      <c r="UYH5" s="2"/>
      <c r="UYI5" s="2"/>
      <c r="UYJ5" s="2"/>
      <c r="UYK5" s="2"/>
      <c r="UYL5" s="2"/>
      <c r="UYM5" s="2"/>
      <c r="UYN5" s="2"/>
      <c r="UYO5" s="2"/>
      <c r="UYP5" s="2"/>
      <c r="UYQ5" s="2"/>
      <c r="UYR5" s="2"/>
      <c r="UYS5" s="2"/>
      <c r="UYT5" s="2"/>
      <c r="UYU5" s="2"/>
      <c r="UYV5" s="2"/>
      <c r="UYW5" s="2"/>
      <c r="UYX5" s="2"/>
      <c r="UYY5" s="2"/>
      <c r="UYZ5" s="2"/>
      <c r="UZA5" s="2"/>
      <c r="UZB5" s="2"/>
      <c r="UZC5" s="2"/>
      <c r="UZD5" s="2"/>
      <c r="UZE5" s="2"/>
      <c r="UZF5" s="2"/>
      <c r="UZG5" s="2"/>
      <c r="UZH5" s="2"/>
      <c r="UZI5" s="2"/>
      <c r="UZJ5" s="2"/>
      <c r="UZK5" s="2"/>
      <c r="UZL5" s="2"/>
      <c r="UZM5" s="2"/>
      <c r="UZN5" s="2"/>
      <c r="UZO5" s="2"/>
      <c r="UZP5" s="2"/>
      <c r="UZQ5" s="2"/>
      <c r="UZR5" s="2"/>
      <c r="UZS5" s="2"/>
      <c r="UZT5" s="2"/>
      <c r="UZU5" s="2"/>
      <c r="UZV5" s="2"/>
      <c r="UZW5" s="2"/>
      <c r="UZX5" s="2"/>
      <c r="UZY5" s="2"/>
      <c r="UZZ5" s="2"/>
      <c r="VAA5" s="2"/>
      <c r="VAB5" s="2"/>
      <c r="VAC5" s="2"/>
      <c r="VAD5" s="2"/>
      <c r="VAE5" s="2"/>
      <c r="VAF5" s="2"/>
      <c r="VAG5" s="2"/>
      <c r="VAH5" s="2"/>
      <c r="VAI5" s="2"/>
      <c r="VAJ5" s="2"/>
      <c r="VAK5" s="2"/>
      <c r="VAL5" s="2"/>
      <c r="VAM5" s="2"/>
      <c r="VAN5" s="2"/>
      <c r="VAO5" s="2"/>
      <c r="VAP5" s="2"/>
      <c r="VAQ5" s="2"/>
      <c r="VAR5" s="2"/>
      <c r="VAS5" s="2"/>
      <c r="VAT5" s="2"/>
      <c r="VAU5" s="2"/>
      <c r="VAV5" s="2"/>
      <c r="VAW5" s="2"/>
      <c r="VAX5" s="2"/>
      <c r="VAY5" s="2"/>
      <c r="VAZ5" s="2"/>
      <c r="VBA5" s="2"/>
      <c r="VBB5" s="2"/>
      <c r="VBC5" s="2"/>
      <c r="VBD5" s="2"/>
      <c r="VBE5" s="2"/>
      <c r="VBF5" s="2"/>
      <c r="VBG5" s="2"/>
      <c r="VBH5" s="2"/>
      <c r="VBI5" s="2"/>
      <c r="VBJ5" s="2"/>
      <c r="VBK5" s="2"/>
      <c r="VBL5" s="2"/>
      <c r="VBM5" s="2"/>
      <c r="VBN5" s="2"/>
      <c r="VBO5" s="2"/>
      <c r="VBP5" s="2"/>
      <c r="VBQ5" s="2"/>
      <c r="VBR5" s="2"/>
      <c r="VBS5" s="2"/>
      <c r="VBT5" s="2"/>
      <c r="VBU5" s="2"/>
      <c r="VBV5" s="2"/>
      <c r="VBW5" s="2"/>
      <c r="VBX5" s="2"/>
      <c r="VBY5" s="2"/>
      <c r="VBZ5" s="2"/>
      <c r="VCA5" s="2"/>
      <c r="VCB5" s="2"/>
      <c r="VCC5" s="2"/>
      <c r="VCD5" s="2"/>
      <c r="VCE5" s="2"/>
      <c r="VCF5" s="2"/>
      <c r="VCG5" s="2"/>
      <c r="VCH5" s="2"/>
      <c r="VCI5" s="2"/>
      <c r="VCJ5" s="2"/>
      <c r="VCK5" s="2"/>
      <c r="VCL5" s="2"/>
      <c r="VCM5" s="2"/>
      <c r="VCN5" s="2"/>
      <c r="VCO5" s="2"/>
      <c r="VCP5" s="2"/>
      <c r="VCQ5" s="2"/>
      <c r="VCR5" s="2"/>
      <c r="VCS5" s="2"/>
      <c r="VCT5" s="2"/>
      <c r="VCU5" s="2"/>
      <c r="VCV5" s="2"/>
      <c r="VCW5" s="2"/>
      <c r="VCX5" s="2"/>
      <c r="VCY5" s="2"/>
      <c r="VCZ5" s="2"/>
      <c r="VDA5" s="2"/>
      <c r="VDB5" s="2"/>
      <c r="VDC5" s="2"/>
      <c r="VDD5" s="2"/>
      <c r="VDE5" s="2"/>
      <c r="VDF5" s="2"/>
      <c r="VDG5" s="2"/>
      <c r="VDH5" s="2"/>
      <c r="VDI5" s="2"/>
      <c r="VDJ5" s="2"/>
      <c r="VDK5" s="2"/>
      <c r="VDL5" s="2"/>
      <c r="VDM5" s="2"/>
      <c r="VDN5" s="2"/>
      <c r="VDO5" s="2"/>
      <c r="VDP5" s="2"/>
      <c r="VDQ5" s="2"/>
      <c r="VDR5" s="2"/>
      <c r="VDS5" s="2"/>
      <c r="VDT5" s="2"/>
      <c r="VDU5" s="2"/>
      <c r="VDV5" s="2"/>
      <c r="VDW5" s="2"/>
      <c r="VDX5" s="2"/>
      <c r="VDY5" s="2"/>
      <c r="VDZ5" s="2"/>
      <c r="VEA5" s="2"/>
      <c r="VEB5" s="2"/>
      <c r="VEC5" s="2"/>
      <c r="VED5" s="2"/>
      <c r="VEE5" s="2"/>
      <c r="VEF5" s="2"/>
      <c r="VEG5" s="2"/>
      <c r="VEH5" s="2"/>
      <c r="VEI5" s="2"/>
      <c r="VEJ5" s="2"/>
      <c r="VEK5" s="2"/>
      <c r="VEL5" s="2"/>
      <c r="VEM5" s="2"/>
      <c r="VEN5" s="2"/>
      <c r="VEO5" s="2"/>
      <c r="VEP5" s="2"/>
      <c r="VEQ5" s="2"/>
      <c r="VER5" s="2"/>
      <c r="VES5" s="2"/>
      <c r="VET5" s="2"/>
      <c r="VEU5" s="2"/>
      <c r="VEV5" s="2"/>
      <c r="VEW5" s="2"/>
      <c r="VEX5" s="2"/>
      <c r="VEY5" s="2"/>
      <c r="VEZ5" s="2"/>
      <c r="VFA5" s="2"/>
      <c r="VFB5" s="2"/>
      <c r="VFC5" s="2"/>
      <c r="VFD5" s="2"/>
      <c r="VFE5" s="2"/>
      <c r="VFF5" s="2"/>
      <c r="VFG5" s="2"/>
      <c r="VFH5" s="2"/>
      <c r="VFI5" s="2"/>
      <c r="VFJ5" s="2"/>
      <c r="VFK5" s="2"/>
      <c r="VFL5" s="2"/>
      <c r="VFM5" s="2"/>
      <c r="VFN5" s="2"/>
      <c r="VFO5" s="2"/>
      <c r="VFP5" s="2"/>
      <c r="VFQ5" s="2"/>
      <c r="VFR5" s="2"/>
      <c r="VFS5" s="2"/>
      <c r="VFT5" s="2"/>
      <c r="VFU5" s="2"/>
      <c r="VFV5" s="2"/>
      <c r="VFW5" s="2"/>
      <c r="VFX5" s="2"/>
      <c r="VFY5" s="2"/>
      <c r="VFZ5" s="2"/>
      <c r="VGA5" s="2"/>
      <c r="VGB5" s="2"/>
      <c r="VGC5" s="2"/>
      <c r="VGD5" s="2"/>
      <c r="VGE5" s="2"/>
      <c r="VGF5" s="2"/>
      <c r="VGG5" s="2"/>
      <c r="VGH5" s="2"/>
      <c r="VGI5" s="2"/>
      <c r="VGJ5" s="2"/>
      <c r="VGK5" s="2"/>
      <c r="VGL5" s="2"/>
      <c r="VGM5" s="2"/>
      <c r="VGN5" s="2"/>
      <c r="VGO5" s="2"/>
      <c r="VGP5" s="2"/>
      <c r="VGQ5" s="2"/>
      <c r="VGR5" s="2"/>
      <c r="VGS5" s="2"/>
      <c r="VGT5" s="2"/>
      <c r="VGU5" s="2"/>
      <c r="VGV5" s="2"/>
      <c r="VGW5" s="2"/>
      <c r="VGX5" s="2"/>
      <c r="VGY5" s="2"/>
      <c r="VGZ5" s="2"/>
      <c r="VHA5" s="2"/>
      <c r="VHB5" s="2"/>
      <c r="VHC5" s="2"/>
      <c r="VHD5" s="2"/>
      <c r="VHE5" s="2"/>
      <c r="VHF5" s="2"/>
      <c r="VHG5" s="2"/>
      <c r="VHH5" s="2"/>
      <c r="VHI5" s="2"/>
      <c r="VHJ5" s="2"/>
      <c r="VHK5" s="2"/>
      <c r="VHL5" s="2"/>
      <c r="VHM5" s="2"/>
      <c r="VHN5" s="2"/>
      <c r="VHO5" s="2"/>
      <c r="VHP5" s="2"/>
      <c r="VHQ5" s="2"/>
      <c r="VHR5" s="2"/>
      <c r="VHS5" s="2"/>
      <c r="VHT5" s="2"/>
      <c r="VHU5" s="2"/>
      <c r="VHV5" s="2"/>
      <c r="VHW5" s="2"/>
      <c r="VHX5" s="2"/>
      <c r="VHY5" s="2"/>
      <c r="VHZ5" s="2"/>
      <c r="VIA5" s="2"/>
      <c r="VIB5" s="2"/>
      <c r="VIC5" s="2"/>
      <c r="VID5" s="2"/>
      <c r="VIE5" s="2"/>
      <c r="VIF5" s="2"/>
      <c r="VIG5" s="2"/>
      <c r="VIH5" s="2"/>
      <c r="VII5" s="2"/>
      <c r="VIJ5" s="2"/>
      <c r="VIK5" s="2"/>
      <c r="VIL5" s="2"/>
      <c r="VIM5" s="2"/>
      <c r="VIN5" s="2"/>
      <c r="VIO5" s="2"/>
      <c r="VIP5" s="2"/>
      <c r="VIQ5" s="2"/>
      <c r="VIR5" s="2"/>
      <c r="VIS5" s="2"/>
      <c r="VIT5" s="2"/>
      <c r="VIU5" s="2"/>
      <c r="VIV5" s="2"/>
      <c r="VIW5" s="2"/>
      <c r="VIX5" s="2"/>
      <c r="VIY5" s="2"/>
      <c r="VIZ5" s="2"/>
      <c r="VJA5" s="2"/>
      <c r="VJB5" s="2"/>
      <c r="VJC5" s="2"/>
      <c r="VJD5" s="2"/>
      <c r="VJE5" s="2"/>
      <c r="VJF5" s="2"/>
      <c r="VJG5" s="2"/>
      <c r="VJH5" s="2"/>
      <c r="VJI5" s="2"/>
      <c r="VJJ5" s="2"/>
      <c r="VJK5" s="2"/>
      <c r="VJL5" s="2"/>
      <c r="VJM5" s="2"/>
      <c r="VJN5" s="2"/>
      <c r="VJO5" s="2"/>
      <c r="VJP5" s="2"/>
      <c r="VJQ5" s="2"/>
      <c r="VJR5" s="2"/>
      <c r="VJS5" s="2"/>
      <c r="VJT5" s="2"/>
      <c r="VJU5" s="2"/>
      <c r="VJV5" s="2"/>
      <c r="VJW5" s="2"/>
      <c r="VJX5" s="2"/>
      <c r="VJY5" s="2"/>
      <c r="VJZ5" s="2"/>
      <c r="VKA5" s="2"/>
      <c r="VKB5" s="2"/>
      <c r="VKC5" s="2"/>
      <c r="VKD5" s="2"/>
      <c r="VKE5" s="2"/>
      <c r="VKF5" s="2"/>
      <c r="VKG5" s="2"/>
      <c r="VKH5" s="2"/>
      <c r="VKI5" s="2"/>
      <c r="VKJ5" s="2"/>
      <c r="VKK5" s="2"/>
      <c r="VKL5" s="2"/>
      <c r="VKM5" s="2"/>
      <c r="VKN5" s="2"/>
      <c r="VKO5" s="2"/>
      <c r="VKP5" s="2"/>
      <c r="VKQ5" s="2"/>
      <c r="VKR5" s="2"/>
      <c r="VKS5" s="2"/>
      <c r="VKT5" s="2"/>
      <c r="VKU5" s="2"/>
      <c r="VKV5" s="2"/>
      <c r="VKW5" s="2"/>
      <c r="VKX5" s="2"/>
      <c r="VKY5" s="2"/>
      <c r="VKZ5" s="2"/>
      <c r="VLA5" s="2"/>
      <c r="VLB5" s="2"/>
      <c r="VLC5" s="2"/>
      <c r="VLD5" s="2"/>
      <c r="VLE5" s="2"/>
      <c r="VLF5" s="2"/>
      <c r="VLG5" s="2"/>
      <c r="VLH5" s="2"/>
      <c r="VLI5" s="2"/>
      <c r="VLJ5" s="2"/>
      <c r="VLK5" s="2"/>
      <c r="VLL5" s="2"/>
      <c r="VLM5" s="2"/>
      <c r="VLN5" s="2"/>
      <c r="VLO5" s="2"/>
      <c r="VLP5" s="2"/>
      <c r="VLQ5" s="2"/>
      <c r="VLR5" s="2"/>
      <c r="VLS5" s="2"/>
      <c r="VLT5" s="2"/>
      <c r="VLU5" s="2"/>
      <c r="VLV5" s="2"/>
      <c r="VLW5" s="2"/>
      <c r="VLX5" s="2"/>
      <c r="VLY5" s="2"/>
      <c r="VLZ5" s="2"/>
      <c r="VMA5" s="2"/>
      <c r="VMB5" s="2"/>
      <c r="VMC5" s="2"/>
      <c r="VMD5" s="2"/>
      <c r="VME5" s="2"/>
      <c r="VMF5" s="2"/>
      <c r="VMG5" s="2"/>
      <c r="VMH5" s="2"/>
      <c r="VMI5" s="2"/>
      <c r="VMJ5" s="2"/>
      <c r="VMK5" s="2"/>
      <c r="VML5" s="2"/>
      <c r="VMM5" s="2"/>
      <c r="VMN5" s="2"/>
      <c r="VMO5" s="2"/>
      <c r="VMP5" s="2"/>
      <c r="VMQ5" s="2"/>
      <c r="VMR5" s="2"/>
      <c r="VMS5" s="2"/>
      <c r="VMT5" s="2"/>
      <c r="VMU5" s="2"/>
      <c r="VMV5" s="2"/>
      <c r="VMW5" s="2"/>
      <c r="VMX5" s="2"/>
      <c r="VMY5" s="2"/>
      <c r="VMZ5" s="2"/>
      <c r="VNA5" s="2"/>
      <c r="VNB5" s="2"/>
      <c r="VNC5" s="2"/>
      <c r="VND5" s="2"/>
      <c r="VNE5" s="2"/>
      <c r="VNF5" s="2"/>
      <c r="VNG5" s="2"/>
      <c r="VNH5" s="2"/>
      <c r="VNI5" s="2"/>
      <c r="VNJ5" s="2"/>
      <c r="VNK5" s="2"/>
      <c r="VNL5" s="2"/>
      <c r="VNM5" s="2"/>
      <c r="VNN5" s="2"/>
      <c r="VNO5" s="2"/>
      <c r="VNP5" s="2"/>
      <c r="VNQ5" s="2"/>
      <c r="VNR5" s="2"/>
      <c r="VNS5" s="2"/>
      <c r="VNT5" s="2"/>
      <c r="VNU5" s="2"/>
      <c r="VNV5" s="2"/>
      <c r="VNW5" s="2"/>
      <c r="VNX5" s="2"/>
      <c r="VNY5" s="2"/>
      <c r="VNZ5" s="2"/>
      <c r="VOA5" s="2"/>
      <c r="VOB5" s="2"/>
      <c r="VOC5" s="2"/>
      <c r="VOD5" s="2"/>
      <c r="VOE5" s="2"/>
      <c r="VOF5" s="2"/>
      <c r="VOG5" s="2"/>
      <c r="VOH5" s="2"/>
      <c r="VOI5" s="2"/>
      <c r="VOJ5" s="2"/>
      <c r="VOK5" s="2"/>
      <c r="VOL5" s="2"/>
      <c r="VOM5" s="2"/>
      <c r="VON5" s="2"/>
      <c r="VOO5" s="2"/>
      <c r="VOP5" s="2"/>
      <c r="VOQ5" s="2"/>
      <c r="VOR5" s="2"/>
      <c r="VOS5" s="2"/>
      <c r="VOT5" s="2"/>
      <c r="VOU5" s="2"/>
      <c r="VOV5" s="2"/>
      <c r="VOW5" s="2"/>
      <c r="VOX5" s="2"/>
      <c r="VOY5" s="2"/>
      <c r="VOZ5" s="2"/>
      <c r="VPA5" s="2"/>
      <c r="VPB5" s="2"/>
      <c r="VPC5" s="2"/>
      <c r="VPD5" s="2"/>
      <c r="VPE5" s="2"/>
      <c r="VPF5" s="2"/>
      <c r="VPG5" s="2"/>
      <c r="VPH5" s="2"/>
      <c r="VPI5" s="2"/>
      <c r="VPJ5" s="2"/>
      <c r="VPK5" s="2"/>
      <c r="VPL5" s="2"/>
      <c r="VPM5" s="2"/>
      <c r="VPN5" s="2"/>
      <c r="VPO5" s="2"/>
      <c r="VPP5" s="2"/>
      <c r="VPQ5" s="2"/>
      <c r="VPR5" s="2"/>
      <c r="VPS5" s="2"/>
      <c r="VPT5" s="2"/>
      <c r="VPU5" s="2"/>
      <c r="VPV5" s="2"/>
      <c r="VPW5" s="2"/>
      <c r="VPX5" s="2"/>
      <c r="VPY5" s="2"/>
      <c r="VPZ5" s="2"/>
      <c r="VQA5" s="2"/>
      <c r="VQB5" s="2"/>
      <c r="VQC5" s="2"/>
      <c r="VQD5" s="2"/>
      <c r="VQE5" s="2"/>
      <c r="VQF5" s="2"/>
      <c r="VQG5" s="2"/>
      <c r="VQH5" s="2"/>
      <c r="VQI5" s="2"/>
      <c r="VQJ5" s="2"/>
      <c r="VQK5" s="2"/>
      <c r="VQL5" s="2"/>
      <c r="VQM5" s="2"/>
      <c r="VQN5" s="2"/>
      <c r="VQO5" s="2"/>
      <c r="VQP5" s="2"/>
      <c r="VQQ5" s="2"/>
      <c r="VQR5" s="2"/>
      <c r="VQS5" s="2"/>
      <c r="VQT5" s="2"/>
      <c r="VQU5" s="2"/>
      <c r="VQV5" s="2"/>
      <c r="VQW5" s="2"/>
      <c r="VQX5" s="2"/>
      <c r="VQY5" s="2"/>
      <c r="VQZ5" s="2"/>
      <c r="VRA5" s="2"/>
      <c r="VRB5" s="2"/>
      <c r="VRC5" s="2"/>
      <c r="VRD5" s="2"/>
      <c r="VRE5" s="2"/>
      <c r="VRF5" s="2"/>
      <c r="VRG5" s="2"/>
      <c r="VRH5" s="2"/>
      <c r="VRI5" s="2"/>
      <c r="VRJ5" s="2"/>
      <c r="VRK5" s="2"/>
      <c r="VRL5" s="2"/>
      <c r="VRM5" s="2"/>
      <c r="VRN5" s="2"/>
      <c r="VRO5" s="2"/>
      <c r="VRP5" s="2"/>
      <c r="VRQ5" s="2"/>
      <c r="VRR5" s="2"/>
      <c r="VRS5" s="2"/>
      <c r="VRT5" s="2"/>
      <c r="VRU5" s="2"/>
      <c r="VRV5" s="2"/>
      <c r="VRW5" s="2"/>
      <c r="VRX5" s="2"/>
      <c r="VRY5" s="2"/>
      <c r="VRZ5" s="2"/>
      <c r="VSA5" s="2"/>
      <c r="VSB5" s="2"/>
      <c r="VSC5" s="2"/>
      <c r="VSD5" s="2"/>
      <c r="VSE5" s="2"/>
      <c r="VSF5" s="2"/>
      <c r="VSG5" s="2"/>
      <c r="VSH5" s="2"/>
      <c r="VSI5" s="2"/>
      <c r="VSJ5" s="2"/>
      <c r="VSK5" s="2"/>
      <c r="VSL5" s="2"/>
      <c r="VSM5" s="2"/>
      <c r="VSN5" s="2"/>
      <c r="VSO5" s="2"/>
      <c r="VSP5" s="2"/>
      <c r="VSQ5" s="2"/>
      <c r="VSR5" s="2"/>
      <c r="VSS5" s="2"/>
      <c r="VST5" s="2"/>
      <c r="VSU5" s="2"/>
      <c r="VSV5" s="2"/>
      <c r="VSW5" s="2"/>
      <c r="VSX5" s="2"/>
      <c r="VSY5" s="2"/>
      <c r="VSZ5" s="2"/>
      <c r="VTA5" s="2"/>
      <c r="VTB5" s="2"/>
      <c r="VTC5" s="2"/>
      <c r="VTD5" s="2"/>
      <c r="VTE5" s="2"/>
      <c r="VTF5" s="2"/>
      <c r="VTG5" s="2"/>
      <c r="VTH5" s="2"/>
      <c r="VTI5" s="2"/>
      <c r="VTJ5" s="2"/>
      <c r="VTK5" s="2"/>
      <c r="VTL5" s="2"/>
      <c r="VTM5" s="2"/>
      <c r="VTN5" s="2"/>
      <c r="VTO5" s="2"/>
      <c r="VTP5" s="2"/>
      <c r="VTQ5" s="2"/>
      <c r="VTR5" s="2"/>
      <c r="VTS5" s="2"/>
      <c r="VTT5" s="2"/>
      <c r="VTU5" s="2"/>
      <c r="VTV5" s="2"/>
      <c r="VTW5" s="2"/>
      <c r="VTX5" s="2"/>
      <c r="VTY5" s="2"/>
      <c r="VTZ5" s="2"/>
      <c r="VUA5" s="2"/>
      <c r="VUB5" s="2"/>
      <c r="VUC5" s="2"/>
      <c r="VUD5" s="2"/>
      <c r="VUE5" s="2"/>
      <c r="VUF5" s="2"/>
      <c r="VUG5" s="2"/>
      <c r="VUH5" s="2"/>
      <c r="VUI5" s="2"/>
      <c r="VUJ5" s="2"/>
      <c r="VUK5" s="2"/>
      <c r="VUL5" s="2"/>
      <c r="VUM5" s="2"/>
      <c r="VUN5" s="2"/>
      <c r="VUO5" s="2"/>
      <c r="VUP5" s="2"/>
      <c r="VUQ5" s="2"/>
      <c r="VUR5" s="2"/>
      <c r="VUS5" s="2"/>
      <c r="VUT5" s="2"/>
      <c r="VUU5" s="2"/>
      <c r="VUV5" s="2"/>
      <c r="VUW5" s="2"/>
      <c r="VUX5" s="2"/>
      <c r="VUY5" s="2"/>
      <c r="VUZ5" s="2"/>
      <c r="VVA5" s="2"/>
      <c r="VVB5" s="2"/>
      <c r="VVC5" s="2"/>
      <c r="VVD5" s="2"/>
      <c r="VVE5" s="2"/>
      <c r="VVF5" s="2"/>
      <c r="VVG5" s="2"/>
      <c r="VVH5" s="2"/>
      <c r="VVI5" s="2"/>
      <c r="VVJ5" s="2"/>
      <c r="VVK5" s="2"/>
      <c r="VVL5" s="2"/>
      <c r="VVM5" s="2"/>
      <c r="VVN5" s="2"/>
      <c r="VVO5" s="2"/>
      <c r="VVP5" s="2"/>
      <c r="VVQ5" s="2"/>
      <c r="VVR5" s="2"/>
      <c r="VVS5" s="2"/>
      <c r="VVT5" s="2"/>
      <c r="VVU5" s="2"/>
      <c r="VVV5" s="2"/>
      <c r="VVW5" s="2"/>
      <c r="VVX5" s="2"/>
      <c r="VVY5" s="2"/>
      <c r="VVZ5" s="2"/>
      <c r="VWA5" s="2"/>
      <c r="VWB5" s="2"/>
      <c r="VWC5" s="2"/>
      <c r="VWD5" s="2"/>
      <c r="VWE5" s="2"/>
      <c r="VWF5" s="2"/>
      <c r="VWG5" s="2"/>
      <c r="VWH5" s="2"/>
      <c r="VWI5" s="2"/>
      <c r="VWJ5" s="2"/>
      <c r="VWK5" s="2"/>
      <c r="VWL5" s="2"/>
      <c r="VWM5" s="2"/>
      <c r="VWN5" s="2"/>
      <c r="VWO5" s="2"/>
      <c r="VWP5" s="2"/>
      <c r="VWQ5" s="2"/>
      <c r="VWR5" s="2"/>
      <c r="VWS5" s="2"/>
      <c r="VWT5" s="2"/>
      <c r="VWU5" s="2"/>
      <c r="VWV5" s="2"/>
      <c r="VWW5" s="2"/>
      <c r="VWX5" s="2"/>
      <c r="VWY5" s="2"/>
      <c r="VWZ5" s="2"/>
      <c r="VXA5" s="2"/>
      <c r="VXB5" s="2"/>
      <c r="VXC5" s="2"/>
      <c r="VXD5" s="2"/>
      <c r="VXE5" s="2"/>
      <c r="VXF5" s="2"/>
      <c r="VXG5" s="2"/>
      <c r="VXH5" s="2"/>
      <c r="VXI5" s="2"/>
      <c r="VXJ5" s="2"/>
      <c r="VXK5" s="2"/>
      <c r="VXL5" s="2"/>
      <c r="VXM5" s="2"/>
      <c r="VXN5" s="2"/>
      <c r="VXO5" s="2"/>
      <c r="VXP5" s="2"/>
      <c r="VXQ5" s="2"/>
      <c r="VXR5" s="2"/>
      <c r="VXS5" s="2"/>
      <c r="VXT5" s="2"/>
      <c r="VXU5" s="2"/>
      <c r="VXV5" s="2"/>
      <c r="VXW5" s="2"/>
      <c r="VXX5" s="2"/>
      <c r="VXY5" s="2"/>
      <c r="VXZ5" s="2"/>
      <c r="VYA5" s="2"/>
      <c r="VYB5" s="2"/>
      <c r="VYC5" s="2"/>
      <c r="VYD5" s="2"/>
      <c r="VYE5" s="2"/>
      <c r="VYF5" s="2"/>
      <c r="VYG5" s="2"/>
      <c r="VYH5" s="2"/>
      <c r="VYI5" s="2"/>
      <c r="VYJ5" s="2"/>
      <c r="VYK5" s="2"/>
      <c r="VYL5" s="2"/>
      <c r="VYM5" s="2"/>
      <c r="VYN5" s="2"/>
      <c r="VYO5" s="2"/>
      <c r="VYP5" s="2"/>
      <c r="VYQ5" s="2"/>
      <c r="VYR5" s="2"/>
      <c r="VYS5" s="2"/>
      <c r="VYT5" s="2"/>
      <c r="VYU5" s="2"/>
      <c r="VYV5" s="2"/>
      <c r="VYW5" s="2"/>
      <c r="VYX5" s="2"/>
      <c r="VYY5" s="2"/>
      <c r="VYZ5" s="2"/>
      <c r="VZA5" s="2"/>
      <c r="VZB5" s="2"/>
      <c r="VZC5" s="2"/>
      <c r="VZD5" s="2"/>
      <c r="VZE5" s="2"/>
      <c r="VZF5" s="2"/>
      <c r="VZG5" s="2"/>
      <c r="VZH5" s="2"/>
      <c r="VZI5" s="2"/>
      <c r="VZJ5" s="2"/>
      <c r="VZK5" s="2"/>
      <c r="VZL5" s="2"/>
      <c r="VZM5" s="2"/>
      <c r="VZN5" s="2"/>
      <c r="VZO5" s="2"/>
      <c r="VZP5" s="2"/>
      <c r="VZQ5" s="2"/>
      <c r="VZR5" s="2"/>
      <c r="VZS5" s="2"/>
      <c r="VZT5" s="2"/>
      <c r="VZU5" s="2"/>
      <c r="VZV5" s="2"/>
      <c r="VZW5" s="2"/>
      <c r="VZX5" s="2"/>
      <c r="VZY5" s="2"/>
      <c r="VZZ5" s="2"/>
      <c r="WAA5" s="2"/>
      <c r="WAB5" s="2"/>
      <c r="WAC5" s="2"/>
      <c r="WAD5" s="2"/>
      <c r="WAE5" s="2"/>
      <c r="WAF5" s="2"/>
      <c r="WAG5" s="2"/>
      <c r="WAH5" s="2"/>
      <c r="WAI5" s="2"/>
      <c r="WAJ5" s="2"/>
      <c r="WAK5" s="2"/>
      <c r="WAL5" s="2"/>
      <c r="WAM5" s="2"/>
      <c r="WAN5" s="2"/>
      <c r="WAO5" s="2"/>
      <c r="WAP5" s="2"/>
      <c r="WAQ5" s="2"/>
      <c r="WAR5" s="2"/>
      <c r="WAS5" s="2"/>
      <c r="WAT5" s="2"/>
      <c r="WAU5" s="2"/>
      <c r="WAV5" s="2"/>
      <c r="WAW5" s="2"/>
      <c r="WAX5" s="2"/>
      <c r="WAY5" s="2"/>
      <c r="WAZ5" s="2"/>
      <c r="WBA5" s="2"/>
      <c r="WBB5" s="2"/>
      <c r="WBC5" s="2"/>
      <c r="WBD5" s="2"/>
      <c r="WBE5" s="2"/>
      <c r="WBF5" s="2"/>
      <c r="WBG5" s="2"/>
      <c r="WBH5" s="2"/>
      <c r="WBI5" s="2"/>
      <c r="WBJ5" s="2"/>
      <c r="WBK5" s="2"/>
      <c r="WBL5" s="2"/>
      <c r="WBM5" s="2"/>
      <c r="WBN5" s="2"/>
      <c r="WBO5" s="2"/>
      <c r="WBP5" s="2"/>
      <c r="WBQ5" s="2"/>
      <c r="WBR5" s="2"/>
      <c r="WBS5" s="2"/>
      <c r="WBT5" s="2"/>
      <c r="WBU5" s="2"/>
      <c r="WBV5" s="2"/>
      <c r="WBW5" s="2"/>
      <c r="WBX5" s="2"/>
      <c r="WBY5" s="2"/>
      <c r="WBZ5" s="2"/>
      <c r="WCA5" s="2"/>
      <c r="WCB5" s="2"/>
      <c r="WCC5" s="2"/>
      <c r="WCD5" s="2"/>
      <c r="WCE5" s="2"/>
      <c r="WCF5" s="2"/>
      <c r="WCG5" s="2"/>
      <c r="WCH5" s="2"/>
      <c r="WCI5" s="2"/>
      <c r="WCJ5" s="2"/>
      <c r="WCK5" s="2"/>
      <c r="WCL5" s="2"/>
      <c r="WCM5" s="2"/>
      <c r="WCN5" s="2"/>
      <c r="WCO5" s="2"/>
      <c r="WCP5" s="2"/>
      <c r="WCQ5" s="2"/>
      <c r="WCR5" s="2"/>
      <c r="WCS5" s="2"/>
      <c r="WCT5" s="2"/>
      <c r="WCU5" s="2"/>
      <c r="WCV5" s="2"/>
      <c r="WCW5" s="2"/>
      <c r="WCX5" s="2"/>
      <c r="WCY5" s="2"/>
      <c r="WCZ5" s="2"/>
      <c r="WDA5" s="2"/>
      <c r="WDB5" s="2"/>
      <c r="WDC5" s="2"/>
      <c r="WDD5" s="2"/>
      <c r="WDE5" s="2"/>
      <c r="WDF5" s="2"/>
      <c r="WDG5" s="2"/>
      <c r="WDH5" s="2"/>
      <c r="WDI5" s="2"/>
      <c r="WDJ5" s="2"/>
      <c r="WDK5" s="2"/>
      <c r="WDL5" s="2"/>
      <c r="WDM5" s="2"/>
      <c r="WDN5" s="2"/>
      <c r="WDO5" s="2"/>
      <c r="WDP5" s="2"/>
      <c r="WDQ5" s="2"/>
      <c r="WDR5" s="2"/>
      <c r="WDS5" s="2"/>
      <c r="WDT5" s="2"/>
      <c r="WDU5" s="2"/>
      <c r="WDV5" s="2"/>
      <c r="WDW5" s="2"/>
      <c r="WDX5" s="2"/>
      <c r="WDY5" s="2"/>
      <c r="WDZ5" s="2"/>
      <c r="WEA5" s="2"/>
      <c r="WEB5" s="2"/>
      <c r="WEC5" s="2"/>
      <c r="WED5" s="2"/>
      <c r="WEE5" s="2"/>
      <c r="WEF5" s="2"/>
      <c r="WEG5" s="2"/>
      <c r="WEH5" s="2"/>
      <c r="WEI5" s="2"/>
      <c r="WEJ5" s="2"/>
      <c r="WEK5" s="2"/>
      <c r="WEL5" s="2"/>
      <c r="WEM5" s="2"/>
      <c r="WEN5" s="2"/>
      <c r="WEO5" s="2"/>
      <c r="WEP5" s="2"/>
      <c r="WEQ5" s="2"/>
      <c r="WER5" s="2"/>
      <c r="WES5" s="2"/>
      <c r="WET5" s="2"/>
      <c r="WEU5" s="2"/>
      <c r="WEV5" s="2"/>
      <c r="WEW5" s="2"/>
      <c r="WEX5" s="2"/>
      <c r="WEY5" s="2"/>
      <c r="WEZ5" s="2"/>
      <c r="WFA5" s="2"/>
      <c r="WFB5" s="2"/>
      <c r="WFC5" s="2"/>
      <c r="WFD5" s="2"/>
      <c r="WFE5" s="2"/>
      <c r="WFF5" s="2"/>
      <c r="WFG5" s="2"/>
      <c r="WFH5" s="2"/>
      <c r="WFI5" s="2"/>
      <c r="WFJ5" s="2"/>
      <c r="WFK5" s="2"/>
      <c r="WFL5" s="2"/>
      <c r="WFM5" s="2"/>
      <c r="WFN5" s="2"/>
      <c r="WFO5" s="2"/>
      <c r="WFP5" s="2"/>
      <c r="WFQ5" s="2"/>
      <c r="WFR5" s="2"/>
      <c r="WFS5" s="2"/>
      <c r="WFT5" s="2"/>
      <c r="WFU5" s="2"/>
      <c r="WFV5" s="2"/>
      <c r="WFW5" s="2"/>
      <c r="WFX5" s="2"/>
      <c r="WFY5" s="2"/>
      <c r="WFZ5" s="2"/>
      <c r="WGA5" s="2"/>
      <c r="WGB5" s="2"/>
      <c r="WGC5" s="2"/>
      <c r="WGD5" s="2"/>
      <c r="WGE5" s="2"/>
      <c r="WGF5" s="2"/>
      <c r="WGG5" s="2"/>
      <c r="WGH5" s="2"/>
      <c r="WGI5" s="2"/>
      <c r="WGJ5" s="2"/>
      <c r="WGK5" s="2"/>
      <c r="WGL5" s="2"/>
      <c r="WGM5" s="2"/>
      <c r="WGN5" s="2"/>
      <c r="WGO5" s="2"/>
      <c r="WGP5" s="2"/>
      <c r="WGQ5" s="2"/>
      <c r="WGR5" s="2"/>
      <c r="WGS5" s="2"/>
      <c r="WGT5" s="2"/>
      <c r="WGU5" s="2"/>
      <c r="WGV5" s="2"/>
      <c r="WGW5" s="2"/>
      <c r="WGX5" s="2"/>
      <c r="WGY5" s="2"/>
      <c r="WGZ5" s="2"/>
      <c r="WHA5" s="2"/>
      <c r="WHB5" s="2"/>
      <c r="WHC5" s="2"/>
      <c r="WHD5" s="2"/>
      <c r="WHE5" s="2"/>
      <c r="WHF5" s="2"/>
      <c r="WHG5" s="2"/>
      <c r="WHH5" s="2"/>
      <c r="WHI5" s="2"/>
      <c r="WHJ5" s="2"/>
      <c r="WHK5" s="2"/>
      <c r="WHL5" s="2"/>
      <c r="WHM5" s="2"/>
      <c r="WHN5" s="2"/>
      <c r="WHO5" s="2"/>
      <c r="WHP5" s="2"/>
      <c r="WHQ5" s="2"/>
      <c r="WHR5" s="2"/>
      <c r="WHS5" s="2"/>
      <c r="WHT5" s="2"/>
      <c r="WHU5" s="2"/>
      <c r="WHV5" s="2"/>
      <c r="WHW5" s="2"/>
      <c r="WHX5" s="2"/>
      <c r="WHY5" s="2"/>
      <c r="WHZ5" s="2"/>
      <c r="WIA5" s="2"/>
      <c r="WIB5" s="2"/>
      <c r="WIC5" s="2"/>
      <c r="WID5" s="2"/>
      <c r="WIE5" s="2"/>
      <c r="WIF5" s="2"/>
      <c r="WIG5" s="2"/>
      <c r="WIH5" s="2"/>
      <c r="WII5" s="2"/>
      <c r="WIJ5" s="2"/>
      <c r="WIK5" s="2"/>
      <c r="WIL5" s="2"/>
      <c r="WIM5" s="2"/>
      <c r="WIN5" s="2"/>
      <c r="WIO5" s="2"/>
      <c r="WIP5" s="2"/>
      <c r="WIQ5" s="2"/>
      <c r="WIR5" s="2"/>
      <c r="WIS5" s="2"/>
      <c r="WIT5" s="2"/>
      <c r="WIU5" s="2"/>
      <c r="WIV5" s="2"/>
      <c r="WIW5" s="2"/>
      <c r="WIX5" s="2"/>
      <c r="WIY5" s="2"/>
      <c r="WIZ5" s="2"/>
      <c r="WJA5" s="2"/>
      <c r="WJB5" s="2"/>
      <c r="WJC5" s="2"/>
      <c r="WJD5" s="2"/>
      <c r="WJE5" s="2"/>
      <c r="WJF5" s="2"/>
      <c r="WJG5" s="2"/>
      <c r="WJH5" s="2"/>
      <c r="WJI5" s="2"/>
      <c r="WJJ5" s="2"/>
      <c r="WJK5" s="2"/>
      <c r="WJL5" s="2"/>
      <c r="WJM5" s="2"/>
      <c r="WJN5" s="2"/>
      <c r="WJO5" s="2"/>
      <c r="WJP5" s="2"/>
      <c r="WJQ5" s="2"/>
      <c r="WJR5" s="2"/>
      <c r="WJS5" s="2"/>
      <c r="WJT5" s="2"/>
      <c r="WJU5" s="2"/>
      <c r="WJV5" s="2"/>
      <c r="WJW5" s="2"/>
      <c r="WJX5" s="2"/>
      <c r="WJY5" s="2"/>
      <c r="WJZ5" s="2"/>
      <c r="WKA5" s="2"/>
      <c r="WKB5" s="2"/>
      <c r="WKC5" s="2"/>
      <c r="WKD5" s="2"/>
      <c r="WKE5" s="2"/>
      <c r="WKF5" s="2"/>
      <c r="WKG5" s="2"/>
      <c r="WKH5" s="2"/>
      <c r="WKI5" s="2"/>
      <c r="WKJ5" s="2"/>
      <c r="WKK5" s="2"/>
      <c r="WKL5" s="2"/>
      <c r="WKM5" s="2"/>
      <c r="WKN5" s="2"/>
      <c r="WKO5" s="2"/>
      <c r="WKP5" s="2"/>
      <c r="WKQ5" s="2"/>
      <c r="WKR5" s="2"/>
      <c r="WKS5" s="2"/>
      <c r="WKT5" s="2"/>
      <c r="WKU5" s="2"/>
      <c r="WKV5" s="2"/>
      <c r="WKW5" s="2"/>
      <c r="WKX5" s="2"/>
      <c r="WKY5" s="2"/>
      <c r="WKZ5" s="2"/>
      <c r="WLA5" s="2"/>
      <c r="WLB5" s="2"/>
      <c r="WLC5" s="2"/>
      <c r="WLD5" s="2"/>
      <c r="WLE5" s="2"/>
      <c r="WLF5" s="2"/>
      <c r="WLG5" s="2"/>
      <c r="WLH5" s="2"/>
      <c r="WLI5" s="2"/>
      <c r="WLJ5" s="2"/>
      <c r="WLK5" s="2"/>
      <c r="WLL5" s="2"/>
      <c r="WLM5" s="2"/>
      <c r="WLN5" s="2"/>
      <c r="WLO5" s="2"/>
      <c r="WLP5" s="2"/>
      <c r="WLQ5" s="2"/>
      <c r="WLR5" s="2"/>
      <c r="WLS5" s="2"/>
      <c r="WLT5" s="2"/>
      <c r="WLU5" s="2"/>
      <c r="WLV5" s="2"/>
      <c r="WLW5" s="2"/>
      <c r="WLX5" s="2"/>
      <c r="WLY5" s="2"/>
      <c r="WLZ5" s="2"/>
      <c r="WMA5" s="2"/>
      <c r="WMB5" s="2"/>
      <c r="WMC5" s="2"/>
      <c r="WMD5" s="2"/>
      <c r="WME5" s="2"/>
      <c r="WMF5" s="2"/>
      <c r="WMG5" s="2"/>
      <c r="WMH5" s="2"/>
      <c r="WMI5" s="2"/>
      <c r="WMJ5" s="2"/>
      <c r="WMK5" s="2"/>
      <c r="WML5" s="2"/>
      <c r="WMM5" s="2"/>
      <c r="WMN5" s="2"/>
      <c r="WMO5" s="2"/>
      <c r="WMP5" s="2"/>
      <c r="WMQ5" s="2"/>
      <c r="WMR5" s="2"/>
      <c r="WMS5" s="2"/>
      <c r="WMT5" s="2"/>
      <c r="WMU5" s="2"/>
      <c r="WMV5" s="2"/>
      <c r="WMW5" s="2"/>
      <c r="WMX5" s="2"/>
      <c r="WMY5" s="2"/>
      <c r="WMZ5" s="2"/>
      <c r="WNA5" s="2"/>
      <c r="WNB5" s="2"/>
      <c r="WNC5" s="2"/>
      <c r="WND5" s="2"/>
      <c r="WNE5" s="2"/>
      <c r="WNF5" s="2"/>
      <c r="WNG5" s="2"/>
      <c r="WNH5" s="2"/>
      <c r="WNI5" s="2"/>
      <c r="WNJ5" s="2"/>
      <c r="WNK5" s="2"/>
      <c r="WNL5" s="2"/>
      <c r="WNM5" s="2"/>
      <c r="WNN5" s="2"/>
      <c r="WNO5" s="2"/>
      <c r="WNP5" s="2"/>
      <c r="WNQ5" s="2"/>
      <c r="WNR5" s="2"/>
      <c r="WNS5" s="2"/>
      <c r="WNT5" s="2"/>
      <c r="WNU5" s="2"/>
      <c r="WNV5" s="2"/>
      <c r="WNW5" s="2"/>
      <c r="WNX5" s="2"/>
      <c r="WNY5" s="2"/>
      <c r="WNZ5" s="2"/>
      <c r="WOA5" s="2"/>
      <c r="WOB5" s="2"/>
      <c r="WOC5" s="2"/>
      <c r="WOD5" s="2"/>
      <c r="WOE5" s="2"/>
      <c r="WOF5" s="2"/>
      <c r="WOG5" s="2"/>
      <c r="WOH5" s="2"/>
      <c r="WOI5" s="2"/>
      <c r="WOJ5" s="2"/>
      <c r="WOK5" s="2"/>
      <c r="WOL5" s="2"/>
      <c r="WOM5" s="2"/>
      <c r="WON5" s="2"/>
      <c r="WOO5" s="2"/>
      <c r="WOP5" s="2"/>
      <c r="WOQ5" s="2"/>
      <c r="WOR5" s="2"/>
      <c r="WOS5" s="2"/>
      <c r="WOT5" s="2"/>
      <c r="WOU5" s="2"/>
      <c r="WOV5" s="2"/>
      <c r="WOW5" s="2"/>
      <c r="WOX5" s="2"/>
      <c r="WOY5" s="2"/>
      <c r="WOZ5" s="2"/>
      <c r="WPA5" s="2"/>
      <c r="WPB5" s="2"/>
      <c r="WPC5" s="2"/>
      <c r="WPD5" s="2"/>
      <c r="WPE5" s="2"/>
      <c r="WPF5" s="2"/>
      <c r="WPG5" s="2"/>
      <c r="WPH5" s="2"/>
      <c r="WPI5" s="2"/>
      <c r="WPJ5" s="2"/>
      <c r="WPK5" s="2"/>
      <c r="WPL5" s="2"/>
      <c r="WPM5" s="2"/>
      <c r="WPN5" s="2"/>
      <c r="WPO5" s="2"/>
      <c r="WPP5" s="2"/>
      <c r="WPQ5" s="2"/>
      <c r="WPR5" s="2"/>
      <c r="WPS5" s="2"/>
      <c r="WPT5" s="2"/>
      <c r="WPU5" s="2"/>
      <c r="WPV5" s="2"/>
      <c r="WPW5" s="2"/>
      <c r="WPX5" s="2"/>
      <c r="WPY5" s="2"/>
      <c r="WPZ5" s="2"/>
      <c r="WQA5" s="2"/>
      <c r="WQB5" s="2"/>
      <c r="WQC5" s="2"/>
      <c r="WQD5" s="2"/>
      <c r="WQE5" s="2"/>
      <c r="WQF5" s="2"/>
      <c r="WQG5" s="2"/>
      <c r="WQH5" s="2"/>
      <c r="WQI5" s="2"/>
      <c r="WQJ5" s="2"/>
      <c r="WQK5" s="2"/>
      <c r="WQL5" s="2"/>
      <c r="WQM5" s="2"/>
      <c r="WQN5" s="2"/>
      <c r="WQO5" s="2"/>
      <c r="WQP5" s="2"/>
      <c r="WQQ5" s="2"/>
      <c r="WQR5" s="2"/>
      <c r="WQS5" s="2"/>
      <c r="WQT5" s="2"/>
      <c r="WQU5" s="2"/>
      <c r="WQV5" s="2"/>
      <c r="WQW5" s="2"/>
      <c r="WQX5" s="2"/>
      <c r="WQY5" s="2"/>
      <c r="WQZ5" s="2"/>
      <c r="WRA5" s="2"/>
      <c r="WRB5" s="2"/>
      <c r="WRC5" s="2"/>
      <c r="WRD5" s="2"/>
      <c r="WRE5" s="2"/>
      <c r="WRF5" s="2"/>
      <c r="WRG5" s="2"/>
      <c r="WRH5" s="2"/>
      <c r="WRI5" s="2"/>
      <c r="WRJ5" s="2"/>
      <c r="WRK5" s="2"/>
      <c r="WRL5" s="2"/>
      <c r="WRM5" s="2"/>
      <c r="WRN5" s="2"/>
      <c r="WRO5" s="2"/>
      <c r="WRP5" s="2"/>
      <c r="WRQ5" s="2"/>
      <c r="WRR5" s="2"/>
      <c r="WRS5" s="2"/>
      <c r="WRT5" s="2"/>
      <c r="WRU5" s="2"/>
      <c r="WRV5" s="2"/>
      <c r="WRW5" s="2"/>
      <c r="WRX5" s="2"/>
      <c r="WRY5" s="2"/>
      <c r="WRZ5" s="2"/>
      <c r="WSA5" s="2"/>
      <c r="WSB5" s="2"/>
      <c r="WSC5" s="2"/>
      <c r="WSD5" s="2"/>
      <c r="WSE5" s="2"/>
      <c r="WSF5" s="2"/>
      <c r="WSG5" s="2"/>
      <c r="WSH5" s="2"/>
      <c r="WSI5" s="2"/>
      <c r="WSJ5" s="2"/>
      <c r="WSK5" s="2"/>
      <c r="WSL5" s="2"/>
      <c r="WSM5" s="2"/>
      <c r="WSN5" s="2"/>
      <c r="WSO5" s="2"/>
      <c r="WSP5" s="2"/>
      <c r="WSQ5" s="2"/>
      <c r="WSR5" s="2"/>
      <c r="WSS5" s="2"/>
      <c r="WST5" s="2"/>
      <c r="WSU5" s="2"/>
      <c r="WSV5" s="2"/>
      <c r="WSW5" s="2"/>
      <c r="WSX5" s="2"/>
      <c r="WSY5" s="2"/>
      <c r="WSZ5" s="2"/>
      <c r="WTA5" s="2"/>
      <c r="WTB5" s="2"/>
      <c r="WTC5" s="2"/>
      <c r="WTD5" s="2"/>
      <c r="WTE5" s="2"/>
      <c r="WTF5" s="2"/>
      <c r="WTG5" s="2"/>
      <c r="WTH5" s="2"/>
      <c r="WTI5" s="2"/>
      <c r="WTJ5" s="2"/>
      <c r="WTK5" s="2"/>
      <c r="WTL5" s="2"/>
      <c r="WTM5" s="2"/>
      <c r="WTN5" s="2"/>
      <c r="WTO5" s="2"/>
      <c r="WTP5" s="2"/>
      <c r="WTQ5" s="2"/>
      <c r="WTR5" s="2"/>
      <c r="WTS5" s="2"/>
      <c r="WTT5" s="2"/>
      <c r="WTU5" s="2"/>
      <c r="WTV5" s="2"/>
      <c r="WTW5" s="2"/>
      <c r="WTX5" s="2"/>
      <c r="WTY5" s="2"/>
      <c r="WTZ5" s="2"/>
      <c r="WUA5" s="2"/>
      <c r="WUB5" s="2"/>
      <c r="WUC5" s="2"/>
      <c r="WUD5" s="2"/>
      <c r="WUE5" s="2"/>
      <c r="WUF5" s="2"/>
      <c r="WUG5" s="2"/>
      <c r="WUH5" s="2"/>
      <c r="WUI5" s="2"/>
      <c r="WUJ5" s="2"/>
      <c r="WUK5" s="2"/>
      <c r="WUL5" s="2"/>
      <c r="WUM5" s="2"/>
      <c r="WUN5" s="2"/>
      <c r="WUO5" s="2"/>
      <c r="WUP5" s="2"/>
      <c r="WUQ5" s="2"/>
      <c r="WUR5" s="2"/>
      <c r="WUS5" s="2"/>
      <c r="WUT5" s="2"/>
      <c r="WUU5" s="2"/>
      <c r="WUV5" s="2"/>
      <c r="WUW5" s="2"/>
      <c r="WUX5" s="2"/>
      <c r="WUY5" s="2"/>
      <c r="WUZ5" s="2"/>
      <c r="WVA5" s="2"/>
      <c r="WVB5" s="2"/>
      <c r="WVC5" s="2"/>
      <c r="WVD5" s="2"/>
      <c r="WVE5" s="2"/>
      <c r="WVF5" s="2"/>
      <c r="WVG5" s="2"/>
      <c r="WVH5" s="2"/>
      <c r="WVI5" s="2"/>
      <c r="WVJ5" s="2"/>
      <c r="WVK5" s="2"/>
      <c r="WVL5" s="2"/>
      <c r="WVM5" s="2"/>
      <c r="WVN5" s="2"/>
      <c r="WVO5" s="2"/>
      <c r="WVP5" s="2"/>
      <c r="WVQ5" s="2"/>
      <c r="WVR5" s="2"/>
      <c r="WVS5" s="2"/>
      <c r="WVT5" s="2"/>
      <c r="WVU5" s="2"/>
      <c r="WVV5" s="2"/>
      <c r="WVW5" s="2"/>
      <c r="WVX5" s="2"/>
      <c r="WVY5" s="2"/>
      <c r="WVZ5" s="2"/>
      <c r="WWA5" s="2"/>
      <c r="WWB5" s="2"/>
      <c r="WWC5" s="2"/>
      <c r="WWD5" s="2"/>
      <c r="WWE5" s="2"/>
      <c r="WWF5" s="2"/>
      <c r="WWG5" s="2"/>
      <c r="WWH5" s="2"/>
      <c r="WWI5" s="2"/>
      <c r="WWJ5" s="2"/>
      <c r="WWK5" s="2"/>
      <c r="WWL5" s="2"/>
      <c r="WWM5" s="2"/>
      <c r="WWN5" s="2"/>
      <c r="WWO5" s="2"/>
      <c r="WWP5" s="2"/>
      <c r="WWQ5" s="2"/>
      <c r="WWR5" s="2"/>
      <c r="WWS5" s="2"/>
      <c r="WWT5" s="2"/>
      <c r="WWU5" s="2"/>
      <c r="WWV5" s="2"/>
      <c r="WWW5" s="2"/>
      <c r="WWX5" s="2"/>
      <c r="WWY5" s="2"/>
      <c r="WWZ5" s="2"/>
      <c r="WXA5" s="2"/>
      <c r="WXB5" s="2"/>
      <c r="WXC5" s="2"/>
      <c r="WXD5" s="2"/>
      <c r="WXE5" s="2"/>
      <c r="WXF5" s="2"/>
      <c r="WXG5" s="2"/>
      <c r="WXH5" s="2"/>
      <c r="WXI5" s="2"/>
      <c r="WXJ5" s="2"/>
      <c r="WXK5" s="2"/>
      <c r="WXL5" s="2"/>
      <c r="WXM5" s="2"/>
      <c r="WXN5" s="2"/>
      <c r="WXO5" s="2"/>
      <c r="WXP5" s="2"/>
      <c r="WXQ5" s="2"/>
      <c r="WXR5" s="2"/>
      <c r="WXS5" s="2"/>
      <c r="WXT5" s="2"/>
      <c r="WXU5" s="2"/>
      <c r="WXV5" s="2"/>
      <c r="WXW5" s="2"/>
      <c r="WXX5" s="2"/>
      <c r="WXY5" s="2"/>
      <c r="WXZ5" s="2"/>
      <c r="WYA5" s="2"/>
      <c r="WYB5" s="2"/>
      <c r="WYC5" s="2"/>
      <c r="WYD5" s="2"/>
      <c r="WYE5" s="2"/>
      <c r="WYF5" s="2"/>
      <c r="WYG5" s="2"/>
      <c r="WYH5" s="2"/>
      <c r="WYI5" s="2"/>
      <c r="WYJ5" s="2"/>
      <c r="WYK5" s="2"/>
      <c r="WYL5" s="2"/>
      <c r="WYM5" s="2"/>
      <c r="WYN5" s="2"/>
      <c r="WYO5" s="2"/>
      <c r="WYP5" s="2"/>
      <c r="WYQ5" s="2"/>
      <c r="WYR5" s="2"/>
      <c r="WYS5" s="2"/>
      <c r="WYT5" s="2"/>
      <c r="WYU5" s="2"/>
      <c r="WYV5" s="2"/>
      <c r="WYW5" s="2"/>
      <c r="WYX5" s="2"/>
      <c r="WYY5" s="2"/>
      <c r="WYZ5" s="2"/>
      <c r="WZA5" s="2"/>
      <c r="WZB5" s="2"/>
      <c r="WZC5" s="2"/>
      <c r="WZD5" s="2"/>
      <c r="WZE5" s="2"/>
      <c r="WZF5" s="2"/>
      <c r="WZG5" s="2"/>
      <c r="WZH5" s="2"/>
      <c r="WZI5" s="2"/>
      <c r="WZJ5" s="2"/>
      <c r="WZK5" s="2"/>
      <c r="WZL5" s="2"/>
      <c r="WZM5" s="2"/>
      <c r="WZN5" s="2"/>
      <c r="WZO5" s="2"/>
      <c r="WZP5" s="2"/>
      <c r="WZQ5" s="2"/>
      <c r="WZR5" s="2"/>
      <c r="WZS5" s="2"/>
      <c r="WZT5" s="2"/>
      <c r="WZU5" s="2"/>
      <c r="WZV5" s="2"/>
      <c r="WZW5" s="2"/>
      <c r="WZX5" s="2"/>
      <c r="WZY5" s="2"/>
      <c r="WZZ5" s="2"/>
      <c r="XAA5" s="2"/>
      <c r="XAB5" s="2"/>
      <c r="XAC5" s="2"/>
      <c r="XAD5" s="2"/>
      <c r="XAE5" s="2"/>
      <c r="XAF5" s="2"/>
      <c r="XAG5" s="2"/>
      <c r="XAH5" s="2"/>
      <c r="XAI5" s="2"/>
      <c r="XAJ5" s="2"/>
      <c r="XAK5" s="2"/>
      <c r="XAL5" s="2"/>
      <c r="XAM5" s="2"/>
      <c r="XAN5" s="2"/>
      <c r="XAO5" s="2"/>
      <c r="XAP5" s="2"/>
      <c r="XAQ5" s="2"/>
      <c r="XAR5" s="2"/>
      <c r="XAS5" s="2"/>
      <c r="XAT5" s="2"/>
      <c r="XAU5" s="2"/>
      <c r="XAV5" s="2"/>
      <c r="XAW5" s="2"/>
      <c r="XAX5" s="2"/>
      <c r="XAY5" s="2"/>
      <c r="XAZ5" s="2"/>
      <c r="XBA5" s="2"/>
      <c r="XBB5" s="2"/>
      <c r="XBC5" s="2"/>
      <c r="XBD5" s="2"/>
      <c r="XBE5" s="2"/>
      <c r="XBF5" s="2"/>
      <c r="XBG5" s="2"/>
      <c r="XBH5" s="2"/>
      <c r="XBI5" s="2"/>
      <c r="XBJ5" s="2"/>
      <c r="XBK5" s="2"/>
      <c r="XBL5" s="2"/>
      <c r="XBM5" s="2"/>
      <c r="XBN5" s="2"/>
      <c r="XBO5" s="2"/>
      <c r="XBP5" s="2"/>
      <c r="XBQ5" s="2"/>
      <c r="XBR5" s="2"/>
      <c r="XBS5" s="2"/>
      <c r="XBT5" s="2"/>
      <c r="XBU5" s="2"/>
      <c r="XBV5" s="2"/>
      <c r="XBW5" s="2"/>
      <c r="XBX5" s="2"/>
      <c r="XBY5" s="2"/>
      <c r="XBZ5" s="2"/>
      <c r="XCA5" s="2"/>
      <c r="XCB5" s="2"/>
      <c r="XCC5" s="2"/>
      <c r="XCD5" s="2"/>
      <c r="XCE5" s="2"/>
      <c r="XCF5" s="2"/>
      <c r="XCG5" s="2"/>
      <c r="XCH5" s="2"/>
      <c r="XCI5" s="2"/>
      <c r="XCJ5" s="2"/>
      <c r="XCK5" s="2"/>
      <c r="XCL5" s="2"/>
      <c r="XCM5" s="2"/>
      <c r="XCN5" s="2"/>
      <c r="XCO5" s="2"/>
      <c r="XCP5" s="2"/>
      <c r="XCQ5" s="2"/>
      <c r="XCR5" s="2"/>
      <c r="XCS5" s="2"/>
      <c r="XCT5" s="2"/>
      <c r="XCU5" s="2"/>
      <c r="XCV5" s="2"/>
      <c r="XCW5" s="2"/>
      <c r="XCX5" s="2"/>
      <c r="XCY5" s="2"/>
      <c r="XCZ5" s="2"/>
      <c r="XDA5" s="2"/>
      <c r="XDB5" s="2"/>
      <c r="XDC5" s="2"/>
      <c r="XDD5" s="2"/>
      <c r="XDE5" s="2"/>
      <c r="XDF5" s="2"/>
      <c r="XDG5" s="2"/>
      <c r="XDH5" s="2"/>
      <c r="XDI5" s="2"/>
      <c r="XDJ5" s="2"/>
      <c r="XDK5" s="2"/>
      <c r="XDL5" s="2"/>
      <c r="XDM5" s="2"/>
      <c r="XDN5" s="2"/>
      <c r="XDO5" s="2"/>
      <c r="XDP5" s="2"/>
      <c r="XDQ5" s="2"/>
      <c r="XDR5" s="2"/>
      <c r="XDS5" s="2"/>
      <c r="XDT5" s="2"/>
      <c r="XDU5" s="2"/>
      <c r="XDV5" s="2"/>
      <c r="XDW5" s="2"/>
      <c r="XDX5" s="2"/>
      <c r="XDY5" s="2"/>
      <c r="XDZ5" s="2"/>
      <c r="XEA5" s="2"/>
      <c r="XEB5" s="2"/>
      <c r="XEC5" s="2"/>
    </row>
    <row r="6" spans="1:16384" customFormat="1" ht="15.95" customHeight="1" x14ac:dyDescent="0.25">
      <c r="A6" s="19" t="s">
        <v>154</v>
      </c>
      <c r="B6" s="19" t="s">
        <v>153</v>
      </c>
      <c r="C6" s="33">
        <v>1</v>
      </c>
      <c r="D6" s="33">
        <v>1</v>
      </c>
      <c r="E6" s="33">
        <v>1</v>
      </c>
      <c r="F6" s="33">
        <v>11</v>
      </c>
      <c r="G6" s="33">
        <v>1</v>
      </c>
      <c r="H6" s="33" cm="1">
        <f t="array" ref="H6">G6*_xlfn.IFS(Настройки!$B$2="M",'Печатные изд.'!C6,Настройки!$B$2="L",'Печатные изд.'!D6,Настройки!$B$2="XL",'Печатные изд.'!E6)</f>
        <v>1</v>
      </c>
      <c r="I6" s="41">
        <f t="shared" si="0"/>
        <v>11</v>
      </c>
      <c r="J6" s="33" t="s">
        <v>509</v>
      </c>
      <c r="K6" s="41" cm="1">
        <f t="array" ref="K6">_xlfn.IFS(J6="Высоконагруженная",Настройки!$B$6,J6="Средне-нагруженная",Настройки!$B$7,J6="Ненагруженная",Настройки!$B$8,J6="Гибкая",Настройки!$B$9)</f>
        <v>1.21</v>
      </c>
      <c r="L6" s="41" cm="1">
        <f t="array" ref="L6">_xlfn.IFS(J6="Высоконагруженная",Настройки!$C$6,J6="Средне-нагруженная",Настройки!$C$7,J6="Ненагруженная",Настройки!$C$8,J6="Гибкая",Настройки!$C$9)/1000</f>
        <v>5</v>
      </c>
      <c r="M6" s="51">
        <f t="shared" si="1"/>
        <v>13.309999999999999</v>
      </c>
      <c r="N6" s="51">
        <f t="shared" si="2"/>
        <v>0</v>
      </c>
      <c r="O6" s="51">
        <f t="shared" si="3"/>
        <v>0</v>
      </c>
      <c r="P6" s="51">
        <f t="shared" si="4"/>
        <v>0</v>
      </c>
      <c r="Q6" s="52">
        <f t="shared" si="5"/>
        <v>66.55</v>
      </c>
      <c r="R6" s="4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  <c r="CEP6" s="2"/>
      <c r="CEQ6" s="2"/>
      <c r="CER6" s="2"/>
      <c r="CES6" s="2"/>
      <c r="CET6" s="2"/>
      <c r="CEU6" s="2"/>
      <c r="CEV6" s="2"/>
      <c r="CEW6" s="2"/>
      <c r="CEX6" s="2"/>
      <c r="CEY6" s="2"/>
      <c r="CEZ6" s="2"/>
      <c r="CFA6" s="2"/>
      <c r="CFB6" s="2"/>
      <c r="CFC6" s="2"/>
      <c r="CFD6" s="2"/>
      <c r="CFE6" s="2"/>
      <c r="CFF6" s="2"/>
      <c r="CFG6" s="2"/>
      <c r="CFH6" s="2"/>
      <c r="CFI6" s="2"/>
      <c r="CFJ6" s="2"/>
      <c r="CFK6" s="2"/>
      <c r="CFL6" s="2"/>
      <c r="CFM6" s="2"/>
      <c r="CFN6" s="2"/>
      <c r="CFO6" s="2"/>
      <c r="CFP6" s="2"/>
      <c r="CFQ6" s="2"/>
      <c r="CFR6" s="2"/>
      <c r="CFS6" s="2"/>
      <c r="CFT6" s="2"/>
      <c r="CFU6" s="2"/>
      <c r="CFV6" s="2"/>
      <c r="CFW6" s="2"/>
      <c r="CFX6" s="2"/>
      <c r="CFY6" s="2"/>
      <c r="CFZ6" s="2"/>
      <c r="CGA6" s="2"/>
      <c r="CGB6" s="2"/>
      <c r="CGC6" s="2"/>
      <c r="CGD6" s="2"/>
      <c r="CGE6" s="2"/>
      <c r="CGF6" s="2"/>
      <c r="CGG6" s="2"/>
      <c r="CGH6" s="2"/>
      <c r="CGI6" s="2"/>
      <c r="CGJ6" s="2"/>
      <c r="CGK6" s="2"/>
      <c r="CGL6" s="2"/>
      <c r="CGM6" s="2"/>
      <c r="CGN6" s="2"/>
      <c r="CGO6" s="2"/>
      <c r="CGP6" s="2"/>
      <c r="CGQ6" s="2"/>
      <c r="CGR6" s="2"/>
      <c r="CGS6" s="2"/>
      <c r="CGT6" s="2"/>
      <c r="CGU6" s="2"/>
      <c r="CGV6" s="2"/>
      <c r="CGW6" s="2"/>
      <c r="CGX6" s="2"/>
      <c r="CGY6" s="2"/>
      <c r="CGZ6" s="2"/>
      <c r="CHA6" s="2"/>
      <c r="CHB6" s="2"/>
      <c r="CHC6" s="2"/>
      <c r="CHD6" s="2"/>
      <c r="CHE6" s="2"/>
      <c r="CHF6" s="2"/>
      <c r="CHG6" s="2"/>
      <c r="CHH6" s="2"/>
      <c r="CHI6" s="2"/>
      <c r="CHJ6" s="2"/>
      <c r="CHK6" s="2"/>
      <c r="CHL6" s="2"/>
      <c r="CHM6" s="2"/>
      <c r="CHN6" s="2"/>
      <c r="CHO6" s="2"/>
      <c r="CHP6" s="2"/>
      <c r="CHQ6" s="2"/>
      <c r="CHR6" s="2"/>
      <c r="CHS6" s="2"/>
      <c r="CHT6" s="2"/>
      <c r="CHU6" s="2"/>
      <c r="CHV6" s="2"/>
      <c r="CHW6" s="2"/>
      <c r="CHX6" s="2"/>
      <c r="CHY6" s="2"/>
      <c r="CHZ6" s="2"/>
      <c r="CIA6" s="2"/>
      <c r="CIB6" s="2"/>
      <c r="CIC6" s="2"/>
      <c r="CID6" s="2"/>
      <c r="CIE6" s="2"/>
      <c r="CIF6" s="2"/>
      <c r="CIG6" s="2"/>
      <c r="CIH6" s="2"/>
      <c r="CII6" s="2"/>
      <c r="CIJ6" s="2"/>
      <c r="CIK6" s="2"/>
      <c r="CIL6" s="2"/>
      <c r="CIM6" s="2"/>
      <c r="CIN6" s="2"/>
      <c r="CIO6" s="2"/>
      <c r="CIP6" s="2"/>
      <c r="CIQ6" s="2"/>
      <c r="CIR6" s="2"/>
      <c r="CIS6" s="2"/>
      <c r="CIT6" s="2"/>
      <c r="CIU6" s="2"/>
      <c r="CIV6" s="2"/>
      <c r="CIW6" s="2"/>
      <c r="CIX6" s="2"/>
      <c r="CIY6" s="2"/>
      <c r="CIZ6" s="2"/>
      <c r="CJA6" s="2"/>
      <c r="CJB6" s="2"/>
      <c r="CJC6" s="2"/>
      <c r="CJD6" s="2"/>
      <c r="CJE6" s="2"/>
      <c r="CJF6" s="2"/>
      <c r="CJG6" s="2"/>
      <c r="CJH6" s="2"/>
      <c r="CJI6" s="2"/>
      <c r="CJJ6" s="2"/>
      <c r="CJK6" s="2"/>
      <c r="CJL6" s="2"/>
      <c r="CJM6" s="2"/>
      <c r="CJN6" s="2"/>
      <c r="CJO6" s="2"/>
      <c r="CJP6" s="2"/>
      <c r="CJQ6" s="2"/>
      <c r="CJR6" s="2"/>
      <c r="CJS6" s="2"/>
      <c r="CJT6" s="2"/>
      <c r="CJU6" s="2"/>
      <c r="CJV6" s="2"/>
      <c r="CJW6" s="2"/>
      <c r="CJX6" s="2"/>
      <c r="CJY6" s="2"/>
      <c r="CJZ6" s="2"/>
      <c r="CKA6" s="2"/>
      <c r="CKB6" s="2"/>
      <c r="CKC6" s="2"/>
      <c r="CKD6" s="2"/>
      <c r="CKE6" s="2"/>
      <c r="CKF6" s="2"/>
      <c r="CKG6" s="2"/>
      <c r="CKH6" s="2"/>
      <c r="CKI6" s="2"/>
      <c r="CKJ6" s="2"/>
      <c r="CKK6" s="2"/>
      <c r="CKL6" s="2"/>
      <c r="CKM6" s="2"/>
      <c r="CKN6" s="2"/>
      <c r="CKO6" s="2"/>
      <c r="CKP6" s="2"/>
      <c r="CKQ6" s="2"/>
      <c r="CKR6" s="2"/>
      <c r="CKS6" s="2"/>
      <c r="CKT6" s="2"/>
      <c r="CKU6" s="2"/>
      <c r="CKV6" s="2"/>
      <c r="CKW6" s="2"/>
      <c r="CKX6" s="2"/>
      <c r="CKY6" s="2"/>
      <c r="CKZ6" s="2"/>
      <c r="CLA6" s="2"/>
      <c r="CLB6" s="2"/>
      <c r="CLC6" s="2"/>
      <c r="CLD6" s="2"/>
      <c r="CLE6" s="2"/>
      <c r="CLF6" s="2"/>
      <c r="CLG6" s="2"/>
      <c r="CLH6" s="2"/>
      <c r="CLI6" s="2"/>
      <c r="CLJ6" s="2"/>
      <c r="CLK6" s="2"/>
      <c r="CLL6" s="2"/>
      <c r="CLM6" s="2"/>
      <c r="CLN6" s="2"/>
      <c r="CLO6" s="2"/>
      <c r="CLP6" s="2"/>
      <c r="CLQ6" s="2"/>
      <c r="CLR6" s="2"/>
      <c r="CLS6" s="2"/>
      <c r="CLT6" s="2"/>
      <c r="CLU6" s="2"/>
      <c r="CLV6" s="2"/>
      <c r="CLW6" s="2"/>
      <c r="CLX6" s="2"/>
      <c r="CLY6" s="2"/>
      <c r="CLZ6" s="2"/>
      <c r="CMA6" s="2"/>
      <c r="CMB6" s="2"/>
      <c r="CMC6" s="2"/>
      <c r="CMD6" s="2"/>
      <c r="CME6" s="2"/>
      <c r="CMF6" s="2"/>
      <c r="CMG6" s="2"/>
      <c r="CMH6" s="2"/>
      <c r="CMI6" s="2"/>
      <c r="CMJ6" s="2"/>
      <c r="CMK6" s="2"/>
      <c r="CML6" s="2"/>
      <c r="CMM6" s="2"/>
      <c r="CMN6" s="2"/>
      <c r="CMO6" s="2"/>
      <c r="CMP6" s="2"/>
      <c r="CMQ6" s="2"/>
      <c r="CMR6" s="2"/>
      <c r="CMS6" s="2"/>
      <c r="CMT6" s="2"/>
      <c r="CMU6" s="2"/>
      <c r="CMV6" s="2"/>
      <c r="CMW6" s="2"/>
      <c r="CMX6" s="2"/>
      <c r="CMY6" s="2"/>
      <c r="CMZ6" s="2"/>
      <c r="CNA6" s="2"/>
      <c r="CNB6" s="2"/>
      <c r="CNC6" s="2"/>
      <c r="CND6" s="2"/>
      <c r="CNE6" s="2"/>
      <c r="CNF6" s="2"/>
      <c r="CNG6" s="2"/>
      <c r="CNH6" s="2"/>
      <c r="CNI6" s="2"/>
      <c r="CNJ6" s="2"/>
      <c r="CNK6" s="2"/>
      <c r="CNL6" s="2"/>
      <c r="CNM6" s="2"/>
      <c r="CNN6" s="2"/>
      <c r="CNO6" s="2"/>
      <c r="CNP6" s="2"/>
      <c r="CNQ6" s="2"/>
      <c r="CNR6" s="2"/>
      <c r="CNS6" s="2"/>
      <c r="CNT6" s="2"/>
      <c r="CNU6" s="2"/>
      <c r="CNV6" s="2"/>
      <c r="CNW6" s="2"/>
      <c r="CNX6" s="2"/>
      <c r="CNY6" s="2"/>
      <c r="CNZ6" s="2"/>
      <c r="COA6" s="2"/>
      <c r="COB6" s="2"/>
      <c r="COC6" s="2"/>
      <c r="COD6" s="2"/>
      <c r="COE6" s="2"/>
      <c r="COF6" s="2"/>
      <c r="COG6" s="2"/>
      <c r="COH6" s="2"/>
      <c r="COI6" s="2"/>
      <c r="COJ6" s="2"/>
      <c r="COK6" s="2"/>
      <c r="COL6" s="2"/>
      <c r="COM6" s="2"/>
      <c r="CON6" s="2"/>
      <c r="COO6" s="2"/>
      <c r="COP6" s="2"/>
      <c r="COQ6" s="2"/>
      <c r="COR6" s="2"/>
      <c r="COS6" s="2"/>
      <c r="COT6" s="2"/>
      <c r="COU6" s="2"/>
      <c r="COV6" s="2"/>
      <c r="COW6" s="2"/>
      <c r="COX6" s="2"/>
      <c r="COY6" s="2"/>
      <c r="COZ6" s="2"/>
      <c r="CPA6" s="2"/>
      <c r="CPB6" s="2"/>
      <c r="CPC6" s="2"/>
      <c r="CPD6" s="2"/>
      <c r="CPE6" s="2"/>
      <c r="CPF6" s="2"/>
      <c r="CPG6" s="2"/>
      <c r="CPH6" s="2"/>
      <c r="CPI6" s="2"/>
      <c r="CPJ6" s="2"/>
      <c r="CPK6" s="2"/>
      <c r="CPL6" s="2"/>
      <c r="CPM6" s="2"/>
      <c r="CPN6" s="2"/>
      <c r="CPO6" s="2"/>
      <c r="CPP6" s="2"/>
      <c r="CPQ6" s="2"/>
      <c r="CPR6" s="2"/>
      <c r="CPS6" s="2"/>
      <c r="CPT6" s="2"/>
      <c r="CPU6" s="2"/>
      <c r="CPV6" s="2"/>
      <c r="CPW6" s="2"/>
      <c r="CPX6" s="2"/>
      <c r="CPY6" s="2"/>
      <c r="CPZ6" s="2"/>
      <c r="CQA6" s="2"/>
      <c r="CQB6" s="2"/>
      <c r="CQC6" s="2"/>
      <c r="CQD6" s="2"/>
      <c r="CQE6" s="2"/>
      <c r="CQF6" s="2"/>
      <c r="CQG6" s="2"/>
      <c r="CQH6" s="2"/>
      <c r="CQI6" s="2"/>
      <c r="CQJ6" s="2"/>
      <c r="CQK6" s="2"/>
      <c r="CQL6" s="2"/>
      <c r="CQM6" s="2"/>
      <c r="CQN6" s="2"/>
      <c r="CQO6" s="2"/>
      <c r="CQP6" s="2"/>
      <c r="CQQ6" s="2"/>
      <c r="CQR6" s="2"/>
      <c r="CQS6" s="2"/>
      <c r="CQT6" s="2"/>
      <c r="CQU6" s="2"/>
      <c r="CQV6" s="2"/>
      <c r="CQW6" s="2"/>
      <c r="CQX6" s="2"/>
      <c r="CQY6" s="2"/>
      <c r="CQZ6" s="2"/>
      <c r="CRA6" s="2"/>
      <c r="CRB6" s="2"/>
      <c r="CRC6" s="2"/>
      <c r="CRD6" s="2"/>
      <c r="CRE6" s="2"/>
      <c r="CRF6" s="2"/>
      <c r="CRG6" s="2"/>
      <c r="CRH6" s="2"/>
      <c r="CRI6" s="2"/>
      <c r="CRJ6" s="2"/>
      <c r="CRK6" s="2"/>
      <c r="CRL6" s="2"/>
      <c r="CRM6" s="2"/>
      <c r="CRN6" s="2"/>
      <c r="CRO6" s="2"/>
      <c r="CRP6" s="2"/>
      <c r="CRQ6" s="2"/>
      <c r="CRR6" s="2"/>
      <c r="CRS6" s="2"/>
      <c r="CRT6" s="2"/>
      <c r="CRU6" s="2"/>
      <c r="CRV6" s="2"/>
      <c r="CRW6" s="2"/>
      <c r="CRX6" s="2"/>
      <c r="CRY6" s="2"/>
      <c r="CRZ6" s="2"/>
      <c r="CSA6" s="2"/>
      <c r="CSB6" s="2"/>
      <c r="CSC6" s="2"/>
      <c r="CSD6" s="2"/>
      <c r="CSE6" s="2"/>
      <c r="CSF6" s="2"/>
      <c r="CSG6" s="2"/>
      <c r="CSH6" s="2"/>
      <c r="CSI6" s="2"/>
      <c r="CSJ6" s="2"/>
      <c r="CSK6" s="2"/>
      <c r="CSL6" s="2"/>
      <c r="CSM6" s="2"/>
      <c r="CSN6" s="2"/>
      <c r="CSO6" s="2"/>
      <c r="CSP6" s="2"/>
      <c r="CSQ6" s="2"/>
      <c r="CSR6" s="2"/>
      <c r="CSS6" s="2"/>
      <c r="CST6" s="2"/>
      <c r="CSU6" s="2"/>
      <c r="CSV6" s="2"/>
      <c r="CSW6" s="2"/>
      <c r="CSX6" s="2"/>
      <c r="CSY6" s="2"/>
      <c r="CSZ6" s="2"/>
      <c r="CTA6" s="2"/>
      <c r="CTB6" s="2"/>
      <c r="CTC6" s="2"/>
      <c r="CTD6" s="2"/>
      <c r="CTE6" s="2"/>
      <c r="CTF6" s="2"/>
      <c r="CTG6" s="2"/>
      <c r="CTH6" s="2"/>
      <c r="CTI6" s="2"/>
      <c r="CTJ6" s="2"/>
      <c r="CTK6" s="2"/>
      <c r="CTL6" s="2"/>
      <c r="CTM6" s="2"/>
      <c r="CTN6" s="2"/>
      <c r="CTO6" s="2"/>
      <c r="CTP6" s="2"/>
      <c r="CTQ6" s="2"/>
      <c r="CTR6" s="2"/>
      <c r="CTS6" s="2"/>
      <c r="CTT6" s="2"/>
      <c r="CTU6" s="2"/>
      <c r="CTV6" s="2"/>
      <c r="CTW6" s="2"/>
      <c r="CTX6" s="2"/>
      <c r="CTY6" s="2"/>
      <c r="CTZ6" s="2"/>
      <c r="CUA6" s="2"/>
      <c r="CUB6" s="2"/>
      <c r="CUC6" s="2"/>
      <c r="CUD6" s="2"/>
      <c r="CUE6" s="2"/>
      <c r="CUF6" s="2"/>
      <c r="CUG6" s="2"/>
      <c r="CUH6" s="2"/>
      <c r="CUI6" s="2"/>
      <c r="CUJ6" s="2"/>
      <c r="CUK6" s="2"/>
      <c r="CUL6" s="2"/>
      <c r="CUM6" s="2"/>
      <c r="CUN6" s="2"/>
      <c r="CUO6" s="2"/>
      <c r="CUP6" s="2"/>
      <c r="CUQ6" s="2"/>
      <c r="CUR6" s="2"/>
      <c r="CUS6" s="2"/>
      <c r="CUT6" s="2"/>
      <c r="CUU6" s="2"/>
      <c r="CUV6" s="2"/>
      <c r="CUW6" s="2"/>
      <c r="CUX6" s="2"/>
      <c r="CUY6" s="2"/>
      <c r="CUZ6" s="2"/>
      <c r="CVA6" s="2"/>
      <c r="CVB6" s="2"/>
      <c r="CVC6" s="2"/>
      <c r="CVD6" s="2"/>
      <c r="CVE6" s="2"/>
      <c r="CVF6" s="2"/>
      <c r="CVG6" s="2"/>
      <c r="CVH6" s="2"/>
      <c r="CVI6" s="2"/>
      <c r="CVJ6" s="2"/>
      <c r="CVK6" s="2"/>
      <c r="CVL6" s="2"/>
      <c r="CVM6" s="2"/>
      <c r="CVN6" s="2"/>
      <c r="CVO6" s="2"/>
      <c r="CVP6" s="2"/>
      <c r="CVQ6" s="2"/>
      <c r="CVR6" s="2"/>
      <c r="CVS6" s="2"/>
      <c r="CVT6" s="2"/>
      <c r="CVU6" s="2"/>
      <c r="CVV6" s="2"/>
      <c r="CVW6" s="2"/>
      <c r="CVX6" s="2"/>
      <c r="CVY6" s="2"/>
      <c r="CVZ6" s="2"/>
      <c r="CWA6" s="2"/>
      <c r="CWB6" s="2"/>
      <c r="CWC6" s="2"/>
      <c r="CWD6" s="2"/>
      <c r="CWE6" s="2"/>
      <c r="CWF6" s="2"/>
      <c r="CWG6" s="2"/>
      <c r="CWH6" s="2"/>
      <c r="CWI6" s="2"/>
      <c r="CWJ6" s="2"/>
      <c r="CWK6" s="2"/>
      <c r="CWL6" s="2"/>
      <c r="CWM6" s="2"/>
      <c r="CWN6" s="2"/>
      <c r="CWO6" s="2"/>
      <c r="CWP6" s="2"/>
      <c r="CWQ6" s="2"/>
      <c r="CWR6" s="2"/>
      <c r="CWS6" s="2"/>
      <c r="CWT6" s="2"/>
      <c r="CWU6" s="2"/>
      <c r="CWV6" s="2"/>
      <c r="CWW6" s="2"/>
      <c r="CWX6" s="2"/>
      <c r="CWY6" s="2"/>
      <c r="CWZ6" s="2"/>
      <c r="CXA6" s="2"/>
      <c r="CXB6" s="2"/>
      <c r="CXC6" s="2"/>
      <c r="CXD6" s="2"/>
      <c r="CXE6" s="2"/>
      <c r="CXF6" s="2"/>
      <c r="CXG6" s="2"/>
      <c r="CXH6" s="2"/>
      <c r="CXI6" s="2"/>
      <c r="CXJ6" s="2"/>
      <c r="CXK6" s="2"/>
      <c r="CXL6" s="2"/>
      <c r="CXM6" s="2"/>
      <c r="CXN6" s="2"/>
      <c r="CXO6" s="2"/>
      <c r="CXP6" s="2"/>
      <c r="CXQ6" s="2"/>
      <c r="CXR6" s="2"/>
      <c r="CXS6" s="2"/>
      <c r="CXT6" s="2"/>
      <c r="CXU6" s="2"/>
      <c r="CXV6" s="2"/>
      <c r="CXW6" s="2"/>
      <c r="CXX6" s="2"/>
      <c r="CXY6" s="2"/>
      <c r="CXZ6" s="2"/>
      <c r="CYA6" s="2"/>
      <c r="CYB6" s="2"/>
      <c r="CYC6" s="2"/>
      <c r="CYD6" s="2"/>
      <c r="CYE6" s="2"/>
      <c r="CYF6" s="2"/>
      <c r="CYG6" s="2"/>
      <c r="CYH6" s="2"/>
      <c r="CYI6" s="2"/>
      <c r="CYJ6" s="2"/>
      <c r="CYK6" s="2"/>
      <c r="CYL6" s="2"/>
      <c r="CYM6" s="2"/>
      <c r="CYN6" s="2"/>
      <c r="CYO6" s="2"/>
      <c r="CYP6" s="2"/>
      <c r="CYQ6" s="2"/>
      <c r="CYR6" s="2"/>
      <c r="CYS6" s="2"/>
      <c r="CYT6" s="2"/>
      <c r="CYU6" s="2"/>
      <c r="CYV6" s="2"/>
      <c r="CYW6" s="2"/>
      <c r="CYX6" s="2"/>
      <c r="CYY6" s="2"/>
      <c r="CYZ6" s="2"/>
      <c r="CZA6" s="2"/>
      <c r="CZB6" s="2"/>
      <c r="CZC6" s="2"/>
      <c r="CZD6" s="2"/>
      <c r="CZE6" s="2"/>
      <c r="CZF6" s="2"/>
      <c r="CZG6" s="2"/>
      <c r="CZH6" s="2"/>
      <c r="CZI6" s="2"/>
      <c r="CZJ6" s="2"/>
      <c r="CZK6" s="2"/>
      <c r="CZL6" s="2"/>
      <c r="CZM6" s="2"/>
      <c r="CZN6" s="2"/>
      <c r="CZO6" s="2"/>
      <c r="CZP6" s="2"/>
      <c r="CZQ6" s="2"/>
      <c r="CZR6" s="2"/>
      <c r="CZS6" s="2"/>
      <c r="CZT6" s="2"/>
      <c r="CZU6" s="2"/>
      <c r="CZV6" s="2"/>
      <c r="CZW6" s="2"/>
      <c r="CZX6" s="2"/>
      <c r="CZY6" s="2"/>
      <c r="CZZ6" s="2"/>
      <c r="DAA6" s="2"/>
      <c r="DAB6" s="2"/>
      <c r="DAC6" s="2"/>
      <c r="DAD6" s="2"/>
      <c r="DAE6" s="2"/>
      <c r="DAF6" s="2"/>
      <c r="DAG6" s="2"/>
      <c r="DAH6" s="2"/>
      <c r="DAI6" s="2"/>
      <c r="DAJ6" s="2"/>
      <c r="DAK6" s="2"/>
      <c r="DAL6" s="2"/>
      <c r="DAM6" s="2"/>
      <c r="DAN6" s="2"/>
      <c r="DAO6" s="2"/>
      <c r="DAP6" s="2"/>
      <c r="DAQ6" s="2"/>
      <c r="DAR6" s="2"/>
      <c r="DAS6" s="2"/>
      <c r="DAT6" s="2"/>
      <c r="DAU6" s="2"/>
      <c r="DAV6" s="2"/>
      <c r="DAW6" s="2"/>
      <c r="DAX6" s="2"/>
      <c r="DAY6" s="2"/>
      <c r="DAZ6" s="2"/>
      <c r="DBA6" s="2"/>
      <c r="DBB6" s="2"/>
      <c r="DBC6" s="2"/>
      <c r="DBD6" s="2"/>
      <c r="DBE6" s="2"/>
      <c r="DBF6" s="2"/>
      <c r="DBG6" s="2"/>
      <c r="DBH6" s="2"/>
      <c r="DBI6" s="2"/>
      <c r="DBJ6" s="2"/>
      <c r="DBK6" s="2"/>
      <c r="DBL6" s="2"/>
      <c r="DBM6" s="2"/>
      <c r="DBN6" s="2"/>
      <c r="DBO6" s="2"/>
      <c r="DBP6" s="2"/>
      <c r="DBQ6" s="2"/>
      <c r="DBR6" s="2"/>
      <c r="DBS6" s="2"/>
      <c r="DBT6" s="2"/>
      <c r="DBU6" s="2"/>
      <c r="DBV6" s="2"/>
      <c r="DBW6" s="2"/>
      <c r="DBX6" s="2"/>
      <c r="DBY6" s="2"/>
      <c r="DBZ6" s="2"/>
      <c r="DCA6" s="2"/>
      <c r="DCB6" s="2"/>
      <c r="DCC6" s="2"/>
      <c r="DCD6" s="2"/>
      <c r="DCE6" s="2"/>
      <c r="DCF6" s="2"/>
      <c r="DCG6" s="2"/>
      <c r="DCH6" s="2"/>
      <c r="DCI6" s="2"/>
      <c r="DCJ6" s="2"/>
      <c r="DCK6" s="2"/>
      <c r="DCL6" s="2"/>
      <c r="DCM6" s="2"/>
      <c r="DCN6" s="2"/>
      <c r="DCO6" s="2"/>
      <c r="DCP6" s="2"/>
      <c r="DCQ6" s="2"/>
      <c r="DCR6" s="2"/>
      <c r="DCS6" s="2"/>
      <c r="DCT6" s="2"/>
      <c r="DCU6" s="2"/>
      <c r="DCV6" s="2"/>
      <c r="DCW6" s="2"/>
      <c r="DCX6" s="2"/>
      <c r="DCY6" s="2"/>
      <c r="DCZ6" s="2"/>
      <c r="DDA6" s="2"/>
      <c r="DDB6" s="2"/>
      <c r="DDC6" s="2"/>
      <c r="DDD6" s="2"/>
      <c r="DDE6" s="2"/>
      <c r="DDF6" s="2"/>
      <c r="DDG6" s="2"/>
      <c r="DDH6" s="2"/>
      <c r="DDI6" s="2"/>
      <c r="DDJ6" s="2"/>
      <c r="DDK6" s="2"/>
      <c r="DDL6" s="2"/>
      <c r="DDM6" s="2"/>
      <c r="DDN6" s="2"/>
      <c r="DDO6" s="2"/>
      <c r="DDP6" s="2"/>
      <c r="DDQ6" s="2"/>
      <c r="DDR6" s="2"/>
      <c r="DDS6" s="2"/>
      <c r="DDT6" s="2"/>
      <c r="DDU6" s="2"/>
      <c r="DDV6" s="2"/>
      <c r="DDW6" s="2"/>
      <c r="DDX6" s="2"/>
      <c r="DDY6" s="2"/>
      <c r="DDZ6" s="2"/>
      <c r="DEA6" s="2"/>
      <c r="DEB6" s="2"/>
      <c r="DEC6" s="2"/>
      <c r="DED6" s="2"/>
      <c r="DEE6" s="2"/>
      <c r="DEF6" s="2"/>
      <c r="DEG6" s="2"/>
      <c r="DEH6" s="2"/>
      <c r="DEI6" s="2"/>
      <c r="DEJ6" s="2"/>
      <c r="DEK6" s="2"/>
      <c r="DEL6" s="2"/>
      <c r="DEM6" s="2"/>
      <c r="DEN6" s="2"/>
      <c r="DEO6" s="2"/>
      <c r="DEP6" s="2"/>
      <c r="DEQ6" s="2"/>
      <c r="DER6" s="2"/>
      <c r="DES6" s="2"/>
      <c r="DET6" s="2"/>
      <c r="DEU6" s="2"/>
      <c r="DEV6" s="2"/>
      <c r="DEW6" s="2"/>
      <c r="DEX6" s="2"/>
      <c r="DEY6" s="2"/>
      <c r="DEZ6" s="2"/>
      <c r="DFA6" s="2"/>
      <c r="DFB6" s="2"/>
      <c r="DFC6" s="2"/>
      <c r="DFD6" s="2"/>
      <c r="DFE6" s="2"/>
      <c r="DFF6" s="2"/>
      <c r="DFG6" s="2"/>
      <c r="DFH6" s="2"/>
      <c r="DFI6" s="2"/>
      <c r="DFJ6" s="2"/>
      <c r="DFK6" s="2"/>
      <c r="DFL6" s="2"/>
      <c r="DFM6" s="2"/>
      <c r="DFN6" s="2"/>
      <c r="DFO6" s="2"/>
      <c r="DFP6" s="2"/>
      <c r="DFQ6" s="2"/>
      <c r="DFR6" s="2"/>
      <c r="DFS6" s="2"/>
      <c r="DFT6" s="2"/>
      <c r="DFU6" s="2"/>
      <c r="DFV6" s="2"/>
      <c r="DFW6" s="2"/>
      <c r="DFX6" s="2"/>
      <c r="DFY6" s="2"/>
      <c r="DFZ6" s="2"/>
      <c r="DGA6" s="2"/>
      <c r="DGB6" s="2"/>
      <c r="DGC6" s="2"/>
      <c r="DGD6" s="2"/>
      <c r="DGE6" s="2"/>
      <c r="DGF6" s="2"/>
      <c r="DGG6" s="2"/>
      <c r="DGH6" s="2"/>
      <c r="DGI6" s="2"/>
      <c r="DGJ6" s="2"/>
      <c r="DGK6" s="2"/>
      <c r="DGL6" s="2"/>
      <c r="DGM6" s="2"/>
      <c r="DGN6" s="2"/>
      <c r="DGO6" s="2"/>
      <c r="DGP6" s="2"/>
      <c r="DGQ6" s="2"/>
      <c r="DGR6" s="2"/>
      <c r="DGS6" s="2"/>
      <c r="DGT6" s="2"/>
      <c r="DGU6" s="2"/>
      <c r="DGV6" s="2"/>
      <c r="DGW6" s="2"/>
      <c r="DGX6" s="2"/>
      <c r="DGY6" s="2"/>
      <c r="DGZ6" s="2"/>
      <c r="DHA6" s="2"/>
      <c r="DHB6" s="2"/>
      <c r="DHC6" s="2"/>
      <c r="DHD6" s="2"/>
      <c r="DHE6" s="2"/>
      <c r="DHF6" s="2"/>
      <c r="DHG6" s="2"/>
      <c r="DHH6" s="2"/>
      <c r="DHI6" s="2"/>
      <c r="DHJ6" s="2"/>
      <c r="DHK6" s="2"/>
      <c r="DHL6" s="2"/>
      <c r="DHM6" s="2"/>
      <c r="DHN6" s="2"/>
      <c r="DHO6" s="2"/>
      <c r="DHP6" s="2"/>
      <c r="DHQ6" s="2"/>
      <c r="DHR6" s="2"/>
      <c r="DHS6" s="2"/>
      <c r="DHT6" s="2"/>
      <c r="DHU6" s="2"/>
      <c r="DHV6" s="2"/>
      <c r="DHW6" s="2"/>
      <c r="DHX6" s="2"/>
      <c r="DHY6" s="2"/>
      <c r="DHZ6" s="2"/>
      <c r="DIA6" s="2"/>
      <c r="DIB6" s="2"/>
      <c r="DIC6" s="2"/>
      <c r="DID6" s="2"/>
      <c r="DIE6" s="2"/>
      <c r="DIF6" s="2"/>
      <c r="DIG6" s="2"/>
      <c r="DIH6" s="2"/>
      <c r="DII6" s="2"/>
      <c r="DIJ6" s="2"/>
      <c r="DIK6" s="2"/>
      <c r="DIL6" s="2"/>
      <c r="DIM6" s="2"/>
      <c r="DIN6" s="2"/>
      <c r="DIO6" s="2"/>
      <c r="DIP6" s="2"/>
      <c r="DIQ6" s="2"/>
      <c r="DIR6" s="2"/>
      <c r="DIS6" s="2"/>
      <c r="DIT6" s="2"/>
      <c r="DIU6" s="2"/>
      <c r="DIV6" s="2"/>
      <c r="DIW6" s="2"/>
      <c r="DIX6" s="2"/>
      <c r="DIY6" s="2"/>
      <c r="DIZ6" s="2"/>
      <c r="DJA6" s="2"/>
      <c r="DJB6" s="2"/>
      <c r="DJC6" s="2"/>
      <c r="DJD6" s="2"/>
      <c r="DJE6" s="2"/>
      <c r="DJF6" s="2"/>
      <c r="DJG6" s="2"/>
      <c r="DJH6" s="2"/>
      <c r="DJI6" s="2"/>
      <c r="DJJ6" s="2"/>
      <c r="DJK6" s="2"/>
      <c r="DJL6" s="2"/>
      <c r="DJM6" s="2"/>
      <c r="DJN6" s="2"/>
      <c r="DJO6" s="2"/>
      <c r="DJP6" s="2"/>
      <c r="DJQ6" s="2"/>
      <c r="DJR6" s="2"/>
      <c r="DJS6" s="2"/>
      <c r="DJT6" s="2"/>
      <c r="DJU6" s="2"/>
      <c r="DJV6" s="2"/>
      <c r="DJW6" s="2"/>
      <c r="DJX6" s="2"/>
      <c r="DJY6" s="2"/>
      <c r="DJZ6" s="2"/>
      <c r="DKA6" s="2"/>
      <c r="DKB6" s="2"/>
      <c r="DKC6" s="2"/>
      <c r="DKD6" s="2"/>
      <c r="DKE6" s="2"/>
      <c r="DKF6" s="2"/>
      <c r="DKG6" s="2"/>
      <c r="DKH6" s="2"/>
      <c r="DKI6" s="2"/>
      <c r="DKJ6" s="2"/>
      <c r="DKK6" s="2"/>
      <c r="DKL6" s="2"/>
      <c r="DKM6" s="2"/>
      <c r="DKN6" s="2"/>
      <c r="DKO6" s="2"/>
      <c r="DKP6" s="2"/>
      <c r="DKQ6" s="2"/>
      <c r="DKR6" s="2"/>
      <c r="DKS6" s="2"/>
      <c r="DKT6" s="2"/>
      <c r="DKU6" s="2"/>
      <c r="DKV6" s="2"/>
      <c r="DKW6" s="2"/>
      <c r="DKX6" s="2"/>
      <c r="DKY6" s="2"/>
      <c r="DKZ6" s="2"/>
      <c r="DLA6" s="2"/>
      <c r="DLB6" s="2"/>
      <c r="DLC6" s="2"/>
      <c r="DLD6" s="2"/>
      <c r="DLE6" s="2"/>
      <c r="DLF6" s="2"/>
      <c r="DLG6" s="2"/>
      <c r="DLH6" s="2"/>
      <c r="DLI6" s="2"/>
      <c r="DLJ6" s="2"/>
      <c r="DLK6" s="2"/>
      <c r="DLL6" s="2"/>
      <c r="DLM6" s="2"/>
      <c r="DLN6" s="2"/>
      <c r="DLO6" s="2"/>
      <c r="DLP6" s="2"/>
      <c r="DLQ6" s="2"/>
      <c r="DLR6" s="2"/>
      <c r="DLS6" s="2"/>
      <c r="DLT6" s="2"/>
      <c r="DLU6" s="2"/>
      <c r="DLV6" s="2"/>
      <c r="DLW6" s="2"/>
      <c r="DLX6" s="2"/>
      <c r="DLY6" s="2"/>
      <c r="DLZ6" s="2"/>
      <c r="DMA6" s="2"/>
      <c r="DMB6" s="2"/>
      <c r="DMC6" s="2"/>
      <c r="DMD6" s="2"/>
      <c r="DME6" s="2"/>
      <c r="DMF6" s="2"/>
      <c r="DMG6" s="2"/>
      <c r="DMH6" s="2"/>
      <c r="DMI6" s="2"/>
      <c r="DMJ6" s="2"/>
      <c r="DMK6" s="2"/>
      <c r="DML6" s="2"/>
      <c r="DMM6" s="2"/>
      <c r="DMN6" s="2"/>
      <c r="DMO6" s="2"/>
      <c r="DMP6" s="2"/>
      <c r="DMQ6" s="2"/>
      <c r="DMR6" s="2"/>
      <c r="DMS6" s="2"/>
      <c r="DMT6" s="2"/>
      <c r="DMU6" s="2"/>
      <c r="DMV6" s="2"/>
      <c r="DMW6" s="2"/>
      <c r="DMX6" s="2"/>
      <c r="DMY6" s="2"/>
      <c r="DMZ6" s="2"/>
      <c r="DNA6" s="2"/>
      <c r="DNB6" s="2"/>
      <c r="DNC6" s="2"/>
      <c r="DND6" s="2"/>
      <c r="DNE6" s="2"/>
      <c r="DNF6" s="2"/>
      <c r="DNG6" s="2"/>
      <c r="DNH6" s="2"/>
      <c r="DNI6" s="2"/>
      <c r="DNJ6" s="2"/>
      <c r="DNK6" s="2"/>
      <c r="DNL6" s="2"/>
      <c r="DNM6" s="2"/>
      <c r="DNN6" s="2"/>
      <c r="DNO6" s="2"/>
      <c r="DNP6" s="2"/>
      <c r="DNQ6" s="2"/>
      <c r="DNR6" s="2"/>
      <c r="DNS6" s="2"/>
      <c r="DNT6" s="2"/>
      <c r="DNU6" s="2"/>
      <c r="DNV6" s="2"/>
      <c r="DNW6" s="2"/>
      <c r="DNX6" s="2"/>
      <c r="DNY6" s="2"/>
      <c r="DNZ6" s="2"/>
      <c r="DOA6" s="2"/>
      <c r="DOB6" s="2"/>
      <c r="DOC6" s="2"/>
      <c r="DOD6" s="2"/>
      <c r="DOE6" s="2"/>
      <c r="DOF6" s="2"/>
      <c r="DOG6" s="2"/>
      <c r="DOH6" s="2"/>
      <c r="DOI6" s="2"/>
      <c r="DOJ6" s="2"/>
      <c r="DOK6" s="2"/>
      <c r="DOL6" s="2"/>
      <c r="DOM6" s="2"/>
      <c r="DON6" s="2"/>
      <c r="DOO6" s="2"/>
      <c r="DOP6" s="2"/>
      <c r="DOQ6" s="2"/>
      <c r="DOR6" s="2"/>
      <c r="DOS6" s="2"/>
      <c r="DOT6" s="2"/>
      <c r="DOU6" s="2"/>
      <c r="DOV6" s="2"/>
      <c r="DOW6" s="2"/>
      <c r="DOX6" s="2"/>
      <c r="DOY6" s="2"/>
      <c r="DOZ6" s="2"/>
      <c r="DPA6" s="2"/>
      <c r="DPB6" s="2"/>
      <c r="DPC6" s="2"/>
      <c r="DPD6" s="2"/>
      <c r="DPE6" s="2"/>
      <c r="DPF6" s="2"/>
      <c r="DPG6" s="2"/>
      <c r="DPH6" s="2"/>
      <c r="DPI6" s="2"/>
      <c r="DPJ6" s="2"/>
      <c r="DPK6" s="2"/>
      <c r="DPL6" s="2"/>
      <c r="DPM6" s="2"/>
      <c r="DPN6" s="2"/>
      <c r="DPO6" s="2"/>
      <c r="DPP6" s="2"/>
      <c r="DPQ6" s="2"/>
      <c r="DPR6" s="2"/>
      <c r="DPS6" s="2"/>
      <c r="DPT6" s="2"/>
      <c r="DPU6" s="2"/>
      <c r="DPV6" s="2"/>
      <c r="DPW6" s="2"/>
      <c r="DPX6" s="2"/>
      <c r="DPY6" s="2"/>
      <c r="DPZ6" s="2"/>
      <c r="DQA6" s="2"/>
      <c r="DQB6" s="2"/>
      <c r="DQC6" s="2"/>
      <c r="DQD6" s="2"/>
      <c r="DQE6" s="2"/>
      <c r="DQF6" s="2"/>
      <c r="DQG6" s="2"/>
      <c r="DQH6" s="2"/>
      <c r="DQI6" s="2"/>
      <c r="DQJ6" s="2"/>
      <c r="DQK6" s="2"/>
      <c r="DQL6" s="2"/>
      <c r="DQM6" s="2"/>
      <c r="DQN6" s="2"/>
      <c r="DQO6" s="2"/>
      <c r="DQP6" s="2"/>
      <c r="DQQ6" s="2"/>
      <c r="DQR6" s="2"/>
      <c r="DQS6" s="2"/>
      <c r="DQT6" s="2"/>
      <c r="DQU6" s="2"/>
      <c r="DQV6" s="2"/>
      <c r="DQW6" s="2"/>
      <c r="DQX6" s="2"/>
      <c r="DQY6" s="2"/>
      <c r="DQZ6" s="2"/>
      <c r="DRA6" s="2"/>
      <c r="DRB6" s="2"/>
      <c r="DRC6" s="2"/>
      <c r="DRD6" s="2"/>
      <c r="DRE6" s="2"/>
      <c r="DRF6" s="2"/>
      <c r="DRG6" s="2"/>
      <c r="DRH6" s="2"/>
      <c r="DRI6" s="2"/>
      <c r="DRJ6" s="2"/>
      <c r="DRK6" s="2"/>
      <c r="DRL6" s="2"/>
      <c r="DRM6" s="2"/>
      <c r="DRN6" s="2"/>
      <c r="DRO6" s="2"/>
      <c r="DRP6" s="2"/>
      <c r="DRQ6" s="2"/>
      <c r="DRR6" s="2"/>
      <c r="DRS6" s="2"/>
      <c r="DRT6" s="2"/>
      <c r="DRU6" s="2"/>
      <c r="DRV6" s="2"/>
      <c r="DRW6" s="2"/>
      <c r="DRX6" s="2"/>
      <c r="DRY6" s="2"/>
      <c r="DRZ6" s="2"/>
      <c r="DSA6" s="2"/>
      <c r="DSB6" s="2"/>
      <c r="DSC6" s="2"/>
      <c r="DSD6" s="2"/>
      <c r="DSE6" s="2"/>
      <c r="DSF6" s="2"/>
      <c r="DSG6" s="2"/>
      <c r="DSH6" s="2"/>
      <c r="DSI6" s="2"/>
      <c r="DSJ6" s="2"/>
      <c r="DSK6" s="2"/>
      <c r="DSL6" s="2"/>
      <c r="DSM6" s="2"/>
      <c r="DSN6" s="2"/>
      <c r="DSO6" s="2"/>
      <c r="DSP6" s="2"/>
      <c r="DSQ6" s="2"/>
      <c r="DSR6" s="2"/>
      <c r="DSS6" s="2"/>
      <c r="DST6" s="2"/>
      <c r="DSU6" s="2"/>
      <c r="DSV6" s="2"/>
      <c r="DSW6" s="2"/>
      <c r="DSX6" s="2"/>
      <c r="DSY6" s="2"/>
      <c r="DSZ6" s="2"/>
      <c r="DTA6" s="2"/>
      <c r="DTB6" s="2"/>
      <c r="DTC6" s="2"/>
      <c r="DTD6" s="2"/>
      <c r="DTE6" s="2"/>
      <c r="DTF6" s="2"/>
      <c r="DTG6" s="2"/>
      <c r="DTH6" s="2"/>
      <c r="DTI6" s="2"/>
      <c r="DTJ6" s="2"/>
      <c r="DTK6" s="2"/>
      <c r="DTL6" s="2"/>
      <c r="DTM6" s="2"/>
      <c r="DTN6" s="2"/>
      <c r="DTO6" s="2"/>
      <c r="DTP6" s="2"/>
      <c r="DTQ6" s="2"/>
      <c r="DTR6" s="2"/>
      <c r="DTS6" s="2"/>
      <c r="DTT6" s="2"/>
      <c r="DTU6" s="2"/>
      <c r="DTV6" s="2"/>
      <c r="DTW6" s="2"/>
      <c r="DTX6" s="2"/>
      <c r="DTY6" s="2"/>
      <c r="DTZ6" s="2"/>
      <c r="DUA6" s="2"/>
      <c r="DUB6" s="2"/>
      <c r="DUC6" s="2"/>
      <c r="DUD6" s="2"/>
      <c r="DUE6" s="2"/>
      <c r="DUF6" s="2"/>
      <c r="DUG6" s="2"/>
      <c r="DUH6" s="2"/>
      <c r="DUI6" s="2"/>
      <c r="DUJ6" s="2"/>
      <c r="DUK6" s="2"/>
      <c r="DUL6" s="2"/>
      <c r="DUM6" s="2"/>
      <c r="DUN6" s="2"/>
      <c r="DUO6" s="2"/>
      <c r="DUP6" s="2"/>
      <c r="DUQ6" s="2"/>
      <c r="DUR6" s="2"/>
      <c r="DUS6" s="2"/>
      <c r="DUT6" s="2"/>
      <c r="DUU6" s="2"/>
      <c r="DUV6" s="2"/>
      <c r="DUW6" s="2"/>
      <c r="DUX6" s="2"/>
      <c r="DUY6" s="2"/>
      <c r="DUZ6" s="2"/>
      <c r="DVA6" s="2"/>
      <c r="DVB6" s="2"/>
      <c r="DVC6" s="2"/>
      <c r="DVD6" s="2"/>
      <c r="DVE6" s="2"/>
      <c r="DVF6" s="2"/>
      <c r="DVG6" s="2"/>
      <c r="DVH6" s="2"/>
      <c r="DVI6" s="2"/>
      <c r="DVJ6" s="2"/>
      <c r="DVK6" s="2"/>
      <c r="DVL6" s="2"/>
      <c r="DVM6" s="2"/>
      <c r="DVN6" s="2"/>
      <c r="DVO6" s="2"/>
      <c r="DVP6" s="2"/>
      <c r="DVQ6" s="2"/>
      <c r="DVR6" s="2"/>
      <c r="DVS6" s="2"/>
      <c r="DVT6" s="2"/>
      <c r="DVU6" s="2"/>
      <c r="DVV6" s="2"/>
      <c r="DVW6" s="2"/>
      <c r="DVX6" s="2"/>
      <c r="DVY6" s="2"/>
      <c r="DVZ6" s="2"/>
      <c r="DWA6" s="2"/>
      <c r="DWB6" s="2"/>
      <c r="DWC6" s="2"/>
      <c r="DWD6" s="2"/>
      <c r="DWE6" s="2"/>
      <c r="DWF6" s="2"/>
      <c r="DWG6" s="2"/>
      <c r="DWH6" s="2"/>
      <c r="DWI6" s="2"/>
      <c r="DWJ6" s="2"/>
      <c r="DWK6" s="2"/>
      <c r="DWL6" s="2"/>
      <c r="DWM6" s="2"/>
      <c r="DWN6" s="2"/>
      <c r="DWO6" s="2"/>
      <c r="DWP6" s="2"/>
      <c r="DWQ6" s="2"/>
      <c r="DWR6" s="2"/>
      <c r="DWS6" s="2"/>
      <c r="DWT6" s="2"/>
      <c r="DWU6" s="2"/>
      <c r="DWV6" s="2"/>
      <c r="DWW6" s="2"/>
      <c r="DWX6" s="2"/>
      <c r="DWY6" s="2"/>
      <c r="DWZ6" s="2"/>
      <c r="DXA6" s="2"/>
      <c r="DXB6" s="2"/>
      <c r="DXC6" s="2"/>
      <c r="DXD6" s="2"/>
      <c r="DXE6" s="2"/>
      <c r="DXF6" s="2"/>
      <c r="DXG6" s="2"/>
      <c r="DXH6" s="2"/>
      <c r="DXI6" s="2"/>
      <c r="DXJ6" s="2"/>
      <c r="DXK6" s="2"/>
      <c r="DXL6" s="2"/>
      <c r="DXM6" s="2"/>
      <c r="DXN6" s="2"/>
      <c r="DXO6" s="2"/>
      <c r="DXP6" s="2"/>
      <c r="DXQ6" s="2"/>
      <c r="DXR6" s="2"/>
      <c r="DXS6" s="2"/>
      <c r="DXT6" s="2"/>
      <c r="DXU6" s="2"/>
      <c r="DXV6" s="2"/>
      <c r="DXW6" s="2"/>
      <c r="DXX6" s="2"/>
      <c r="DXY6" s="2"/>
      <c r="DXZ6" s="2"/>
      <c r="DYA6" s="2"/>
      <c r="DYB6" s="2"/>
      <c r="DYC6" s="2"/>
      <c r="DYD6" s="2"/>
      <c r="DYE6" s="2"/>
      <c r="DYF6" s="2"/>
      <c r="DYG6" s="2"/>
      <c r="DYH6" s="2"/>
      <c r="DYI6" s="2"/>
      <c r="DYJ6" s="2"/>
      <c r="DYK6" s="2"/>
      <c r="DYL6" s="2"/>
      <c r="DYM6" s="2"/>
      <c r="DYN6" s="2"/>
      <c r="DYO6" s="2"/>
      <c r="DYP6" s="2"/>
      <c r="DYQ6" s="2"/>
      <c r="DYR6" s="2"/>
      <c r="DYS6" s="2"/>
      <c r="DYT6" s="2"/>
      <c r="DYU6" s="2"/>
      <c r="DYV6" s="2"/>
      <c r="DYW6" s="2"/>
      <c r="DYX6" s="2"/>
      <c r="DYY6" s="2"/>
      <c r="DYZ6" s="2"/>
      <c r="DZA6" s="2"/>
      <c r="DZB6" s="2"/>
      <c r="DZC6" s="2"/>
      <c r="DZD6" s="2"/>
      <c r="DZE6" s="2"/>
      <c r="DZF6" s="2"/>
      <c r="DZG6" s="2"/>
      <c r="DZH6" s="2"/>
      <c r="DZI6" s="2"/>
      <c r="DZJ6" s="2"/>
      <c r="DZK6" s="2"/>
      <c r="DZL6" s="2"/>
      <c r="DZM6" s="2"/>
      <c r="DZN6" s="2"/>
      <c r="DZO6" s="2"/>
      <c r="DZP6" s="2"/>
      <c r="DZQ6" s="2"/>
      <c r="DZR6" s="2"/>
      <c r="DZS6" s="2"/>
      <c r="DZT6" s="2"/>
      <c r="DZU6" s="2"/>
      <c r="DZV6" s="2"/>
      <c r="DZW6" s="2"/>
      <c r="DZX6" s="2"/>
      <c r="DZY6" s="2"/>
      <c r="DZZ6" s="2"/>
      <c r="EAA6" s="2"/>
      <c r="EAB6" s="2"/>
      <c r="EAC6" s="2"/>
      <c r="EAD6" s="2"/>
      <c r="EAE6" s="2"/>
      <c r="EAF6" s="2"/>
      <c r="EAG6" s="2"/>
      <c r="EAH6" s="2"/>
      <c r="EAI6" s="2"/>
      <c r="EAJ6" s="2"/>
      <c r="EAK6" s="2"/>
      <c r="EAL6" s="2"/>
      <c r="EAM6" s="2"/>
      <c r="EAN6" s="2"/>
      <c r="EAO6" s="2"/>
      <c r="EAP6" s="2"/>
      <c r="EAQ6" s="2"/>
      <c r="EAR6" s="2"/>
      <c r="EAS6" s="2"/>
      <c r="EAT6" s="2"/>
      <c r="EAU6" s="2"/>
      <c r="EAV6" s="2"/>
      <c r="EAW6" s="2"/>
      <c r="EAX6" s="2"/>
      <c r="EAY6" s="2"/>
      <c r="EAZ6" s="2"/>
      <c r="EBA6" s="2"/>
      <c r="EBB6" s="2"/>
      <c r="EBC6" s="2"/>
      <c r="EBD6" s="2"/>
      <c r="EBE6" s="2"/>
      <c r="EBF6" s="2"/>
      <c r="EBG6" s="2"/>
      <c r="EBH6" s="2"/>
      <c r="EBI6" s="2"/>
      <c r="EBJ6" s="2"/>
      <c r="EBK6" s="2"/>
      <c r="EBL6" s="2"/>
      <c r="EBM6" s="2"/>
      <c r="EBN6" s="2"/>
      <c r="EBO6" s="2"/>
      <c r="EBP6" s="2"/>
      <c r="EBQ6" s="2"/>
      <c r="EBR6" s="2"/>
      <c r="EBS6" s="2"/>
      <c r="EBT6" s="2"/>
      <c r="EBU6" s="2"/>
      <c r="EBV6" s="2"/>
      <c r="EBW6" s="2"/>
      <c r="EBX6" s="2"/>
      <c r="EBY6" s="2"/>
      <c r="EBZ6" s="2"/>
      <c r="ECA6" s="2"/>
      <c r="ECB6" s="2"/>
      <c r="ECC6" s="2"/>
      <c r="ECD6" s="2"/>
      <c r="ECE6" s="2"/>
      <c r="ECF6" s="2"/>
      <c r="ECG6" s="2"/>
      <c r="ECH6" s="2"/>
      <c r="ECI6" s="2"/>
      <c r="ECJ6" s="2"/>
      <c r="ECK6" s="2"/>
      <c r="ECL6" s="2"/>
      <c r="ECM6" s="2"/>
      <c r="ECN6" s="2"/>
      <c r="ECO6" s="2"/>
      <c r="ECP6" s="2"/>
      <c r="ECQ6" s="2"/>
      <c r="ECR6" s="2"/>
      <c r="ECS6" s="2"/>
      <c r="ECT6" s="2"/>
      <c r="ECU6" s="2"/>
      <c r="ECV6" s="2"/>
      <c r="ECW6" s="2"/>
      <c r="ECX6" s="2"/>
      <c r="ECY6" s="2"/>
      <c r="ECZ6" s="2"/>
      <c r="EDA6" s="2"/>
      <c r="EDB6" s="2"/>
      <c r="EDC6" s="2"/>
      <c r="EDD6" s="2"/>
      <c r="EDE6" s="2"/>
      <c r="EDF6" s="2"/>
      <c r="EDG6" s="2"/>
      <c r="EDH6" s="2"/>
      <c r="EDI6" s="2"/>
      <c r="EDJ6" s="2"/>
      <c r="EDK6" s="2"/>
      <c r="EDL6" s="2"/>
      <c r="EDM6" s="2"/>
      <c r="EDN6" s="2"/>
      <c r="EDO6" s="2"/>
      <c r="EDP6" s="2"/>
      <c r="EDQ6" s="2"/>
      <c r="EDR6" s="2"/>
      <c r="EDS6" s="2"/>
      <c r="EDT6" s="2"/>
      <c r="EDU6" s="2"/>
      <c r="EDV6" s="2"/>
      <c r="EDW6" s="2"/>
      <c r="EDX6" s="2"/>
      <c r="EDY6" s="2"/>
      <c r="EDZ6" s="2"/>
      <c r="EEA6" s="2"/>
      <c r="EEB6" s="2"/>
      <c r="EEC6" s="2"/>
      <c r="EED6" s="2"/>
      <c r="EEE6" s="2"/>
      <c r="EEF6" s="2"/>
      <c r="EEG6" s="2"/>
      <c r="EEH6" s="2"/>
      <c r="EEI6" s="2"/>
      <c r="EEJ6" s="2"/>
      <c r="EEK6" s="2"/>
      <c r="EEL6" s="2"/>
      <c r="EEM6" s="2"/>
      <c r="EEN6" s="2"/>
      <c r="EEO6" s="2"/>
      <c r="EEP6" s="2"/>
      <c r="EEQ6" s="2"/>
      <c r="EER6" s="2"/>
      <c r="EES6" s="2"/>
      <c r="EET6" s="2"/>
      <c r="EEU6" s="2"/>
      <c r="EEV6" s="2"/>
      <c r="EEW6" s="2"/>
      <c r="EEX6" s="2"/>
      <c r="EEY6" s="2"/>
      <c r="EEZ6" s="2"/>
      <c r="EFA6" s="2"/>
      <c r="EFB6" s="2"/>
      <c r="EFC6" s="2"/>
      <c r="EFD6" s="2"/>
      <c r="EFE6" s="2"/>
      <c r="EFF6" s="2"/>
      <c r="EFG6" s="2"/>
      <c r="EFH6" s="2"/>
      <c r="EFI6" s="2"/>
      <c r="EFJ6" s="2"/>
      <c r="EFK6" s="2"/>
      <c r="EFL6" s="2"/>
      <c r="EFM6" s="2"/>
      <c r="EFN6" s="2"/>
      <c r="EFO6" s="2"/>
      <c r="EFP6" s="2"/>
      <c r="EFQ6" s="2"/>
      <c r="EFR6" s="2"/>
      <c r="EFS6" s="2"/>
      <c r="EFT6" s="2"/>
      <c r="EFU6" s="2"/>
      <c r="EFV6" s="2"/>
      <c r="EFW6" s="2"/>
      <c r="EFX6" s="2"/>
      <c r="EFY6" s="2"/>
      <c r="EFZ6" s="2"/>
      <c r="EGA6" s="2"/>
      <c r="EGB6" s="2"/>
      <c r="EGC6" s="2"/>
      <c r="EGD6" s="2"/>
      <c r="EGE6" s="2"/>
      <c r="EGF6" s="2"/>
      <c r="EGG6" s="2"/>
      <c r="EGH6" s="2"/>
      <c r="EGI6" s="2"/>
      <c r="EGJ6" s="2"/>
      <c r="EGK6" s="2"/>
      <c r="EGL6" s="2"/>
      <c r="EGM6" s="2"/>
      <c r="EGN6" s="2"/>
      <c r="EGO6" s="2"/>
      <c r="EGP6" s="2"/>
      <c r="EGQ6" s="2"/>
      <c r="EGR6" s="2"/>
      <c r="EGS6" s="2"/>
      <c r="EGT6" s="2"/>
      <c r="EGU6" s="2"/>
      <c r="EGV6" s="2"/>
      <c r="EGW6" s="2"/>
      <c r="EGX6" s="2"/>
      <c r="EGY6" s="2"/>
      <c r="EGZ6" s="2"/>
      <c r="EHA6" s="2"/>
      <c r="EHB6" s="2"/>
      <c r="EHC6" s="2"/>
      <c r="EHD6" s="2"/>
      <c r="EHE6" s="2"/>
      <c r="EHF6" s="2"/>
      <c r="EHG6" s="2"/>
      <c r="EHH6" s="2"/>
      <c r="EHI6" s="2"/>
      <c r="EHJ6" s="2"/>
      <c r="EHK6" s="2"/>
      <c r="EHL6" s="2"/>
      <c r="EHM6" s="2"/>
      <c r="EHN6" s="2"/>
      <c r="EHO6" s="2"/>
      <c r="EHP6" s="2"/>
      <c r="EHQ6" s="2"/>
      <c r="EHR6" s="2"/>
      <c r="EHS6" s="2"/>
      <c r="EHT6" s="2"/>
      <c r="EHU6" s="2"/>
      <c r="EHV6" s="2"/>
      <c r="EHW6" s="2"/>
      <c r="EHX6" s="2"/>
      <c r="EHY6" s="2"/>
      <c r="EHZ6" s="2"/>
      <c r="EIA6" s="2"/>
      <c r="EIB6" s="2"/>
      <c r="EIC6" s="2"/>
      <c r="EID6" s="2"/>
      <c r="EIE6" s="2"/>
      <c r="EIF6" s="2"/>
      <c r="EIG6" s="2"/>
      <c r="EIH6" s="2"/>
      <c r="EII6" s="2"/>
      <c r="EIJ6" s="2"/>
      <c r="EIK6" s="2"/>
      <c r="EIL6" s="2"/>
      <c r="EIM6" s="2"/>
      <c r="EIN6" s="2"/>
      <c r="EIO6" s="2"/>
      <c r="EIP6" s="2"/>
      <c r="EIQ6" s="2"/>
      <c r="EIR6" s="2"/>
      <c r="EIS6" s="2"/>
      <c r="EIT6" s="2"/>
      <c r="EIU6" s="2"/>
      <c r="EIV6" s="2"/>
      <c r="EIW6" s="2"/>
      <c r="EIX6" s="2"/>
      <c r="EIY6" s="2"/>
      <c r="EIZ6" s="2"/>
      <c r="EJA6" s="2"/>
      <c r="EJB6" s="2"/>
      <c r="EJC6" s="2"/>
      <c r="EJD6" s="2"/>
      <c r="EJE6" s="2"/>
      <c r="EJF6" s="2"/>
      <c r="EJG6" s="2"/>
      <c r="EJH6" s="2"/>
      <c r="EJI6" s="2"/>
      <c r="EJJ6" s="2"/>
      <c r="EJK6" s="2"/>
      <c r="EJL6" s="2"/>
      <c r="EJM6" s="2"/>
      <c r="EJN6" s="2"/>
      <c r="EJO6" s="2"/>
      <c r="EJP6" s="2"/>
      <c r="EJQ6" s="2"/>
      <c r="EJR6" s="2"/>
      <c r="EJS6" s="2"/>
      <c r="EJT6" s="2"/>
      <c r="EJU6" s="2"/>
      <c r="EJV6" s="2"/>
      <c r="EJW6" s="2"/>
      <c r="EJX6" s="2"/>
      <c r="EJY6" s="2"/>
      <c r="EJZ6" s="2"/>
      <c r="EKA6" s="2"/>
      <c r="EKB6" s="2"/>
      <c r="EKC6" s="2"/>
      <c r="EKD6" s="2"/>
      <c r="EKE6" s="2"/>
      <c r="EKF6" s="2"/>
      <c r="EKG6" s="2"/>
      <c r="EKH6" s="2"/>
      <c r="EKI6" s="2"/>
      <c r="EKJ6" s="2"/>
      <c r="EKK6" s="2"/>
      <c r="EKL6" s="2"/>
      <c r="EKM6" s="2"/>
      <c r="EKN6" s="2"/>
      <c r="EKO6" s="2"/>
      <c r="EKP6" s="2"/>
      <c r="EKQ6" s="2"/>
      <c r="EKR6" s="2"/>
      <c r="EKS6" s="2"/>
      <c r="EKT6" s="2"/>
      <c r="EKU6" s="2"/>
      <c r="EKV6" s="2"/>
      <c r="EKW6" s="2"/>
      <c r="EKX6" s="2"/>
      <c r="EKY6" s="2"/>
      <c r="EKZ6" s="2"/>
      <c r="ELA6" s="2"/>
      <c r="ELB6" s="2"/>
      <c r="ELC6" s="2"/>
      <c r="ELD6" s="2"/>
      <c r="ELE6" s="2"/>
      <c r="ELF6" s="2"/>
      <c r="ELG6" s="2"/>
      <c r="ELH6" s="2"/>
      <c r="ELI6" s="2"/>
      <c r="ELJ6" s="2"/>
      <c r="ELK6" s="2"/>
      <c r="ELL6" s="2"/>
      <c r="ELM6" s="2"/>
      <c r="ELN6" s="2"/>
      <c r="ELO6" s="2"/>
      <c r="ELP6" s="2"/>
      <c r="ELQ6" s="2"/>
      <c r="ELR6" s="2"/>
      <c r="ELS6" s="2"/>
      <c r="ELT6" s="2"/>
      <c r="ELU6" s="2"/>
      <c r="ELV6" s="2"/>
      <c r="ELW6" s="2"/>
      <c r="ELX6" s="2"/>
      <c r="ELY6" s="2"/>
      <c r="ELZ6" s="2"/>
      <c r="EMA6" s="2"/>
      <c r="EMB6" s="2"/>
      <c r="EMC6" s="2"/>
      <c r="EMD6" s="2"/>
      <c r="EME6" s="2"/>
      <c r="EMF6" s="2"/>
      <c r="EMG6" s="2"/>
      <c r="EMH6" s="2"/>
      <c r="EMI6" s="2"/>
      <c r="EMJ6" s="2"/>
      <c r="EMK6" s="2"/>
      <c r="EML6" s="2"/>
      <c r="EMM6" s="2"/>
      <c r="EMN6" s="2"/>
      <c r="EMO6" s="2"/>
      <c r="EMP6" s="2"/>
      <c r="EMQ6" s="2"/>
      <c r="EMR6" s="2"/>
      <c r="EMS6" s="2"/>
      <c r="EMT6" s="2"/>
      <c r="EMU6" s="2"/>
      <c r="EMV6" s="2"/>
      <c r="EMW6" s="2"/>
      <c r="EMX6" s="2"/>
      <c r="EMY6" s="2"/>
      <c r="EMZ6" s="2"/>
      <c r="ENA6" s="2"/>
      <c r="ENB6" s="2"/>
      <c r="ENC6" s="2"/>
      <c r="END6" s="2"/>
      <c r="ENE6" s="2"/>
      <c r="ENF6" s="2"/>
      <c r="ENG6" s="2"/>
      <c r="ENH6" s="2"/>
      <c r="ENI6" s="2"/>
      <c r="ENJ6" s="2"/>
      <c r="ENK6" s="2"/>
      <c r="ENL6" s="2"/>
      <c r="ENM6" s="2"/>
      <c r="ENN6" s="2"/>
      <c r="ENO6" s="2"/>
      <c r="ENP6" s="2"/>
      <c r="ENQ6" s="2"/>
      <c r="ENR6" s="2"/>
      <c r="ENS6" s="2"/>
      <c r="ENT6" s="2"/>
      <c r="ENU6" s="2"/>
      <c r="ENV6" s="2"/>
      <c r="ENW6" s="2"/>
      <c r="ENX6" s="2"/>
      <c r="ENY6" s="2"/>
      <c r="ENZ6" s="2"/>
      <c r="EOA6" s="2"/>
      <c r="EOB6" s="2"/>
      <c r="EOC6" s="2"/>
      <c r="EOD6" s="2"/>
      <c r="EOE6" s="2"/>
      <c r="EOF6" s="2"/>
      <c r="EOG6" s="2"/>
      <c r="EOH6" s="2"/>
      <c r="EOI6" s="2"/>
      <c r="EOJ6" s="2"/>
      <c r="EOK6" s="2"/>
      <c r="EOL6" s="2"/>
      <c r="EOM6" s="2"/>
      <c r="EON6" s="2"/>
      <c r="EOO6" s="2"/>
      <c r="EOP6" s="2"/>
      <c r="EOQ6" s="2"/>
      <c r="EOR6" s="2"/>
      <c r="EOS6" s="2"/>
      <c r="EOT6" s="2"/>
      <c r="EOU6" s="2"/>
      <c r="EOV6" s="2"/>
      <c r="EOW6" s="2"/>
      <c r="EOX6" s="2"/>
      <c r="EOY6" s="2"/>
      <c r="EOZ6" s="2"/>
      <c r="EPA6" s="2"/>
      <c r="EPB6" s="2"/>
      <c r="EPC6" s="2"/>
      <c r="EPD6" s="2"/>
      <c r="EPE6" s="2"/>
      <c r="EPF6" s="2"/>
      <c r="EPG6" s="2"/>
      <c r="EPH6" s="2"/>
      <c r="EPI6" s="2"/>
      <c r="EPJ6" s="2"/>
      <c r="EPK6" s="2"/>
      <c r="EPL6" s="2"/>
      <c r="EPM6" s="2"/>
      <c r="EPN6" s="2"/>
      <c r="EPO6" s="2"/>
      <c r="EPP6" s="2"/>
      <c r="EPQ6" s="2"/>
      <c r="EPR6" s="2"/>
      <c r="EPS6" s="2"/>
      <c r="EPT6" s="2"/>
      <c r="EPU6" s="2"/>
      <c r="EPV6" s="2"/>
      <c r="EPW6" s="2"/>
      <c r="EPX6" s="2"/>
      <c r="EPY6" s="2"/>
      <c r="EPZ6" s="2"/>
      <c r="EQA6" s="2"/>
      <c r="EQB6" s="2"/>
      <c r="EQC6" s="2"/>
      <c r="EQD6" s="2"/>
      <c r="EQE6" s="2"/>
      <c r="EQF6" s="2"/>
      <c r="EQG6" s="2"/>
      <c r="EQH6" s="2"/>
      <c r="EQI6" s="2"/>
      <c r="EQJ6" s="2"/>
      <c r="EQK6" s="2"/>
      <c r="EQL6" s="2"/>
      <c r="EQM6" s="2"/>
      <c r="EQN6" s="2"/>
      <c r="EQO6" s="2"/>
      <c r="EQP6" s="2"/>
      <c r="EQQ6" s="2"/>
      <c r="EQR6" s="2"/>
      <c r="EQS6" s="2"/>
      <c r="EQT6" s="2"/>
      <c r="EQU6" s="2"/>
      <c r="EQV6" s="2"/>
      <c r="EQW6" s="2"/>
      <c r="EQX6" s="2"/>
      <c r="EQY6" s="2"/>
      <c r="EQZ6" s="2"/>
      <c r="ERA6" s="2"/>
      <c r="ERB6" s="2"/>
      <c r="ERC6" s="2"/>
      <c r="ERD6" s="2"/>
      <c r="ERE6" s="2"/>
      <c r="ERF6" s="2"/>
      <c r="ERG6" s="2"/>
      <c r="ERH6" s="2"/>
      <c r="ERI6" s="2"/>
      <c r="ERJ6" s="2"/>
      <c r="ERK6" s="2"/>
      <c r="ERL6" s="2"/>
      <c r="ERM6" s="2"/>
      <c r="ERN6" s="2"/>
      <c r="ERO6" s="2"/>
      <c r="ERP6" s="2"/>
      <c r="ERQ6" s="2"/>
      <c r="ERR6" s="2"/>
      <c r="ERS6" s="2"/>
      <c r="ERT6" s="2"/>
      <c r="ERU6" s="2"/>
      <c r="ERV6" s="2"/>
      <c r="ERW6" s="2"/>
      <c r="ERX6" s="2"/>
      <c r="ERY6" s="2"/>
      <c r="ERZ6" s="2"/>
      <c r="ESA6" s="2"/>
      <c r="ESB6" s="2"/>
      <c r="ESC6" s="2"/>
      <c r="ESD6" s="2"/>
      <c r="ESE6" s="2"/>
      <c r="ESF6" s="2"/>
      <c r="ESG6" s="2"/>
      <c r="ESH6" s="2"/>
      <c r="ESI6" s="2"/>
      <c r="ESJ6" s="2"/>
      <c r="ESK6" s="2"/>
      <c r="ESL6" s="2"/>
      <c r="ESM6" s="2"/>
      <c r="ESN6" s="2"/>
      <c r="ESO6" s="2"/>
      <c r="ESP6" s="2"/>
      <c r="ESQ6" s="2"/>
      <c r="ESR6" s="2"/>
      <c r="ESS6" s="2"/>
      <c r="EST6" s="2"/>
      <c r="ESU6" s="2"/>
      <c r="ESV6" s="2"/>
      <c r="ESW6" s="2"/>
      <c r="ESX6" s="2"/>
      <c r="ESY6" s="2"/>
      <c r="ESZ6" s="2"/>
      <c r="ETA6" s="2"/>
      <c r="ETB6" s="2"/>
      <c r="ETC6" s="2"/>
      <c r="ETD6" s="2"/>
      <c r="ETE6" s="2"/>
      <c r="ETF6" s="2"/>
      <c r="ETG6" s="2"/>
      <c r="ETH6" s="2"/>
      <c r="ETI6" s="2"/>
      <c r="ETJ6" s="2"/>
      <c r="ETK6" s="2"/>
      <c r="ETL6" s="2"/>
      <c r="ETM6" s="2"/>
      <c r="ETN6" s="2"/>
      <c r="ETO6" s="2"/>
      <c r="ETP6" s="2"/>
      <c r="ETQ6" s="2"/>
      <c r="ETR6" s="2"/>
      <c r="ETS6" s="2"/>
      <c r="ETT6" s="2"/>
      <c r="ETU6" s="2"/>
      <c r="ETV6" s="2"/>
      <c r="ETW6" s="2"/>
      <c r="ETX6" s="2"/>
      <c r="ETY6" s="2"/>
      <c r="ETZ6" s="2"/>
      <c r="EUA6" s="2"/>
      <c r="EUB6" s="2"/>
      <c r="EUC6" s="2"/>
      <c r="EUD6" s="2"/>
      <c r="EUE6" s="2"/>
      <c r="EUF6" s="2"/>
      <c r="EUG6" s="2"/>
      <c r="EUH6" s="2"/>
      <c r="EUI6" s="2"/>
      <c r="EUJ6" s="2"/>
      <c r="EUK6" s="2"/>
      <c r="EUL6" s="2"/>
      <c r="EUM6" s="2"/>
      <c r="EUN6" s="2"/>
      <c r="EUO6" s="2"/>
      <c r="EUP6" s="2"/>
      <c r="EUQ6" s="2"/>
      <c r="EUR6" s="2"/>
      <c r="EUS6" s="2"/>
      <c r="EUT6" s="2"/>
      <c r="EUU6" s="2"/>
      <c r="EUV6" s="2"/>
      <c r="EUW6" s="2"/>
      <c r="EUX6" s="2"/>
      <c r="EUY6" s="2"/>
      <c r="EUZ6" s="2"/>
      <c r="EVA6" s="2"/>
      <c r="EVB6" s="2"/>
      <c r="EVC6" s="2"/>
      <c r="EVD6" s="2"/>
      <c r="EVE6" s="2"/>
      <c r="EVF6" s="2"/>
      <c r="EVG6" s="2"/>
      <c r="EVH6" s="2"/>
      <c r="EVI6" s="2"/>
      <c r="EVJ6" s="2"/>
      <c r="EVK6" s="2"/>
      <c r="EVL6" s="2"/>
      <c r="EVM6" s="2"/>
      <c r="EVN6" s="2"/>
      <c r="EVO6" s="2"/>
      <c r="EVP6" s="2"/>
      <c r="EVQ6" s="2"/>
      <c r="EVR6" s="2"/>
      <c r="EVS6" s="2"/>
      <c r="EVT6" s="2"/>
      <c r="EVU6" s="2"/>
      <c r="EVV6" s="2"/>
      <c r="EVW6" s="2"/>
      <c r="EVX6" s="2"/>
      <c r="EVY6" s="2"/>
      <c r="EVZ6" s="2"/>
      <c r="EWA6" s="2"/>
      <c r="EWB6" s="2"/>
      <c r="EWC6" s="2"/>
      <c r="EWD6" s="2"/>
      <c r="EWE6" s="2"/>
      <c r="EWF6" s="2"/>
      <c r="EWG6" s="2"/>
      <c r="EWH6" s="2"/>
      <c r="EWI6" s="2"/>
      <c r="EWJ6" s="2"/>
      <c r="EWK6" s="2"/>
      <c r="EWL6" s="2"/>
      <c r="EWM6" s="2"/>
      <c r="EWN6" s="2"/>
      <c r="EWO6" s="2"/>
      <c r="EWP6" s="2"/>
      <c r="EWQ6" s="2"/>
      <c r="EWR6" s="2"/>
      <c r="EWS6" s="2"/>
      <c r="EWT6" s="2"/>
      <c r="EWU6" s="2"/>
      <c r="EWV6" s="2"/>
      <c r="EWW6" s="2"/>
      <c r="EWX6" s="2"/>
      <c r="EWY6" s="2"/>
      <c r="EWZ6" s="2"/>
      <c r="EXA6" s="2"/>
      <c r="EXB6" s="2"/>
      <c r="EXC6" s="2"/>
      <c r="EXD6" s="2"/>
      <c r="EXE6" s="2"/>
      <c r="EXF6" s="2"/>
      <c r="EXG6" s="2"/>
      <c r="EXH6" s="2"/>
      <c r="EXI6" s="2"/>
      <c r="EXJ6" s="2"/>
      <c r="EXK6" s="2"/>
      <c r="EXL6" s="2"/>
      <c r="EXM6" s="2"/>
      <c r="EXN6" s="2"/>
      <c r="EXO6" s="2"/>
      <c r="EXP6" s="2"/>
      <c r="EXQ6" s="2"/>
      <c r="EXR6" s="2"/>
      <c r="EXS6" s="2"/>
      <c r="EXT6" s="2"/>
      <c r="EXU6" s="2"/>
      <c r="EXV6" s="2"/>
      <c r="EXW6" s="2"/>
      <c r="EXX6" s="2"/>
      <c r="EXY6" s="2"/>
      <c r="EXZ6" s="2"/>
      <c r="EYA6" s="2"/>
      <c r="EYB6" s="2"/>
      <c r="EYC6" s="2"/>
      <c r="EYD6" s="2"/>
      <c r="EYE6" s="2"/>
      <c r="EYF6" s="2"/>
      <c r="EYG6" s="2"/>
      <c r="EYH6" s="2"/>
      <c r="EYI6" s="2"/>
      <c r="EYJ6" s="2"/>
      <c r="EYK6" s="2"/>
      <c r="EYL6" s="2"/>
      <c r="EYM6" s="2"/>
      <c r="EYN6" s="2"/>
      <c r="EYO6" s="2"/>
      <c r="EYP6" s="2"/>
      <c r="EYQ6" s="2"/>
      <c r="EYR6" s="2"/>
      <c r="EYS6" s="2"/>
      <c r="EYT6" s="2"/>
      <c r="EYU6" s="2"/>
      <c r="EYV6" s="2"/>
      <c r="EYW6" s="2"/>
      <c r="EYX6" s="2"/>
      <c r="EYY6" s="2"/>
      <c r="EYZ6" s="2"/>
      <c r="EZA6" s="2"/>
      <c r="EZB6" s="2"/>
      <c r="EZC6" s="2"/>
      <c r="EZD6" s="2"/>
      <c r="EZE6" s="2"/>
      <c r="EZF6" s="2"/>
      <c r="EZG6" s="2"/>
      <c r="EZH6" s="2"/>
      <c r="EZI6" s="2"/>
      <c r="EZJ6" s="2"/>
      <c r="EZK6" s="2"/>
      <c r="EZL6" s="2"/>
      <c r="EZM6" s="2"/>
      <c r="EZN6" s="2"/>
      <c r="EZO6" s="2"/>
      <c r="EZP6" s="2"/>
      <c r="EZQ6" s="2"/>
      <c r="EZR6" s="2"/>
      <c r="EZS6" s="2"/>
      <c r="EZT6" s="2"/>
      <c r="EZU6" s="2"/>
      <c r="EZV6" s="2"/>
      <c r="EZW6" s="2"/>
      <c r="EZX6" s="2"/>
      <c r="EZY6" s="2"/>
      <c r="EZZ6" s="2"/>
      <c r="FAA6" s="2"/>
      <c r="FAB6" s="2"/>
      <c r="FAC6" s="2"/>
      <c r="FAD6" s="2"/>
      <c r="FAE6" s="2"/>
      <c r="FAF6" s="2"/>
      <c r="FAG6" s="2"/>
      <c r="FAH6" s="2"/>
      <c r="FAI6" s="2"/>
      <c r="FAJ6" s="2"/>
      <c r="FAK6" s="2"/>
      <c r="FAL6" s="2"/>
      <c r="FAM6" s="2"/>
      <c r="FAN6" s="2"/>
      <c r="FAO6" s="2"/>
      <c r="FAP6" s="2"/>
      <c r="FAQ6" s="2"/>
      <c r="FAR6" s="2"/>
      <c r="FAS6" s="2"/>
      <c r="FAT6" s="2"/>
      <c r="FAU6" s="2"/>
      <c r="FAV6" s="2"/>
      <c r="FAW6" s="2"/>
      <c r="FAX6" s="2"/>
      <c r="FAY6" s="2"/>
      <c r="FAZ6" s="2"/>
      <c r="FBA6" s="2"/>
      <c r="FBB6" s="2"/>
      <c r="FBC6" s="2"/>
      <c r="FBD6" s="2"/>
      <c r="FBE6" s="2"/>
      <c r="FBF6" s="2"/>
      <c r="FBG6" s="2"/>
      <c r="FBH6" s="2"/>
      <c r="FBI6" s="2"/>
      <c r="FBJ6" s="2"/>
      <c r="FBK6" s="2"/>
      <c r="FBL6" s="2"/>
      <c r="FBM6" s="2"/>
      <c r="FBN6" s="2"/>
      <c r="FBO6" s="2"/>
      <c r="FBP6" s="2"/>
      <c r="FBQ6" s="2"/>
      <c r="FBR6" s="2"/>
      <c r="FBS6" s="2"/>
      <c r="FBT6" s="2"/>
      <c r="FBU6" s="2"/>
      <c r="FBV6" s="2"/>
      <c r="FBW6" s="2"/>
      <c r="FBX6" s="2"/>
      <c r="FBY6" s="2"/>
      <c r="FBZ6" s="2"/>
      <c r="FCA6" s="2"/>
      <c r="FCB6" s="2"/>
      <c r="FCC6" s="2"/>
      <c r="FCD6" s="2"/>
      <c r="FCE6" s="2"/>
      <c r="FCF6" s="2"/>
      <c r="FCG6" s="2"/>
      <c r="FCH6" s="2"/>
      <c r="FCI6" s="2"/>
      <c r="FCJ6" s="2"/>
      <c r="FCK6" s="2"/>
      <c r="FCL6" s="2"/>
      <c r="FCM6" s="2"/>
      <c r="FCN6" s="2"/>
      <c r="FCO6" s="2"/>
      <c r="FCP6" s="2"/>
      <c r="FCQ6" s="2"/>
      <c r="FCR6" s="2"/>
      <c r="FCS6" s="2"/>
      <c r="FCT6" s="2"/>
      <c r="FCU6" s="2"/>
      <c r="FCV6" s="2"/>
      <c r="FCW6" s="2"/>
      <c r="FCX6" s="2"/>
      <c r="FCY6" s="2"/>
      <c r="FCZ6" s="2"/>
      <c r="FDA6" s="2"/>
      <c r="FDB6" s="2"/>
      <c r="FDC6" s="2"/>
      <c r="FDD6" s="2"/>
      <c r="FDE6" s="2"/>
      <c r="FDF6" s="2"/>
      <c r="FDG6" s="2"/>
      <c r="FDH6" s="2"/>
      <c r="FDI6" s="2"/>
      <c r="FDJ6" s="2"/>
      <c r="FDK6" s="2"/>
      <c r="FDL6" s="2"/>
      <c r="FDM6" s="2"/>
      <c r="FDN6" s="2"/>
      <c r="FDO6" s="2"/>
      <c r="FDP6" s="2"/>
      <c r="FDQ6" s="2"/>
      <c r="FDR6" s="2"/>
      <c r="FDS6" s="2"/>
      <c r="FDT6" s="2"/>
      <c r="FDU6" s="2"/>
      <c r="FDV6" s="2"/>
      <c r="FDW6" s="2"/>
      <c r="FDX6" s="2"/>
      <c r="FDY6" s="2"/>
      <c r="FDZ6" s="2"/>
      <c r="FEA6" s="2"/>
      <c r="FEB6" s="2"/>
      <c r="FEC6" s="2"/>
      <c r="FED6" s="2"/>
      <c r="FEE6" s="2"/>
      <c r="FEF6" s="2"/>
      <c r="FEG6" s="2"/>
      <c r="FEH6" s="2"/>
      <c r="FEI6" s="2"/>
      <c r="FEJ6" s="2"/>
      <c r="FEK6" s="2"/>
      <c r="FEL6" s="2"/>
      <c r="FEM6" s="2"/>
      <c r="FEN6" s="2"/>
      <c r="FEO6" s="2"/>
      <c r="FEP6" s="2"/>
      <c r="FEQ6" s="2"/>
      <c r="FER6" s="2"/>
      <c r="FES6" s="2"/>
      <c r="FET6" s="2"/>
      <c r="FEU6" s="2"/>
      <c r="FEV6" s="2"/>
      <c r="FEW6" s="2"/>
      <c r="FEX6" s="2"/>
      <c r="FEY6" s="2"/>
      <c r="FEZ6" s="2"/>
      <c r="FFA6" s="2"/>
      <c r="FFB6" s="2"/>
      <c r="FFC6" s="2"/>
      <c r="FFD6" s="2"/>
      <c r="FFE6" s="2"/>
      <c r="FFF6" s="2"/>
      <c r="FFG6" s="2"/>
      <c r="FFH6" s="2"/>
      <c r="FFI6" s="2"/>
      <c r="FFJ6" s="2"/>
      <c r="FFK6" s="2"/>
      <c r="FFL6" s="2"/>
      <c r="FFM6" s="2"/>
      <c r="FFN6" s="2"/>
      <c r="FFO6" s="2"/>
      <c r="FFP6" s="2"/>
      <c r="FFQ6" s="2"/>
      <c r="FFR6" s="2"/>
      <c r="FFS6" s="2"/>
      <c r="FFT6" s="2"/>
      <c r="FFU6" s="2"/>
      <c r="FFV6" s="2"/>
      <c r="FFW6" s="2"/>
      <c r="FFX6" s="2"/>
      <c r="FFY6" s="2"/>
      <c r="FFZ6" s="2"/>
      <c r="FGA6" s="2"/>
      <c r="FGB6" s="2"/>
      <c r="FGC6" s="2"/>
      <c r="FGD6" s="2"/>
      <c r="FGE6" s="2"/>
      <c r="FGF6" s="2"/>
      <c r="FGG6" s="2"/>
      <c r="FGH6" s="2"/>
      <c r="FGI6" s="2"/>
      <c r="FGJ6" s="2"/>
      <c r="FGK6" s="2"/>
      <c r="FGL6" s="2"/>
      <c r="FGM6" s="2"/>
      <c r="FGN6" s="2"/>
      <c r="FGO6" s="2"/>
      <c r="FGP6" s="2"/>
      <c r="FGQ6" s="2"/>
      <c r="FGR6" s="2"/>
      <c r="FGS6" s="2"/>
      <c r="FGT6" s="2"/>
      <c r="FGU6" s="2"/>
      <c r="FGV6" s="2"/>
      <c r="FGW6" s="2"/>
      <c r="FGX6" s="2"/>
      <c r="FGY6" s="2"/>
      <c r="FGZ6" s="2"/>
      <c r="FHA6" s="2"/>
      <c r="FHB6" s="2"/>
      <c r="FHC6" s="2"/>
      <c r="FHD6" s="2"/>
      <c r="FHE6" s="2"/>
      <c r="FHF6" s="2"/>
      <c r="FHG6" s="2"/>
      <c r="FHH6" s="2"/>
      <c r="FHI6" s="2"/>
      <c r="FHJ6" s="2"/>
      <c r="FHK6" s="2"/>
      <c r="FHL6" s="2"/>
      <c r="FHM6" s="2"/>
      <c r="FHN6" s="2"/>
      <c r="FHO6" s="2"/>
      <c r="FHP6" s="2"/>
      <c r="FHQ6" s="2"/>
      <c r="FHR6" s="2"/>
      <c r="FHS6" s="2"/>
      <c r="FHT6" s="2"/>
      <c r="FHU6" s="2"/>
      <c r="FHV6" s="2"/>
      <c r="FHW6" s="2"/>
      <c r="FHX6" s="2"/>
      <c r="FHY6" s="2"/>
      <c r="FHZ6" s="2"/>
      <c r="FIA6" s="2"/>
      <c r="FIB6" s="2"/>
      <c r="FIC6" s="2"/>
      <c r="FID6" s="2"/>
      <c r="FIE6" s="2"/>
      <c r="FIF6" s="2"/>
      <c r="FIG6" s="2"/>
      <c r="FIH6" s="2"/>
      <c r="FII6" s="2"/>
      <c r="FIJ6" s="2"/>
      <c r="FIK6" s="2"/>
      <c r="FIL6" s="2"/>
      <c r="FIM6" s="2"/>
      <c r="FIN6" s="2"/>
      <c r="FIO6" s="2"/>
      <c r="FIP6" s="2"/>
      <c r="FIQ6" s="2"/>
      <c r="FIR6" s="2"/>
      <c r="FIS6" s="2"/>
      <c r="FIT6" s="2"/>
      <c r="FIU6" s="2"/>
      <c r="FIV6" s="2"/>
      <c r="FIW6" s="2"/>
      <c r="FIX6" s="2"/>
      <c r="FIY6" s="2"/>
      <c r="FIZ6" s="2"/>
      <c r="FJA6" s="2"/>
      <c r="FJB6" s="2"/>
      <c r="FJC6" s="2"/>
      <c r="FJD6" s="2"/>
      <c r="FJE6" s="2"/>
      <c r="FJF6" s="2"/>
      <c r="FJG6" s="2"/>
      <c r="FJH6" s="2"/>
      <c r="FJI6" s="2"/>
      <c r="FJJ6" s="2"/>
      <c r="FJK6" s="2"/>
      <c r="FJL6" s="2"/>
      <c r="FJM6" s="2"/>
      <c r="FJN6" s="2"/>
      <c r="FJO6" s="2"/>
      <c r="FJP6" s="2"/>
      <c r="FJQ6" s="2"/>
      <c r="FJR6" s="2"/>
      <c r="FJS6" s="2"/>
      <c r="FJT6" s="2"/>
      <c r="FJU6" s="2"/>
      <c r="FJV6" s="2"/>
      <c r="FJW6" s="2"/>
      <c r="FJX6" s="2"/>
      <c r="FJY6" s="2"/>
      <c r="FJZ6" s="2"/>
      <c r="FKA6" s="2"/>
      <c r="FKB6" s="2"/>
      <c r="FKC6" s="2"/>
      <c r="FKD6" s="2"/>
      <c r="FKE6" s="2"/>
      <c r="FKF6" s="2"/>
      <c r="FKG6" s="2"/>
      <c r="FKH6" s="2"/>
      <c r="FKI6" s="2"/>
      <c r="FKJ6" s="2"/>
      <c r="FKK6" s="2"/>
      <c r="FKL6" s="2"/>
      <c r="FKM6" s="2"/>
      <c r="FKN6" s="2"/>
      <c r="FKO6" s="2"/>
      <c r="FKP6" s="2"/>
      <c r="FKQ6" s="2"/>
      <c r="FKR6" s="2"/>
      <c r="FKS6" s="2"/>
      <c r="FKT6" s="2"/>
      <c r="FKU6" s="2"/>
      <c r="FKV6" s="2"/>
      <c r="FKW6" s="2"/>
      <c r="FKX6" s="2"/>
      <c r="FKY6" s="2"/>
      <c r="FKZ6" s="2"/>
      <c r="FLA6" s="2"/>
      <c r="FLB6" s="2"/>
      <c r="FLC6" s="2"/>
      <c r="FLD6" s="2"/>
      <c r="FLE6" s="2"/>
      <c r="FLF6" s="2"/>
      <c r="FLG6" s="2"/>
      <c r="FLH6" s="2"/>
      <c r="FLI6" s="2"/>
      <c r="FLJ6" s="2"/>
      <c r="FLK6" s="2"/>
      <c r="FLL6" s="2"/>
      <c r="FLM6" s="2"/>
      <c r="FLN6" s="2"/>
      <c r="FLO6" s="2"/>
      <c r="FLP6" s="2"/>
      <c r="FLQ6" s="2"/>
      <c r="FLR6" s="2"/>
      <c r="FLS6" s="2"/>
      <c r="FLT6" s="2"/>
      <c r="FLU6" s="2"/>
      <c r="FLV6" s="2"/>
      <c r="FLW6" s="2"/>
      <c r="FLX6" s="2"/>
      <c r="FLY6" s="2"/>
      <c r="FLZ6" s="2"/>
      <c r="FMA6" s="2"/>
      <c r="FMB6" s="2"/>
      <c r="FMC6" s="2"/>
      <c r="FMD6" s="2"/>
      <c r="FME6" s="2"/>
      <c r="FMF6" s="2"/>
      <c r="FMG6" s="2"/>
      <c r="FMH6" s="2"/>
      <c r="FMI6" s="2"/>
      <c r="FMJ6" s="2"/>
      <c r="FMK6" s="2"/>
      <c r="FML6" s="2"/>
      <c r="FMM6" s="2"/>
      <c r="FMN6" s="2"/>
      <c r="FMO6" s="2"/>
      <c r="FMP6" s="2"/>
      <c r="FMQ6" s="2"/>
      <c r="FMR6" s="2"/>
      <c r="FMS6" s="2"/>
      <c r="FMT6" s="2"/>
      <c r="FMU6" s="2"/>
      <c r="FMV6" s="2"/>
      <c r="FMW6" s="2"/>
      <c r="FMX6" s="2"/>
      <c r="FMY6" s="2"/>
      <c r="FMZ6" s="2"/>
      <c r="FNA6" s="2"/>
      <c r="FNB6" s="2"/>
      <c r="FNC6" s="2"/>
      <c r="FND6" s="2"/>
      <c r="FNE6" s="2"/>
      <c r="FNF6" s="2"/>
      <c r="FNG6" s="2"/>
      <c r="FNH6" s="2"/>
      <c r="FNI6" s="2"/>
      <c r="FNJ6" s="2"/>
      <c r="FNK6" s="2"/>
      <c r="FNL6" s="2"/>
      <c r="FNM6" s="2"/>
      <c r="FNN6" s="2"/>
      <c r="FNO6" s="2"/>
      <c r="FNP6" s="2"/>
      <c r="FNQ6" s="2"/>
      <c r="FNR6" s="2"/>
      <c r="FNS6" s="2"/>
      <c r="FNT6" s="2"/>
      <c r="FNU6" s="2"/>
      <c r="FNV6" s="2"/>
      <c r="FNW6" s="2"/>
      <c r="FNX6" s="2"/>
      <c r="FNY6" s="2"/>
      <c r="FNZ6" s="2"/>
      <c r="FOA6" s="2"/>
      <c r="FOB6" s="2"/>
      <c r="FOC6" s="2"/>
      <c r="FOD6" s="2"/>
      <c r="FOE6" s="2"/>
      <c r="FOF6" s="2"/>
      <c r="FOG6" s="2"/>
      <c r="FOH6" s="2"/>
      <c r="FOI6" s="2"/>
      <c r="FOJ6" s="2"/>
      <c r="FOK6" s="2"/>
      <c r="FOL6" s="2"/>
      <c r="FOM6" s="2"/>
      <c r="FON6" s="2"/>
      <c r="FOO6" s="2"/>
      <c r="FOP6" s="2"/>
      <c r="FOQ6" s="2"/>
      <c r="FOR6" s="2"/>
      <c r="FOS6" s="2"/>
      <c r="FOT6" s="2"/>
      <c r="FOU6" s="2"/>
      <c r="FOV6" s="2"/>
      <c r="FOW6" s="2"/>
      <c r="FOX6" s="2"/>
      <c r="FOY6" s="2"/>
      <c r="FOZ6" s="2"/>
      <c r="FPA6" s="2"/>
      <c r="FPB6" s="2"/>
      <c r="FPC6" s="2"/>
      <c r="FPD6" s="2"/>
      <c r="FPE6" s="2"/>
      <c r="FPF6" s="2"/>
      <c r="FPG6" s="2"/>
      <c r="FPH6" s="2"/>
      <c r="FPI6" s="2"/>
      <c r="FPJ6" s="2"/>
      <c r="FPK6" s="2"/>
      <c r="FPL6" s="2"/>
      <c r="FPM6" s="2"/>
      <c r="FPN6" s="2"/>
      <c r="FPO6" s="2"/>
      <c r="FPP6" s="2"/>
      <c r="FPQ6" s="2"/>
      <c r="FPR6" s="2"/>
      <c r="FPS6" s="2"/>
      <c r="FPT6" s="2"/>
      <c r="FPU6" s="2"/>
      <c r="FPV6" s="2"/>
      <c r="FPW6" s="2"/>
      <c r="FPX6" s="2"/>
      <c r="FPY6" s="2"/>
      <c r="FPZ6" s="2"/>
      <c r="FQA6" s="2"/>
      <c r="FQB6" s="2"/>
      <c r="FQC6" s="2"/>
      <c r="FQD6" s="2"/>
      <c r="FQE6" s="2"/>
      <c r="FQF6" s="2"/>
      <c r="FQG6" s="2"/>
      <c r="FQH6" s="2"/>
      <c r="FQI6" s="2"/>
      <c r="FQJ6" s="2"/>
      <c r="FQK6" s="2"/>
      <c r="FQL6" s="2"/>
      <c r="FQM6" s="2"/>
      <c r="FQN6" s="2"/>
      <c r="FQO6" s="2"/>
      <c r="FQP6" s="2"/>
      <c r="FQQ6" s="2"/>
      <c r="FQR6" s="2"/>
      <c r="FQS6" s="2"/>
      <c r="FQT6" s="2"/>
      <c r="FQU6" s="2"/>
      <c r="FQV6" s="2"/>
      <c r="FQW6" s="2"/>
      <c r="FQX6" s="2"/>
      <c r="FQY6" s="2"/>
      <c r="FQZ6" s="2"/>
      <c r="FRA6" s="2"/>
      <c r="FRB6" s="2"/>
      <c r="FRC6" s="2"/>
      <c r="FRD6" s="2"/>
      <c r="FRE6" s="2"/>
      <c r="FRF6" s="2"/>
      <c r="FRG6" s="2"/>
      <c r="FRH6" s="2"/>
      <c r="FRI6" s="2"/>
      <c r="FRJ6" s="2"/>
      <c r="FRK6" s="2"/>
      <c r="FRL6" s="2"/>
      <c r="FRM6" s="2"/>
      <c r="FRN6" s="2"/>
      <c r="FRO6" s="2"/>
      <c r="FRP6" s="2"/>
      <c r="FRQ6" s="2"/>
      <c r="FRR6" s="2"/>
      <c r="FRS6" s="2"/>
      <c r="FRT6" s="2"/>
      <c r="FRU6" s="2"/>
      <c r="FRV6" s="2"/>
      <c r="FRW6" s="2"/>
      <c r="FRX6" s="2"/>
      <c r="FRY6" s="2"/>
      <c r="FRZ6" s="2"/>
      <c r="FSA6" s="2"/>
      <c r="FSB6" s="2"/>
      <c r="FSC6" s="2"/>
      <c r="FSD6" s="2"/>
      <c r="FSE6" s="2"/>
      <c r="FSF6" s="2"/>
      <c r="FSG6" s="2"/>
      <c r="FSH6" s="2"/>
      <c r="FSI6" s="2"/>
      <c r="FSJ6" s="2"/>
      <c r="FSK6" s="2"/>
      <c r="FSL6" s="2"/>
      <c r="FSM6" s="2"/>
      <c r="FSN6" s="2"/>
      <c r="FSO6" s="2"/>
      <c r="FSP6" s="2"/>
      <c r="FSQ6" s="2"/>
      <c r="FSR6" s="2"/>
      <c r="FSS6" s="2"/>
      <c r="FST6" s="2"/>
      <c r="FSU6" s="2"/>
      <c r="FSV6" s="2"/>
      <c r="FSW6" s="2"/>
      <c r="FSX6" s="2"/>
      <c r="FSY6" s="2"/>
      <c r="FSZ6" s="2"/>
      <c r="FTA6" s="2"/>
      <c r="FTB6" s="2"/>
      <c r="FTC6" s="2"/>
      <c r="FTD6" s="2"/>
      <c r="FTE6" s="2"/>
      <c r="FTF6" s="2"/>
      <c r="FTG6" s="2"/>
      <c r="FTH6" s="2"/>
      <c r="FTI6" s="2"/>
      <c r="FTJ6" s="2"/>
      <c r="FTK6" s="2"/>
      <c r="FTL6" s="2"/>
      <c r="FTM6" s="2"/>
      <c r="FTN6" s="2"/>
      <c r="FTO6" s="2"/>
      <c r="FTP6" s="2"/>
      <c r="FTQ6" s="2"/>
      <c r="FTR6" s="2"/>
      <c r="FTS6" s="2"/>
      <c r="FTT6" s="2"/>
      <c r="FTU6" s="2"/>
      <c r="FTV6" s="2"/>
      <c r="FTW6" s="2"/>
      <c r="FTX6" s="2"/>
      <c r="FTY6" s="2"/>
      <c r="FTZ6" s="2"/>
      <c r="FUA6" s="2"/>
      <c r="FUB6" s="2"/>
      <c r="FUC6" s="2"/>
      <c r="FUD6" s="2"/>
      <c r="FUE6" s="2"/>
      <c r="FUF6" s="2"/>
      <c r="FUG6" s="2"/>
      <c r="FUH6" s="2"/>
      <c r="FUI6" s="2"/>
      <c r="FUJ6" s="2"/>
      <c r="FUK6" s="2"/>
      <c r="FUL6" s="2"/>
      <c r="FUM6" s="2"/>
      <c r="FUN6" s="2"/>
      <c r="FUO6" s="2"/>
      <c r="FUP6" s="2"/>
      <c r="FUQ6" s="2"/>
      <c r="FUR6" s="2"/>
      <c r="FUS6" s="2"/>
      <c r="FUT6" s="2"/>
      <c r="FUU6" s="2"/>
      <c r="FUV6" s="2"/>
      <c r="FUW6" s="2"/>
      <c r="FUX6" s="2"/>
      <c r="FUY6" s="2"/>
      <c r="FUZ6" s="2"/>
      <c r="FVA6" s="2"/>
      <c r="FVB6" s="2"/>
      <c r="FVC6" s="2"/>
      <c r="FVD6" s="2"/>
      <c r="FVE6" s="2"/>
      <c r="FVF6" s="2"/>
      <c r="FVG6" s="2"/>
      <c r="FVH6" s="2"/>
      <c r="FVI6" s="2"/>
      <c r="FVJ6" s="2"/>
      <c r="FVK6" s="2"/>
      <c r="FVL6" s="2"/>
      <c r="FVM6" s="2"/>
      <c r="FVN6" s="2"/>
      <c r="FVO6" s="2"/>
      <c r="FVP6" s="2"/>
      <c r="FVQ6" s="2"/>
      <c r="FVR6" s="2"/>
      <c r="FVS6" s="2"/>
      <c r="FVT6" s="2"/>
      <c r="FVU6" s="2"/>
      <c r="FVV6" s="2"/>
      <c r="FVW6" s="2"/>
      <c r="FVX6" s="2"/>
      <c r="FVY6" s="2"/>
      <c r="FVZ6" s="2"/>
      <c r="FWA6" s="2"/>
      <c r="FWB6" s="2"/>
      <c r="FWC6" s="2"/>
      <c r="FWD6" s="2"/>
      <c r="FWE6" s="2"/>
      <c r="FWF6" s="2"/>
      <c r="FWG6" s="2"/>
      <c r="FWH6" s="2"/>
      <c r="FWI6" s="2"/>
      <c r="FWJ6" s="2"/>
      <c r="FWK6" s="2"/>
      <c r="FWL6" s="2"/>
      <c r="FWM6" s="2"/>
      <c r="FWN6" s="2"/>
      <c r="FWO6" s="2"/>
      <c r="FWP6" s="2"/>
      <c r="FWQ6" s="2"/>
      <c r="FWR6" s="2"/>
      <c r="FWS6" s="2"/>
      <c r="FWT6" s="2"/>
      <c r="FWU6" s="2"/>
      <c r="FWV6" s="2"/>
      <c r="FWW6" s="2"/>
      <c r="FWX6" s="2"/>
      <c r="FWY6" s="2"/>
      <c r="FWZ6" s="2"/>
      <c r="FXA6" s="2"/>
      <c r="FXB6" s="2"/>
      <c r="FXC6" s="2"/>
      <c r="FXD6" s="2"/>
      <c r="FXE6" s="2"/>
      <c r="FXF6" s="2"/>
      <c r="FXG6" s="2"/>
      <c r="FXH6" s="2"/>
      <c r="FXI6" s="2"/>
      <c r="FXJ6" s="2"/>
      <c r="FXK6" s="2"/>
      <c r="FXL6" s="2"/>
      <c r="FXM6" s="2"/>
      <c r="FXN6" s="2"/>
      <c r="FXO6" s="2"/>
      <c r="FXP6" s="2"/>
      <c r="FXQ6" s="2"/>
      <c r="FXR6" s="2"/>
      <c r="FXS6" s="2"/>
      <c r="FXT6" s="2"/>
      <c r="FXU6" s="2"/>
      <c r="FXV6" s="2"/>
      <c r="FXW6" s="2"/>
      <c r="FXX6" s="2"/>
      <c r="FXY6" s="2"/>
      <c r="FXZ6" s="2"/>
      <c r="FYA6" s="2"/>
      <c r="FYB6" s="2"/>
      <c r="FYC6" s="2"/>
      <c r="FYD6" s="2"/>
      <c r="FYE6" s="2"/>
      <c r="FYF6" s="2"/>
      <c r="FYG6" s="2"/>
      <c r="FYH6" s="2"/>
      <c r="FYI6" s="2"/>
      <c r="FYJ6" s="2"/>
      <c r="FYK6" s="2"/>
      <c r="FYL6" s="2"/>
      <c r="FYM6" s="2"/>
      <c r="FYN6" s="2"/>
      <c r="FYO6" s="2"/>
      <c r="FYP6" s="2"/>
      <c r="FYQ6" s="2"/>
      <c r="FYR6" s="2"/>
      <c r="FYS6" s="2"/>
      <c r="FYT6" s="2"/>
      <c r="FYU6" s="2"/>
      <c r="FYV6" s="2"/>
      <c r="FYW6" s="2"/>
      <c r="FYX6" s="2"/>
      <c r="FYY6" s="2"/>
      <c r="FYZ6" s="2"/>
      <c r="FZA6" s="2"/>
      <c r="FZB6" s="2"/>
      <c r="FZC6" s="2"/>
      <c r="FZD6" s="2"/>
      <c r="FZE6" s="2"/>
      <c r="FZF6" s="2"/>
      <c r="FZG6" s="2"/>
      <c r="FZH6" s="2"/>
      <c r="FZI6" s="2"/>
      <c r="FZJ6" s="2"/>
      <c r="FZK6" s="2"/>
      <c r="FZL6" s="2"/>
      <c r="FZM6" s="2"/>
      <c r="FZN6" s="2"/>
      <c r="FZO6" s="2"/>
      <c r="FZP6" s="2"/>
      <c r="FZQ6" s="2"/>
      <c r="FZR6" s="2"/>
      <c r="FZS6" s="2"/>
      <c r="FZT6" s="2"/>
      <c r="FZU6" s="2"/>
      <c r="FZV6" s="2"/>
      <c r="FZW6" s="2"/>
      <c r="FZX6" s="2"/>
      <c r="FZY6" s="2"/>
      <c r="FZZ6" s="2"/>
      <c r="GAA6" s="2"/>
      <c r="GAB6" s="2"/>
      <c r="GAC6" s="2"/>
      <c r="GAD6" s="2"/>
      <c r="GAE6" s="2"/>
      <c r="GAF6" s="2"/>
      <c r="GAG6" s="2"/>
      <c r="GAH6" s="2"/>
      <c r="GAI6" s="2"/>
      <c r="GAJ6" s="2"/>
      <c r="GAK6" s="2"/>
      <c r="GAL6" s="2"/>
      <c r="GAM6" s="2"/>
      <c r="GAN6" s="2"/>
      <c r="GAO6" s="2"/>
      <c r="GAP6" s="2"/>
      <c r="GAQ6" s="2"/>
      <c r="GAR6" s="2"/>
      <c r="GAS6" s="2"/>
      <c r="GAT6" s="2"/>
      <c r="GAU6" s="2"/>
      <c r="GAV6" s="2"/>
      <c r="GAW6" s="2"/>
      <c r="GAX6" s="2"/>
      <c r="GAY6" s="2"/>
      <c r="GAZ6" s="2"/>
      <c r="GBA6" s="2"/>
      <c r="GBB6" s="2"/>
      <c r="GBC6" s="2"/>
      <c r="GBD6" s="2"/>
      <c r="GBE6" s="2"/>
      <c r="GBF6" s="2"/>
      <c r="GBG6" s="2"/>
      <c r="GBH6" s="2"/>
      <c r="GBI6" s="2"/>
      <c r="GBJ6" s="2"/>
      <c r="GBK6" s="2"/>
      <c r="GBL6" s="2"/>
      <c r="GBM6" s="2"/>
      <c r="GBN6" s="2"/>
      <c r="GBO6" s="2"/>
      <c r="GBP6" s="2"/>
      <c r="GBQ6" s="2"/>
      <c r="GBR6" s="2"/>
      <c r="GBS6" s="2"/>
      <c r="GBT6" s="2"/>
      <c r="GBU6" s="2"/>
      <c r="GBV6" s="2"/>
      <c r="GBW6" s="2"/>
      <c r="GBX6" s="2"/>
      <c r="GBY6" s="2"/>
      <c r="GBZ6" s="2"/>
      <c r="GCA6" s="2"/>
      <c r="GCB6" s="2"/>
      <c r="GCC6" s="2"/>
      <c r="GCD6" s="2"/>
      <c r="GCE6" s="2"/>
      <c r="GCF6" s="2"/>
      <c r="GCG6" s="2"/>
      <c r="GCH6" s="2"/>
      <c r="GCI6" s="2"/>
      <c r="GCJ6" s="2"/>
      <c r="GCK6" s="2"/>
      <c r="GCL6" s="2"/>
      <c r="GCM6" s="2"/>
      <c r="GCN6" s="2"/>
      <c r="GCO6" s="2"/>
      <c r="GCP6" s="2"/>
      <c r="GCQ6" s="2"/>
      <c r="GCR6" s="2"/>
      <c r="GCS6" s="2"/>
      <c r="GCT6" s="2"/>
      <c r="GCU6" s="2"/>
      <c r="GCV6" s="2"/>
      <c r="GCW6" s="2"/>
      <c r="GCX6" s="2"/>
      <c r="GCY6" s="2"/>
      <c r="GCZ6" s="2"/>
      <c r="GDA6" s="2"/>
      <c r="GDB6" s="2"/>
      <c r="GDC6" s="2"/>
      <c r="GDD6" s="2"/>
      <c r="GDE6" s="2"/>
      <c r="GDF6" s="2"/>
      <c r="GDG6" s="2"/>
      <c r="GDH6" s="2"/>
      <c r="GDI6" s="2"/>
      <c r="GDJ6" s="2"/>
      <c r="GDK6" s="2"/>
      <c r="GDL6" s="2"/>
      <c r="GDM6" s="2"/>
      <c r="GDN6" s="2"/>
      <c r="GDO6" s="2"/>
      <c r="GDP6" s="2"/>
      <c r="GDQ6" s="2"/>
      <c r="GDR6" s="2"/>
      <c r="GDS6" s="2"/>
      <c r="GDT6" s="2"/>
      <c r="GDU6" s="2"/>
      <c r="GDV6" s="2"/>
      <c r="GDW6" s="2"/>
      <c r="GDX6" s="2"/>
      <c r="GDY6" s="2"/>
      <c r="GDZ6" s="2"/>
      <c r="GEA6" s="2"/>
      <c r="GEB6" s="2"/>
      <c r="GEC6" s="2"/>
      <c r="GED6" s="2"/>
      <c r="GEE6" s="2"/>
      <c r="GEF6" s="2"/>
      <c r="GEG6" s="2"/>
      <c r="GEH6" s="2"/>
      <c r="GEI6" s="2"/>
      <c r="GEJ6" s="2"/>
      <c r="GEK6" s="2"/>
      <c r="GEL6" s="2"/>
      <c r="GEM6" s="2"/>
      <c r="GEN6" s="2"/>
      <c r="GEO6" s="2"/>
      <c r="GEP6" s="2"/>
      <c r="GEQ6" s="2"/>
      <c r="GER6" s="2"/>
      <c r="GES6" s="2"/>
      <c r="GET6" s="2"/>
      <c r="GEU6" s="2"/>
      <c r="GEV6" s="2"/>
      <c r="GEW6" s="2"/>
      <c r="GEX6" s="2"/>
      <c r="GEY6" s="2"/>
      <c r="GEZ6" s="2"/>
      <c r="GFA6" s="2"/>
      <c r="GFB6" s="2"/>
      <c r="GFC6" s="2"/>
      <c r="GFD6" s="2"/>
      <c r="GFE6" s="2"/>
      <c r="GFF6" s="2"/>
      <c r="GFG6" s="2"/>
      <c r="GFH6" s="2"/>
      <c r="GFI6" s="2"/>
      <c r="GFJ6" s="2"/>
      <c r="GFK6" s="2"/>
      <c r="GFL6" s="2"/>
      <c r="GFM6" s="2"/>
      <c r="GFN6" s="2"/>
      <c r="GFO6" s="2"/>
      <c r="GFP6" s="2"/>
      <c r="GFQ6" s="2"/>
      <c r="GFR6" s="2"/>
      <c r="GFS6" s="2"/>
      <c r="GFT6" s="2"/>
      <c r="GFU6" s="2"/>
      <c r="GFV6" s="2"/>
      <c r="GFW6" s="2"/>
      <c r="GFX6" s="2"/>
      <c r="GFY6" s="2"/>
      <c r="GFZ6" s="2"/>
      <c r="GGA6" s="2"/>
      <c r="GGB6" s="2"/>
      <c r="GGC6" s="2"/>
      <c r="GGD6" s="2"/>
      <c r="GGE6" s="2"/>
      <c r="GGF6" s="2"/>
      <c r="GGG6" s="2"/>
      <c r="GGH6" s="2"/>
      <c r="GGI6" s="2"/>
      <c r="GGJ6" s="2"/>
      <c r="GGK6" s="2"/>
      <c r="GGL6" s="2"/>
      <c r="GGM6" s="2"/>
      <c r="GGN6" s="2"/>
      <c r="GGO6" s="2"/>
      <c r="GGP6" s="2"/>
      <c r="GGQ6" s="2"/>
      <c r="GGR6" s="2"/>
      <c r="GGS6" s="2"/>
      <c r="GGT6" s="2"/>
      <c r="GGU6" s="2"/>
      <c r="GGV6" s="2"/>
      <c r="GGW6" s="2"/>
      <c r="GGX6" s="2"/>
      <c r="GGY6" s="2"/>
      <c r="GGZ6" s="2"/>
      <c r="GHA6" s="2"/>
      <c r="GHB6" s="2"/>
      <c r="GHC6" s="2"/>
      <c r="GHD6" s="2"/>
      <c r="GHE6" s="2"/>
      <c r="GHF6" s="2"/>
      <c r="GHG6" s="2"/>
      <c r="GHH6" s="2"/>
      <c r="GHI6" s="2"/>
      <c r="GHJ6" s="2"/>
      <c r="GHK6" s="2"/>
      <c r="GHL6" s="2"/>
      <c r="GHM6" s="2"/>
      <c r="GHN6" s="2"/>
      <c r="GHO6" s="2"/>
      <c r="GHP6" s="2"/>
      <c r="GHQ6" s="2"/>
      <c r="GHR6" s="2"/>
      <c r="GHS6" s="2"/>
      <c r="GHT6" s="2"/>
      <c r="GHU6" s="2"/>
      <c r="GHV6" s="2"/>
      <c r="GHW6" s="2"/>
      <c r="GHX6" s="2"/>
      <c r="GHY6" s="2"/>
      <c r="GHZ6" s="2"/>
      <c r="GIA6" s="2"/>
      <c r="GIB6" s="2"/>
      <c r="GIC6" s="2"/>
      <c r="GID6" s="2"/>
      <c r="GIE6" s="2"/>
      <c r="GIF6" s="2"/>
      <c r="GIG6" s="2"/>
      <c r="GIH6" s="2"/>
      <c r="GII6" s="2"/>
      <c r="GIJ6" s="2"/>
      <c r="GIK6" s="2"/>
      <c r="GIL6" s="2"/>
      <c r="GIM6" s="2"/>
      <c r="GIN6" s="2"/>
      <c r="GIO6" s="2"/>
      <c r="GIP6" s="2"/>
      <c r="GIQ6" s="2"/>
      <c r="GIR6" s="2"/>
      <c r="GIS6" s="2"/>
      <c r="GIT6" s="2"/>
      <c r="GIU6" s="2"/>
      <c r="GIV6" s="2"/>
      <c r="GIW6" s="2"/>
      <c r="GIX6" s="2"/>
      <c r="GIY6" s="2"/>
      <c r="GIZ6" s="2"/>
      <c r="GJA6" s="2"/>
      <c r="GJB6" s="2"/>
      <c r="GJC6" s="2"/>
      <c r="GJD6" s="2"/>
      <c r="GJE6" s="2"/>
      <c r="GJF6" s="2"/>
      <c r="GJG6" s="2"/>
      <c r="GJH6" s="2"/>
      <c r="GJI6" s="2"/>
      <c r="GJJ6" s="2"/>
      <c r="GJK6" s="2"/>
      <c r="GJL6" s="2"/>
      <c r="GJM6" s="2"/>
      <c r="GJN6" s="2"/>
      <c r="GJO6" s="2"/>
      <c r="GJP6" s="2"/>
      <c r="GJQ6" s="2"/>
      <c r="GJR6" s="2"/>
      <c r="GJS6" s="2"/>
      <c r="GJT6" s="2"/>
      <c r="GJU6" s="2"/>
      <c r="GJV6" s="2"/>
      <c r="GJW6" s="2"/>
      <c r="GJX6" s="2"/>
      <c r="GJY6" s="2"/>
      <c r="GJZ6" s="2"/>
      <c r="GKA6" s="2"/>
      <c r="GKB6" s="2"/>
      <c r="GKC6" s="2"/>
      <c r="GKD6" s="2"/>
      <c r="GKE6" s="2"/>
      <c r="GKF6" s="2"/>
      <c r="GKG6" s="2"/>
      <c r="GKH6" s="2"/>
      <c r="GKI6" s="2"/>
      <c r="GKJ6" s="2"/>
      <c r="GKK6" s="2"/>
      <c r="GKL6" s="2"/>
      <c r="GKM6" s="2"/>
      <c r="GKN6" s="2"/>
      <c r="GKO6" s="2"/>
      <c r="GKP6" s="2"/>
      <c r="GKQ6" s="2"/>
      <c r="GKR6" s="2"/>
      <c r="GKS6" s="2"/>
      <c r="GKT6" s="2"/>
      <c r="GKU6" s="2"/>
      <c r="GKV6" s="2"/>
      <c r="GKW6" s="2"/>
      <c r="GKX6" s="2"/>
      <c r="GKY6" s="2"/>
      <c r="GKZ6" s="2"/>
      <c r="GLA6" s="2"/>
      <c r="GLB6" s="2"/>
      <c r="GLC6" s="2"/>
      <c r="GLD6" s="2"/>
      <c r="GLE6" s="2"/>
      <c r="GLF6" s="2"/>
      <c r="GLG6" s="2"/>
      <c r="GLH6" s="2"/>
      <c r="GLI6" s="2"/>
      <c r="GLJ6" s="2"/>
      <c r="GLK6" s="2"/>
      <c r="GLL6" s="2"/>
      <c r="GLM6" s="2"/>
      <c r="GLN6" s="2"/>
      <c r="GLO6" s="2"/>
      <c r="GLP6" s="2"/>
      <c r="GLQ6" s="2"/>
      <c r="GLR6" s="2"/>
      <c r="GLS6" s="2"/>
      <c r="GLT6" s="2"/>
      <c r="GLU6" s="2"/>
      <c r="GLV6" s="2"/>
      <c r="GLW6" s="2"/>
      <c r="GLX6" s="2"/>
      <c r="GLY6" s="2"/>
      <c r="GLZ6" s="2"/>
      <c r="GMA6" s="2"/>
      <c r="GMB6" s="2"/>
      <c r="GMC6" s="2"/>
      <c r="GMD6" s="2"/>
      <c r="GME6" s="2"/>
      <c r="GMF6" s="2"/>
      <c r="GMG6" s="2"/>
      <c r="GMH6" s="2"/>
      <c r="GMI6" s="2"/>
      <c r="GMJ6" s="2"/>
      <c r="GMK6" s="2"/>
      <c r="GML6" s="2"/>
      <c r="GMM6" s="2"/>
      <c r="GMN6" s="2"/>
      <c r="GMO6" s="2"/>
      <c r="GMP6" s="2"/>
      <c r="GMQ6" s="2"/>
      <c r="GMR6" s="2"/>
      <c r="GMS6" s="2"/>
      <c r="GMT6" s="2"/>
      <c r="GMU6" s="2"/>
      <c r="GMV6" s="2"/>
      <c r="GMW6" s="2"/>
      <c r="GMX6" s="2"/>
      <c r="GMY6" s="2"/>
      <c r="GMZ6" s="2"/>
      <c r="GNA6" s="2"/>
      <c r="GNB6" s="2"/>
      <c r="GNC6" s="2"/>
      <c r="GND6" s="2"/>
      <c r="GNE6" s="2"/>
      <c r="GNF6" s="2"/>
      <c r="GNG6" s="2"/>
      <c r="GNH6" s="2"/>
      <c r="GNI6" s="2"/>
      <c r="GNJ6" s="2"/>
      <c r="GNK6" s="2"/>
      <c r="GNL6" s="2"/>
      <c r="GNM6" s="2"/>
      <c r="GNN6" s="2"/>
      <c r="GNO6" s="2"/>
      <c r="GNP6" s="2"/>
      <c r="GNQ6" s="2"/>
      <c r="GNR6" s="2"/>
      <c r="GNS6" s="2"/>
      <c r="GNT6" s="2"/>
      <c r="GNU6" s="2"/>
      <c r="GNV6" s="2"/>
      <c r="GNW6" s="2"/>
      <c r="GNX6" s="2"/>
      <c r="GNY6" s="2"/>
      <c r="GNZ6" s="2"/>
      <c r="GOA6" s="2"/>
      <c r="GOB6" s="2"/>
      <c r="GOC6" s="2"/>
      <c r="GOD6" s="2"/>
      <c r="GOE6" s="2"/>
      <c r="GOF6" s="2"/>
      <c r="GOG6" s="2"/>
      <c r="GOH6" s="2"/>
      <c r="GOI6" s="2"/>
      <c r="GOJ6" s="2"/>
      <c r="GOK6" s="2"/>
      <c r="GOL6" s="2"/>
      <c r="GOM6" s="2"/>
      <c r="GON6" s="2"/>
      <c r="GOO6" s="2"/>
      <c r="GOP6" s="2"/>
      <c r="GOQ6" s="2"/>
      <c r="GOR6" s="2"/>
      <c r="GOS6" s="2"/>
      <c r="GOT6" s="2"/>
      <c r="GOU6" s="2"/>
      <c r="GOV6" s="2"/>
      <c r="GOW6" s="2"/>
      <c r="GOX6" s="2"/>
      <c r="GOY6" s="2"/>
      <c r="GOZ6" s="2"/>
      <c r="GPA6" s="2"/>
      <c r="GPB6" s="2"/>
      <c r="GPC6" s="2"/>
      <c r="GPD6" s="2"/>
      <c r="GPE6" s="2"/>
      <c r="GPF6" s="2"/>
      <c r="GPG6" s="2"/>
      <c r="GPH6" s="2"/>
      <c r="GPI6" s="2"/>
      <c r="GPJ6" s="2"/>
      <c r="GPK6" s="2"/>
      <c r="GPL6" s="2"/>
      <c r="GPM6" s="2"/>
      <c r="GPN6" s="2"/>
      <c r="GPO6" s="2"/>
      <c r="GPP6" s="2"/>
      <c r="GPQ6" s="2"/>
      <c r="GPR6" s="2"/>
      <c r="GPS6" s="2"/>
      <c r="GPT6" s="2"/>
      <c r="GPU6" s="2"/>
      <c r="GPV6" s="2"/>
      <c r="GPW6" s="2"/>
      <c r="GPX6" s="2"/>
      <c r="GPY6" s="2"/>
      <c r="GPZ6" s="2"/>
      <c r="GQA6" s="2"/>
      <c r="GQB6" s="2"/>
      <c r="GQC6" s="2"/>
      <c r="GQD6" s="2"/>
      <c r="GQE6" s="2"/>
      <c r="GQF6" s="2"/>
      <c r="GQG6" s="2"/>
      <c r="GQH6" s="2"/>
      <c r="GQI6" s="2"/>
      <c r="GQJ6" s="2"/>
      <c r="GQK6" s="2"/>
      <c r="GQL6" s="2"/>
      <c r="GQM6" s="2"/>
      <c r="GQN6" s="2"/>
      <c r="GQO6" s="2"/>
      <c r="GQP6" s="2"/>
      <c r="GQQ6" s="2"/>
      <c r="GQR6" s="2"/>
      <c r="GQS6" s="2"/>
      <c r="GQT6" s="2"/>
      <c r="GQU6" s="2"/>
      <c r="GQV6" s="2"/>
      <c r="GQW6" s="2"/>
      <c r="GQX6" s="2"/>
      <c r="GQY6" s="2"/>
      <c r="GQZ6" s="2"/>
      <c r="GRA6" s="2"/>
      <c r="GRB6" s="2"/>
      <c r="GRC6" s="2"/>
      <c r="GRD6" s="2"/>
      <c r="GRE6" s="2"/>
      <c r="GRF6" s="2"/>
      <c r="GRG6" s="2"/>
      <c r="GRH6" s="2"/>
      <c r="GRI6" s="2"/>
      <c r="GRJ6" s="2"/>
      <c r="GRK6" s="2"/>
      <c r="GRL6" s="2"/>
      <c r="GRM6" s="2"/>
      <c r="GRN6" s="2"/>
      <c r="GRO6" s="2"/>
      <c r="GRP6" s="2"/>
      <c r="GRQ6" s="2"/>
      <c r="GRR6" s="2"/>
      <c r="GRS6" s="2"/>
      <c r="GRT6" s="2"/>
      <c r="GRU6" s="2"/>
      <c r="GRV6" s="2"/>
      <c r="GRW6" s="2"/>
      <c r="GRX6" s="2"/>
      <c r="GRY6" s="2"/>
      <c r="GRZ6" s="2"/>
      <c r="GSA6" s="2"/>
      <c r="GSB6" s="2"/>
      <c r="GSC6" s="2"/>
      <c r="GSD6" s="2"/>
      <c r="GSE6" s="2"/>
      <c r="GSF6" s="2"/>
      <c r="GSG6" s="2"/>
      <c r="GSH6" s="2"/>
      <c r="GSI6" s="2"/>
      <c r="GSJ6" s="2"/>
      <c r="GSK6" s="2"/>
      <c r="GSL6" s="2"/>
      <c r="GSM6" s="2"/>
      <c r="GSN6" s="2"/>
      <c r="GSO6" s="2"/>
      <c r="GSP6" s="2"/>
      <c r="GSQ6" s="2"/>
      <c r="GSR6" s="2"/>
      <c r="GSS6" s="2"/>
      <c r="GST6" s="2"/>
      <c r="GSU6" s="2"/>
      <c r="GSV6" s="2"/>
      <c r="GSW6" s="2"/>
      <c r="GSX6" s="2"/>
      <c r="GSY6" s="2"/>
      <c r="GSZ6" s="2"/>
      <c r="GTA6" s="2"/>
      <c r="GTB6" s="2"/>
      <c r="GTC6" s="2"/>
      <c r="GTD6" s="2"/>
      <c r="GTE6" s="2"/>
      <c r="GTF6" s="2"/>
      <c r="GTG6" s="2"/>
      <c r="GTH6" s="2"/>
      <c r="GTI6" s="2"/>
      <c r="GTJ6" s="2"/>
      <c r="GTK6" s="2"/>
      <c r="GTL6" s="2"/>
      <c r="GTM6" s="2"/>
      <c r="GTN6" s="2"/>
      <c r="GTO6" s="2"/>
      <c r="GTP6" s="2"/>
      <c r="GTQ6" s="2"/>
      <c r="GTR6" s="2"/>
      <c r="GTS6" s="2"/>
      <c r="GTT6" s="2"/>
      <c r="GTU6" s="2"/>
      <c r="GTV6" s="2"/>
      <c r="GTW6" s="2"/>
      <c r="GTX6" s="2"/>
      <c r="GTY6" s="2"/>
      <c r="GTZ6" s="2"/>
      <c r="GUA6" s="2"/>
      <c r="GUB6" s="2"/>
      <c r="GUC6" s="2"/>
      <c r="GUD6" s="2"/>
      <c r="GUE6" s="2"/>
      <c r="GUF6" s="2"/>
      <c r="GUG6" s="2"/>
      <c r="GUH6" s="2"/>
      <c r="GUI6" s="2"/>
      <c r="GUJ6" s="2"/>
      <c r="GUK6" s="2"/>
      <c r="GUL6" s="2"/>
      <c r="GUM6" s="2"/>
      <c r="GUN6" s="2"/>
      <c r="GUO6" s="2"/>
      <c r="GUP6" s="2"/>
      <c r="GUQ6" s="2"/>
      <c r="GUR6" s="2"/>
      <c r="GUS6" s="2"/>
      <c r="GUT6" s="2"/>
      <c r="GUU6" s="2"/>
      <c r="GUV6" s="2"/>
      <c r="GUW6" s="2"/>
      <c r="GUX6" s="2"/>
      <c r="GUY6" s="2"/>
      <c r="GUZ6" s="2"/>
      <c r="GVA6" s="2"/>
      <c r="GVB6" s="2"/>
      <c r="GVC6" s="2"/>
      <c r="GVD6" s="2"/>
      <c r="GVE6" s="2"/>
      <c r="GVF6" s="2"/>
      <c r="GVG6" s="2"/>
      <c r="GVH6" s="2"/>
      <c r="GVI6" s="2"/>
      <c r="GVJ6" s="2"/>
      <c r="GVK6" s="2"/>
      <c r="GVL6" s="2"/>
      <c r="GVM6" s="2"/>
      <c r="GVN6" s="2"/>
      <c r="GVO6" s="2"/>
      <c r="GVP6" s="2"/>
      <c r="GVQ6" s="2"/>
      <c r="GVR6" s="2"/>
      <c r="GVS6" s="2"/>
      <c r="GVT6" s="2"/>
      <c r="GVU6" s="2"/>
      <c r="GVV6" s="2"/>
      <c r="GVW6" s="2"/>
      <c r="GVX6" s="2"/>
      <c r="GVY6" s="2"/>
      <c r="GVZ6" s="2"/>
      <c r="GWA6" s="2"/>
      <c r="GWB6" s="2"/>
      <c r="GWC6" s="2"/>
      <c r="GWD6" s="2"/>
      <c r="GWE6" s="2"/>
      <c r="GWF6" s="2"/>
      <c r="GWG6" s="2"/>
      <c r="GWH6" s="2"/>
      <c r="GWI6" s="2"/>
      <c r="GWJ6" s="2"/>
      <c r="GWK6" s="2"/>
      <c r="GWL6" s="2"/>
      <c r="GWM6" s="2"/>
      <c r="GWN6" s="2"/>
      <c r="GWO6" s="2"/>
      <c r="GWP6" s="2"/>
      <c r="GWQ6" s="2"/>
      <c r="GWR6" s="2"/>
      <c r="GWS6" s="2"/>
      <c r="GWT6" s="2"/>
      <c r="GWU6" s="2"/>
      <c r="GWV6" s="2"/>
      <c r="GWW6" s="2"/>
      <c r="GWX6" s="2"/>
      <c r="GWY6" s="2"/>
      <c r="GWZ6" s="2"/>
      <c r="GXA6" s="2"/>
      <c r="GXB6" s="2"/>
      <c r="GXC6" s="2"/>
      <c r="GXD6" s="2"/>
      <c r="GXE6" s="2"/>
      <c r="GXF6" s="2"/>
      <c r="GXG6" s="2"/>
      <c r="GXH6" s="2"/>
      <c r="GXI6" s="2"/>
      <c r="GXJ6" s="2"/>
      <c r="GXK6" s="2"/>
      <c r="GXL6" s="2"/>
      <c r="GXM6" s="2"/>
      <c r="GXN6" s="2"/>
      <c r="GXO6" s="2"/>
      <c r="GXP6" s="2"/>
      <c r="GXQ6" s="2"/>
      <c r="GXR6" s="2"/>
      <c r="GXS6" s="2"/>
      <c r="GXT6" s="2"/>
      <c r="GXU6" s="2"/>
      <c r="GXV6" s="2"/>
      <c r="GXW6" s="2"/>
      <c r="GXX6" s="2"/>
      <c r="GXY6" s="2"/>
      <c r="GXZ6" s="2"/>
      <c r="GYA6" s="2"/>
      <c r="GYB6" s="2"/>
      <c r="GYC6" s="2"/>
      <c r="GYD6" s="2"/>
      <c r="GYE6" s="2"/>
      <c r="GYF6" s="2"/>
      <c r="GYG6" s="2"/>
      <c r="GYH6" s="2"/>
      <c r="GYI6" s="2"/>
      <c r="GYJ6" s="2"/>
      <c r="GYK6" s="2"/>
      <c r="GYL6" s="2"/>
      <c r="GYM6" s="2"/>
      <c r="GYN6" s="2"/>
      <c r="GYO6" s="2"/>
      <c r="GYP6" s="2"/>
      <c r="GYQ6" s="2"/>
      <c r="GYR6" s="2"/>
      <c r="GYS6" s="2"/>
      <c r="GYT6" s="2"/>
      <c r="GYU6" s="2"/>
      <c r="GYV6" s="2"/>
      <c r="GYW6" s="2"/>
      <c r="GYX6" s="2"/>
      <c r="GYY6" s="2"/>
      <c r="GYZ6" s="2"/>
      <c r="GZA6" s="2"/>
      <c r="GZB6" s="2"/>
      <c r="GZC6" s="2"/>
      <c r="GZD6" s="2"/>
      <c r="GZE6" s="2"/>
      <c r="GZF6" s="2"/>
      <c r="GZG6" s="2"/>
      <c r="GZH6" s="2"/>
      <c r="GZI6" s="2"/>
      <c r="GZJ6" s="2"/>
      <c r="GZK6" s="2"/>
      <c r="GZL6" s="2"/>
      <c r="GZM6" s="2"/>
      <c r="GZN6" s="2"/>
      <c r="GZO6" s="2"/>
      <c r="GZP6" s="2"/>
      <c r="GZQ6" s="2"/>
      <c r="GZR6" s="2"/>
      <c r="GZS6" s="2"/>
      <c r="GZT6" s="2"/>
      <c r="GZU6" s="2"/>
      <c r="GZV6" s="2"/>
      <c r="GZW6" s="2"/>
      <c r="GZX6" s="2"/>
      <c r="GZY6" s="2"/>
      <c r="GZZ6" s="2"/>
      <c r="HAA6" s="2"/>
      <c r="HAB6" s="2"/>
      <c r="HAC6" s="2"/>
      <c r="HAD6" s="2"/>
      <c r="HAE6" s="2"/>
      <c r="HAF6" s="2"/>
      <c r="HAG6" s="2"/>
      <c r="HAH6" s="2"/>
      <c r="HAI6" s="2"/>
      <c r="HAJ6" s="2"/>
      <c r="HAK6" s="2"/>
      <c r="HAL6" s="2"/>
      <c r="HAM6" s="2"/>
      <c r="HAN6" s="2"/>
      <c r="HAO6" s="2"/>
      <c r="HAP6" s="2"/>
      <c r="HAQ6" s="2"/>
      <c r="HAR6" s="2"/>
      <c r="HAS6" s="2"/>
      <c r="HAT6" s="2"/>
      <c r="HAU6" s="2"/>
      <c r="HAV6" s="2"/>
      <c r="HAW6" s="2"/>
      <c r="HAX6" s="2"/>
      <c r="HAY6" s="2"/>
      <c r="HAZ6" s="2"/>
      <c r="HBA6" s="2"/>
      <c r="HBB6" s="2"/>
      <c r="HBC6" s="2"/>
      <c r="HBD6" s="2"/>
      <c r="HBE6" s="2"/>
      <c r="HBF6" s="2"/>
      <c r="HBG6" s="2"/>
      <c r="HBH6" s="2"/>
      <c r="HBI6" s="2"/>
      <c r="HBJ6" s="2"/>
      <c r="HBK6" s="2"/>
      <c r="HBL6" s="2"/>
      <c r="HBM6" s="2"/>
      <c r="HBN6" s="2"/>
      <c r="HBO6" s="2"/>
      <c r="HBP6" s="2"/>
      <c r="HBQ6" s="2"/>
      <c r="HBR6" s="2"/>
      <c r="HBS6" s="2"/>
      <c r="HBT6" s="2"/>
      <c r="HBU6" s="2"/>
      <c r="HBV6" s="2"/>
      <c r="HBW6" s="2"/>
      <c r="HBX6" s="2"/>
      <c r="HBY6" s="2"/>
      <c r="HBZ6" s="2"/>
      <c r="HCA6" s="2"/>
      <c r="HCB6" s="2"/>
      <c r="HCC6" s="2"/>
      <c r="HCD6" s="2"/>
      <c r="HCE6" s="2"/>
      <c r="HCF6" s="2"/>
      <c r="HCG6" s="2"/>
      <c r="HCH6" s="2"/>
      <c r="HCI6" s="2"/>
      <c r="HCJ6" s="2"/>
      <c r="HCK6" s="2"/>
      <c r="HCL6" s="2"/>
      <c r="HCM6" s="2"/>
      <c r="HCN6" s="2"/>
      <c r="HCO6" s="2"/>
      <c r="HCP6" s="2"/>
      <c r="HCQ6" s="2"/>
      <c r="HCR6" s="2"/>
      <c r="HCS6" s="2"/>
      <c r="HCT6" s="2"/>
      <c r="HCU6" s="2"/>
      <c r="HCV6" s="2"/>
      <c r="HCW6" s="2"/>
      <c r="HCX6" s="2"/>
      <c r="HCY6" s="2"/>
      <c r="HCZ6" s="2"/>
      <c r="HDA6" s="2"/>
      <c r="HDB6" s="2"/>
      <c r="HDC6" s="2"/>
      <c r="HDD6" s="2"/>
      <c r="HDE6" s="2"/>
      <c r="HDF6" s="2"/>
      <c r="HDG6" s="2"/>
      <c r="HDH6" s="2"/>
      <c r="HDI6" s="2"/>
      <c r="HDJ6" s="2"/>
      <c r="HDK6" s="2"/>
      <c r="HDL6" s="2"/>
      <c r="HDM6" s="2"/>
      <c r="HDN6" s="2"/>
      <c r="HDO6" s="2"/>
      <c r="HDP6" s="2"/>
      <c r="HDQ6" s="2"/>
      <c r="HDR6" s="2"/>
      <c r="HDS6" s="2"/>
      <c r="HDT6" s="2"/>
      <c r="HDU6" s="2"/>
      <c r="HDV6" s="2"/>
      <c r="HDW6" s="2"/>
      <c r="HDX6" s="2"/>
      <c r="HDY6" s="2"/>
      <c r="HDZ6" s="2"/>
      <c r="HEA6" s="2"/>
      <c r="HEB6" s="2"/>
      <c r="HEC6" s="2"/>
      <c r="HED6" s="2"/>
      <c r="HEE6" s="2"/>
      <c r="HEF6" s="2"/>
      <c r="HEG6" s="2"/>
      <c r="HEH6" s="2"/>
      <c r="HEI6" s="2"/>
      <c r="HEJ6" s="2"/>
      <c r="HEK6" s="2"/>
      <c r="HEL6" s="2"/>
      <c r="HEM6" s="2"/>
      <c r="HEN6" s="2"/>
      <c r="HEO6" s="2"/>
      <c r="HEP6" s="2"/>
      <c r="HEQ6" s="2"/>
      <c r="HER6" s="2"/>
      <c r="HES6" s="2"/>
      <c r="HET6" s="2"/>
      <c r="HEU6" s="2"/>
      <c r="HEV6" s="2"/>
      <c r="HEW6" s="2"/>
      <c r="HEX6" s="2"/>
      <c r="HEY6" s="2"/>
      <c r="HEZ6" s="2"/>
      <c r="HFA6" s="2"/>
      <c r="HFB6" s="2"/>
      <c r="HFC6" s="2"/>
      <c r="HFD6" s="2"/>
      <c r="HFE6" s="2"/>
      <c r="HFF6" s="2"/>
      <c r="HFG6" s="2"/>
      <c r="HFH6" s="2"/>
      <c r="HFI6" s="2"/>
      <c r="HFJ6" s="2"/>
      <c r="HFK6" s="2"/>
      <c r="HFL6" s="2"/>
      <c r="HFM6" s="2"/>
      <c r="HFN6" s="2"/>
      <c r="HFO6" s="2"/>
      <c r="HFP6" s="2"/>
      <c r="HFQ6" s="2"/>
      <c r="HFR6" s="2"/>
      <c r="HFS6" s="2"/>
      <c r="HFT6" s="2"/>
      <c r="HFU6" s="2"/>
      <c r="HFV6" s="2"/>
      <c r="HFW6" s="2"/>
      <c r="HFX6" s="2"/>
      <c r="HFY6" s="2"/>
      <c r="HFZ6" s="2"/>
      <c r="HGA6" s="2"/>
      <c r="HGB6" s="2"/>
      <c r="HGC6" s="2"/>
      <c r="HGD6" s="2"/>
      <c r="HGE6" s="2"/>
      <c r="HGF6" s="2"/>
      <c r="HGG6" s="2"/>
      <c r="HGH6" s="2"/>
      <c r="HGI6" s="2"/>
      <c r="HGJ6" s="2"/>
      <c r="HGK6" s="2"/>
      <c r="HGL6" s="2"/>
      <c r="HGM6" s="2"/>
      <c r="HGN6" s="2"/>
      <c r="HGO6" s="2"/>
      <c r="HGP6" s="2"/>
      <c r="HGQ6" s="2"/>
      <c r="HGR6" s="2"/>
      <c r="HGS6" s="2"/>
      <c r="HGT6" s="2"/>
      <c r="HGU6" s="2"/>
      <c r="HGV6" s="2"/>
      <c r="HGW6" s="2"/>
      <c r="HGX6" s="2"/>
      <c r="HGY6" s="2"/>
      <c r="HGZ6" s="2"/>
      <c r="HHA6" s="2"/>
      <c r="HHB6" s="2"/>
      <c r="HHC6" s="2"/>
      <c r="HHD6" s="2"/>
      <c r="HHE6" s="2"/>
      <c r="HHF6" s="2"/>
      <c r="HHG6" s="2"/>
      <c r="HHH6" s="2"/>
      <c r="HHI6" s="2"/>
      <c r="HHJ6" s="2"/>
      <c r="HHK6" s="2"/>
      <c r="HHL6" s="2"/>
      <c r="HHM6" s="2"/>
      <c r="HHN6" s="2"/>
      <c r="HHO6" s="2"/>
      <c r="HHP6" s="2"/>
      <c r="HHQ6" s="2"/>
      <c r="HHR6" s="2"/>
      <c r="HHS6" s="2"/>
      <c r="HHT6" s="2"/>
      <c r="HHU6" s="2"/>
      <c r="HHV6" s="2"/>
      <c r="HHW6" s="2"/>
      <c r="HHX6" s="2"/>
      <c r="HHY6" s="2"/>
      <c r="HHZ6" s="2"/>
      <c r="HIA6" s="2"/>
      <c r="HIB6" s="2"/>
      <c r="HIC6" s="2"/>
      <c r="HID6" s="2"/>
      <c r="HIE6" s="2"/>
      <c r="HIF6" s="2"/>
      <c r="HIG6" s="2"/>
      <c r="HIH6" s="2"/>
      <c r="HII6" s="2"/>
      <c r="HIJ6" s="2"/>
      <c r="HIK6" s="2"/>
      <c r="HIL6" s="2"/>
      <c r="HIM6" s="2"/>
      <c r="HIN6" s="2"/>
      <c r="HIO6" s="2"/>
      <c r="HIP6" s="2"/>
      <c r="HIQ6" s="2"/>
      <c r="HIR6" s="2"/>
      <c r="HIS6" s="2"/>
      <c r="HIT6" s="2"/>
      <c r="HIU6" s="2"/>
      <c r="HIV6" s="2"/>
      <c r="HIW6" s="2"/>
      <c r="HIX6" s="2"/>
      <c r="HIY6" s="2"/>
      <c r="HIZ6" s="2"/>
      <c r="HJA6" s="2"/>
      <c r="HJB6" s="2"/>
      <c r="HJC6" s="2"/>
      <c r="HJD6" s="2"/>
      <c r="HJE6" s="2"/>
      <c r="HJF6" s="2"/>
      <c r="HJG6" s="2"/>
      <c r="HJH6" s="2"/>
      <c r="HJI6" s="2"/>
      <c r="HJJ6" s="2"/>
      <c r="HJK6" s="2"/>
      <c r="HJL6" s="2"/>
      <c r="HJM6" s="2"/>
      <c r="HJN6" s="2"/>
      <c r="HJO6" s="2"/>
      <c r="HJP6" s="2"/>
      <c r="HJQ6" s="2"/>
      <c r="HJR6" s="2"/>
      <c r="HJS6" s="2"/>
      <c r="HJT6" s="2"/>
      <c r="HJU6" s="2"/>
      <c r="HJV6" s="2"/>
      <c r="HJW6" s="2"/>
      <c r="HJX6" s="2"/>
      <c r="HJY6" s="2"/>
      <c r="HJZ6" s="2"/>
      <c r="HKA6" s="2"/>
      <c r="HKB6" s="2"/>
      <c r="HKC6" s="2"/>
      <c r="HKD6" s="2"/>
      <c r="HKE6" s="2"/>
      <c r="HKF6" s="2"/>
      <c r="HKG6" s="2"/>
      <c r="HKH6" s="2"/>
      <c r="HKI6" s="2"/>
      <c r="HKJ6" s="2"/>
      <c r="HKK6" s="2"/>
      <c r="HKL6" s="2"/>
      <c r="HKM6" s="2"/>
      <c r="HKN6" s="2"/>
      <c r="HKO6" s="2"/>
      <c r="HKP6" s="2"/>
      <c r="HKQ6" s="2"/>
      <c r="HKR6" s="2"/>
      <c r="HKS6" s="2"/>
      <c r="HKT6" s="2"/>
      <c r="HKU6" s="2"/>
      <c r="HKV6" s="2"/>
      <c r="HKW6" s="2"/>
      <c r="HKX6" s="2"/>
      <c r="HKY6" s="2"/>
      <c r="HKZ6" s="2"/>
      <c r="HLA6" s="2"/>
      <c r="HLB6" s="2"/>
      <c r="HLC6" s="2"/>
      <c r="HLD6" s="2"/>
      <c r="HLE6" s="2"/>
      <c r="HLF6" s="2"/>
      <c r="HLG6" s="2"/>
      <c r="HLH6" s="2"/>
      <c r="HLI6" s="2"/>
      <c r="HLJ6" s="2"/>
      <c r="HLK6" s="2"/>
      <c r="HLL6" s="2"/>
      <c r="HLM6" s="2"/>
      <c r="HLN6" s="2"/>
      <c r="HLO6" s="2"/>
      <c r="HLP6" s="2"/>
      <c r="HLQ6" s="2"/>
      <c r="HLR6" s="2"/>
      <c r="HLS6" s="2"/>
      <c r="HLT6" s="2"/>
      <c r="HLU6" s="2"/>
      <c r="HLV6" s="2"/>
      <c r="HLW6" s="2"/>
      <c r="HLX6" s="2"/>
      <c r="HLY6" s="2"/>
      <c r="HLZ6" s="2"/>
      <c r="HMA6" s="2"/>
      <c r="HMB6" s="2"/>
      <c r="HMC6" s="2"/>
      <c r="HMD6" s="2"/>
      <c r="HME6" s="2"/>
      <c r="HMF6" s="2"/>
      <c r="HMG6" s="2"/>
      <c r="HMH6" s="2"/>
      <c r="HMI6" s="2"/>
      <c r="HMJ6" s="2"/>
      <c r="HMK6" s="2"/>
      <c r="HML6" s="2"/>
      <c r="HMM6" s="2"/>
      <c r="HMN6" s="2"/>
      <c r="HMO6" s="2"/>
      <c r="HMP6" s="2"/>
      <c r="HMQ6" s="2"/>
      <c r="HMR6" s="2"/>
      <c r="HMS6" s="2"/>
      <c r="HMT6" s="2"/>
      <c r="HMU6" s="2"/>
      <c r="HMV6" s="2"/>
      <c r="HMW6" s="2"/>
      <c r="HMX6" s="2"/>
      <c r="HMY6" s="2"/>
      <c r="HMZ6" s="2"/>
      <c r="HNA6" s="2"/>
      <c r="HNB6" s="2"/>
      <c r="HNC6" s="2"/>
      <c r="HND6" s="2"/>
      <c r="HNE6" s="2"/>
      <c r="HNF6" s="2"/>
      <c r="HNG6" s="2"/>
      <c r="HNH6" s="2"/>
      <c r="HNI6" s="2"/>
      <c r="HNJ6" s="2"/>
      <c r="HNK6" s="2"/>
      <c r="HNL6" s="2"/>
      <c r="HNM6" s="2"/>
      <c r="HNN6" s="2"/>
      <c r="HNO6" s="2"/>
      <c r="HNP6" s="2"/>
      <c r="HNQ6" s="2"/>
      <c r="HNR6" s="2"/>
      <c r="HNS6" s="2"/>
      <c r="HNT6" s="2"/>
      <c r="HNU6" s="2"/>
      <c r="HNV6" s="2"/>
      <c r="HNW6" s="2"/>
      <c r="HNX6" s="2"/>
      <c r="HNY6" s="2"/>
      <c r="HNZ6" s="2"/>
      <c r="HOA6" s="2"/>
      <c r="HOB6" s="2"/>
      <c r="HOC6" s="2"/>
      <c r="HOD6" s="2"/>
      <c r="HOE6" s="2"/>
      <c r="HOF6" s="2"/>
      <c r="HOG6" s="2"/>
      <c r="HOH6" s="2"/>
      <c r="HOI6" s="2"/>
      <c r="HOJ6" s="2"/>
      <c r="HOK6" s="2"/>
      <c r="HOL6" s="2"/>
      <c r="HOM6" s="2"/>
      <c r="HON6" s="2"/>
      <c r="HOO6" s="2"/>
      <c r="HOP6" s="2"/>
      <c r="HOQ6" s="2"/>
      <c r="HOR6" s="2"/>
      <c r="HOS6" s="2"/>
      <c r="HOT6" s="2"/>
      <c r="HOU6" s="2"/>
      <c r="HOV6" s="2"/>
      <c r="HOW6" s="2"/>
      <c r="HOX6" s="2"/>
      <c r="HOY6" s="2"/>
      <c r="HOZ6" s="2"/>
      <c r="HPA6" s="2"/>
      <c r="HPB6" s="2"/>
      <c r="HPC6" s="2"/>
      <c r="HPD6" s="2"/>
      <c r="HPE6" s="2"/>
      <c r="HPF6" s="2"/>
      <c r="HPG6" s="2"/>
      <c r="HPH6" s="2"/>
      <c r="HPI6" s="2"/>
      <c r="HPJ6" s="2"/>
      <c r="HPK6" s="2"/>
      <c r="HPL6" s="2"/>
      <c r="HPM6" s="2"/>
      <c r="HPN6" s="2"/>
      <c r="HPO6" s="2"/>
      <c r="HPP6" s="2"/>
      <c r="HPQ6" s="2"/>
      <c r="HPR6" s="2"/>
      <c r="HPS6" s="2"/>
      <c r="HPT6" s="2"/>
      <c r="HPU6" s="2"/>
      <c r="HPV6" s="2"/>
      <c r="HPW6" s="2"/>
      <c r="HPX6" s="2"/>
      <c r="HPY6" s="2"/>
      <c r="HPZ6" s="2"/>
      <c r="HQA6" s="2"/>
      <c r="HQB6" s="2"/>
      <c r="HQC6" s="2"/>
      <c r="HQD6" s="2"/>
      <c r="HQE6" s="2"/>
      <c r="HQF6" s="2"/>
      <c r="HQG6" s="2"/>
      <c r="HQH6" s="2"/>
      <c r="HQI6" s="2"/>
      <c r="HQJ6" s="2"/>
      <c r="HQK6" s="2"/>
      <c r="HQL6" s="2"/>
      <c r="HQM6" s="2"/>
      <c r="HQN6" s="2"/>
      <c r="HQO6" s="2"/>
      <c r="HQP6" s="2"/>
      <c r="HQQ6" s="2"/>
      <c r="HQR6" s="2"/>
      <c r="HQS6" s="2"/>
      <c r="HQT6" s="2"/>
      <c r="HQU6" s="2"/>
      <c r="HQV6" s="2"/>
      <c r="HQW6" s="2"/>
      <c r="HQX6" s="2"/>
      <c r="HQY6" s="2"/>
      <c r="HQZ6" s="2"/>
      <c r="HRA6" s="2"/>
      <c r="HRB6" s="2"/>
      <c r="HRC6" s="2"/>
      <c r="HRD6" s="2"/>
      <c r="HRE6" s="2"/>
      <c r="HRF6" s="2"/>
      <c r="HRG6" s="2"/>
      <c r="HRH6" s="2"/>
      <c r="HRI6" s="2"/>
      <c r="HRJ6" s="2"/>
      <c r="HRK6" s="2"/>
      <c r="HRL6" s="2"/>
      <c r="HRM6" s="2"/>
      <c r="HRN6" s="2"/>
      <c r="HRO6" s="2"/>
      <c r="HRP6" s="2"/>
      <c r="HRQ6" s="2"/>
      <c r="HRR6" s="2"/>
      <c r="HRS6" s="2"/>
      <c r="HRT6" s="2"/>
      <c r="HRU6" s="2"/>
      <c r="HRV6" s="2"/>
      <c r="HRW6" s="2"/>
      <c r="HRX6" s="2"/>
      <c r="HRY6" s="2"/>
      <c r="HRZ6" s="2"/>
      <c r="HSA6" s="2"/>
      <c r="HSB6" s="2"/>
      <c r="HSC6" s="2"/>
      <c r="HSD6" s="2"/>
      <c r="HSE6" s="2"/>
      <c r="HSF6" s="2"/>
      <c r="HSG6" s="2"/>
      <c r="HSH6" s="2"/>
      <c r="HSI6" s="2"/>
      <c r="HSJ6" s="2"/>
      <c r="HSK6" s="2"/>
      <c r="HSL6" s="2"/>
      <c r="HSM6" s="2"/>
      <c r="HSN6" s="2"/>
      <c r="HSO6" s="2"/>
      <c r="HSP6" s="2"/>
      <c r="HSQ6" s="2"/>
      <c r="HSR6" s="2"/>
      <c r="HSS6" s="2"/>
      <c r="HST6" s="2"/>
      <c r="HSU6" s="2"/>
      <c r="HSV6" s="2"/>
      <c r="HSW6" s="2"/>
      <c r="HSX6" s="2"/>
      <c r="HSY6" s="2"/>
      <c r="HSZ6" s="2"/>
      <c r="HTA6" s="2"/>
      <c r="HTB6" s="2"/>
      <c r="HTC6" s="2"/>
      <c r="HTD6" s="2"/>
      <c r="HTE6" s="2"/>
      <c r="HTF6" s="2"/>
      <c r="HTG6" s="2"/>
      <c r="HTH6" s="2"/>
      <c r="HTI6" s="2"/>
      <c r="HTJ6" s="2"/>
      <c r="HTK6" s="2"/>
      <c r="HTL6" s="2"/>
      <c r="HTM6" s="2"/>
      <c r="HTN6" s="2"/>
      <c r="HTO6" s="2"/>
      <c r="HTP6" s="2"/>
      <c r="HTQ6" s="2"/>
      <c r="HTR6" s="2"/>
      <c r="HTS6" s="2"/>
      <c r="HTT6" s="2"/>
      <c r="HTU6" s="2"/>
      <c r="HTV6" s="2"/>
      <c r="HTW6" s="2"/>
      <c r="HTX6" s="2"/>
      <c r="HTY6" s="2"/>
      <c r="HTZ6" s="2"/>
      <c r="HUA6" s="2"/>
      <c r="HUB6" s="2"/>
      <c r="HUC6" s="2"/>
      <c r="HUD6" s="2"/>
      <c r="HUE6" s="2"/>
      <c r="HUF6" s="2"/>
      <c r="HUG6" s="2"/>
      <c r="HUH6" s="2"/>
      <c r="HUI6" s="2"/>
      <c r="HUJ6" s="2"/>
      <c r="HUK6" s="2"/>
      <c r="HUL6" s="2"/>
      <c r="HUM6" s="2"/>
      <c r="HUN6" s="2"/>
      <c r="HUO6" s="2"/>
      <c r="HUP6" s="2"/>
      <c r="HUQ6" s="2"/>
      <c r="HUR6" s="2"/>
      <c r="HUS6" s="2"/>
      <c r="HUT6" s="2"/>
      <c r="HUU6" s="2"/>
      <c r="HUV6" s="2"/>
      <c r="HUW6" s="2"/>
      <c r="HUX6" s="2"/>
      <c r="HUY6" s="2"/>
      <c r="HUZ6" s="2"/>
      <c r="HVA6" s="2"/>
      <c r="HVB6" s="2"/>
      <c r="HVC6" s="2"/>
      <c r="HVD6" s="2"/>
      <c r="HVE6" s="2"/>
      <c r="HVF6" s="2"/>
      <c r="HVG6" s="2"/>
      <c r="HVH6" s="2"/>
      <c r="HVI6" s="2"/>
      <c r="HVJ6" s="2"/>
      <c r="HVK6" s="2"/>
      <c r="HVL6" s="2"/>
      <c r="HVM6" s="2"/>
      <c r="HVN6" s="2"/>
      <c r="HVO6" s="2"/>
      <c r="HVP6" s="2"/>
      <c r="HVQ6" s="2"/>
      <c r="HVR6" s="2"/>
      <c r="HVS6" s="2"/>
      <c r="HVT6" s="2"/>
      <c r="HVU6" s="2"/>
      <c r="HVV6" s="2"/>
      <c r="HVW6" s="2"/>
      <c r="HVX6" s="2"/>
      <c r="HVY6" s="2"/>
      <c r="HVZ6" s="2"/>
      <c r="HWA6" s="2"/>
      <c r="HWB6" s="2"/>
      <c r="HWC6" s="2"/>
      <c r="HWD6" s="2"/>
      <c r="HWE6" s="2"/>
      <c r="HWF6" s="2"/>
      <c r="HWG6" s="2"/>
      <c r="HWH6" s="2"/>
      <c r="HWI6" s="2"/>
      <c r="HWJ6" s="2"/>
      <c r="HWK6" s="2"/>
      <c r="HWL6" s="2"/>
      <c r="HWM6" s="2"/>
      <c r="HWN6" s="2"/>
      <c r="HWO6" s="2"/>
      <c r="HWP6" s="2"/>
      <c r="HWQ6" s="2"/>
      <c r="HWR6" s="2"/>
      <c r="HWS6" s="2"/>
      <c r="HWT6" s="2"/>
      <c r="HWU6" s="2"/>
      <c r="HWV6" s="2"/>
      <c r="HWW6" s="2"/>
      <c r="HWX6" s="2"/>
      <c r="HWY6" s="2"/>
      <c r="HWZ6" s="2"/>
      <c r="HXA6" s="2"/>
      <c r="HXB6" s="2"/>
      <c r="HXC6" s="2"/>
      <c r="HXD6" s="2"/>
      <c r="HXE6" s="2"/>
      <c r="HXF6" s="2"/>
      <c r="HXG6" s="2"/>
      <c r="HXH6" s="2"/>
      <c r="HXI6" s="2"/>
      <c r="HXJ6" s="2"/>
      <c r="HXK6" s="2"/>
      <c r="HXL6" s="2"/>
      <c r="HXM6" s="2"/>
      <c r="HXN6" s="2"/>
      <c r="HXO6" s="2"/>
      <c r="HXP6" s="2"/>
      <c r="HXQ6" s="2"/>
      <c r="HXR6" s="2"/>
      <c r="HXS6" s="2"/>
      <c r="HXT6" s="2"/>
      <c r="HXU6" s="2"/>
      <c r="HXV6" s="2"/>
      <c r="HXW6" s="2"/>
      <c r="HXX6" s="2"/>
      <c r="HXY6" s="2"/>
      <c r="HXZ6" s="2"/>
      <c r="HYA6" s="2"/>
      <c r="HYB6" s="2"/>
      <c r="HYC6" s="2"/>
      <c r="HYD6" s="2"/>
      <c r="HYE6" s="2"/>
      <c r="HYF6" s="2"/>
      <c r="HYG6" s="2"/>
      <c r="HYH6" s="2"/>
      <c r="HYI6" s="2"/>
      <c r="HYJ6" s="2"/>
      <c r="HYK6" s="2"/>
      <c r="HYL6" s="2"/>
      <c r="HYM6" s="2"/>
      <c r="HYN6" s="2"/>
      <c r="HYO6" s="2"/>
      <c r="HYP6" s="2"/>
      <c r="HYQ6" s="2"/>
      <c r="HYR6" s="2"/>
      <c r="HYS6" s="2"/>
      <c r="HYT6" s="2"/>
      <c r="HYU6" s="2"/>
      <c r="HYV6" s="2"/>
      <c r="HYW6" s="2"/>
      <c r="HYX6" s="2"/>
      <c r="HYY6" s="2"/>
      <c r="HYZ6" s="2"/>
      <c r="HZA6" s="2"/>
      <c r="HZB6" s="2"/>
      <c r="HZC6" s="2"/>
      <c r="HZD6" s="2"/>
      <c r="HZE6" s="2"/>
      <c r="HZF6" s="2"/>
      <c r="HZG6" s="2"/>
      <c r="HZH6" s="2"/>
      <c r="HZI6" s="2"/>
      <c r="HZJ6" s="2"/>
      <c r="HZK6" s="2"/>
      <c r="HZL6" s="2"/>
      <c r="HZM6" s="2"/>
      <c r="HZN6" s="2"/>
      <c r="HZO6" s="2"/>
      <c r="HZP6" s="2"/>
      <c r="HZQ6" s="2"/>
      <c r="HZR6" s="2"/>
      <c r="HZS6" s="2"/>
      <c r="HZT6" s="2"/>
      <c r="HZU6" s="2"/>
      <c r="HZV6" s="2"/>
      <c r="HZW6" s="2"/>
      <c r="HZX6" s="2"/>
      <c r="HZY6" s="2"/>
      <c r="HZZ6" s="2"/>
      <c r="IAA6" s="2"/>
      <c r="IAB6" s="2"/>
      <c r="IAC6" s="2"/>
      <c r="IAD6" s="2"/>
      <c r="IAE6" s="2"/>
      <c r="IAF6" s="2"/>
      <c r="IAG6" s="2"/>
      <c r="IAH6" s="2"/>
      <c r="IAI6" s="2"/>
      <c r="IAJ6" s="2"/>
      <c r="IAK6" s="2"/>
      <c r="IAL6" s="2"/>
      <c r="IAM6" s="2"/>
      <c r="IAN6" s="2"/>
      <c r="IAO6" s="2"/>
      <c r="IAP6" s="2"/>
      <c r="IAQ6" s="2"/>
      <c r="IAR6" s="2"/>
      <c r="IAS6" s="2"/>
      <c r="IAT6" s="2"/>
      <c r="IAU6" s="2"/>
      <c r="IAV6" s="2"/>
      <c r="IAW6" s="2"/>
      <c r="IAX6" s="2"/>
      <c r="IAY6" s="2"/>
      <c r="IAZ6" s="2"/>
      <c r="IBA6" s="2"/>
      <c r="IBB6" s="2"/>
      <c r="IBC6" s="2"/>
      <c r="IBD6" s="2"/>
      <c r="IBE6" s="2"/>
      <c r="IBF6" s="2"/>
      <c r="IBG6" s="2"/>
      <c r="IBH6" s="2"/>
      <c r="IBI6" s="2"/>
      <c r="IBJ6" s="2"/>
      <c r="IBK6" s="2"/>
      <c r="IBL6" s="2"/>
      <c r="IBM6" s="2"/>
      <c r="IBN6" s="2"/>
      <c r="IBO6" s="2"/>
      <c r="IBP6" s="2"/>
      <c r="IBQ6" s="2"/>
      <c r="IBR6" s="2"/>
      <c r="IBS6" s="2"/>
      <c r="IBT6" s="2"/>
      <c r="IBU6" s="2"/>
      <c r="IBV6" s="2"/>
      <c r="IBW6" s="2"/>
      <c r="IBX6" s="2"/>
      <c r="IBY6" s="2"/>
      <c r="IBZ6" s="2"/>
      <c r="ICA6" s="2"/>
      <c r="ICB6" s="2"/>
      <c r="ICC6" s="2"/>
      <c r="ICD6" s="2"/>
      <c r="ICE6" s="2"/>
      <c r="ICF6" s="2"/>
      <c r="ICG6" s="2"/>
      <c r="ICH6" s="2"/>
      <c r="ICI6" s="2"/>
      <c r="ICJ6" s="2"/>
      <c r="ICK6" s="2"/>
      <c r="ICL6" s="2"/>
      <c r="ICM6" s="2"/>
      <c r="ICN6" s="2"/>
      <c r="ICO6" s="2"/>
      <c r="ICP6" s="2"/>
      <c r="ICQ6" s="2"/>
      <c r="ICR6" s="2"/>
      <c r="ICS6" s="2"/>
      <c r="ICT6" s="2"/>
      <c r="ICU6" s="2"/>
      <c r="ICV6" s="2"/>
      <c r="ICW6" s="2"/>
      <c r="ICX6" s="2"/>
      <c r="ICY6" s="2"/>
      <c r="ICZ6" s="2"/>
      <c r="IDA6" s="2"/>
      <c r="IDB6" s="2"/>
      <c r="IDC6" s="2"/>
      <c r="IDD6" s="2"/>
      <c r="IDE6" s="2"/>
      <c r="IDF6" s="2"/>
      <c r="IDG6" s="2"/>
      <c r="IDH6" s="2"/>
      <c r="IDI6" s="2"/>
      <c r="IDJ6" s="2"/>
      <c r="IDK6" s="2"/>
      <c r="IDL6" s="2"/>
      <c r="IDM6" s="2"/>
      <c r="IDN6" s="2"/>
      <c r="IDO6" s="2"/>
      <c r="IDP6" s="2"/>
      <c r="IDQ6" s="2"/>
      <c r="IDR6" s="2"/>
      <c r="IDS6" s="2"/>
      <c r="IDT6" s="2"/>
      <c r="IDU6" s="2"/>
      <c r="IDV6" s="2"/>
      <c r="IDW6" s="2"/>
      <c r="IDX6" s="2"/>
      <c r="IDY6" s="2"/>
      <c r="IDZ6" s="2"/>
      <c r="IEA6" s="2"/>
      <c r="IEB6" s="2"/>
      <c r="IEC6" s="2"/>
      <c r="IED6" s="2"/>
      <c r="IEE6" s="2"/>
      <c r="IEF6" s="2"/>
      <c r="IEG6" s="2"/>
      <c r="IEH6" s="2"/>
      <c r="IEI6" s="2"/>
      <c r="IEJ6" s="2"/>
      <c r="IEK6" s="2"/>
      <c r="IEL6" s="2"/>
      <c r="IEM6" s="2"/>
      <c r="IEN6" s="2"/>
      <c r="IEO6" s="2"/>
      <c r="IEP6" s="2"/>
      <c r="IEQ6" s="2"/>
      <c r="IER6" s="2"/>
      <c r="IES6" s="2"/>
      <c r="IET6" s="2"/>
      <c r="IEU6" s="2"/>
      <c r="IEV6" s="2"/>
      <c r="IEW6" s="2"/>
      <c r="IEX6" s="2"/>
      <c r="IEY6" s="2"/>
      <c r="IEZ6" s="2"/>
      <c r="IFA6" s="2"/>
      <c r="IFB6" s="2"/>
      <c r="IFC6" s="2"/>
      <c r="IFD6" s="2"/>
      <c r="IFE6" s="2"/>
      <c r="IFF6" s="2"/>
      <c r="IFG6" s="2"/>
      <c r="IFH6" s="2"/>
      <c r="IFI6" s="2"/>
      <c r="IFJ6" s="2"/>
      <c r="IFK6" s="2"/>
      <c r="IFL6" s="2"/>
      <c r="IFM6" s="2"/>
      <c r="IFN6" s="2"/>
      <c r="IFO6" s="2"/>
      <c r="IFP6" s="2"/>
      <c r="IFQ6" s="2"/>
      <c r="IFR6" s="2"/>
      <c r="IFS6" s="2"/>
      <c r="IFT6" s="2"/>
      <c r="IFU6" s="2"/>
      <c r="IFV6" s="2"/>
      <c r="IFW6" s="2"/>
      <c r="IFX6" s="2"/>
      <c r="IFY6" s="2"/>
      <c r="IFZ6" s="2"/>
      <c r="IGA6" s="2"/>
      <c r="IGB6" s="2"/>
      <c r="IGC6" s="2"/>
      <c r="IGD6" s="2"/>
      <c r="IGE6" s="2"/>
      <c r="IGF6" s="2"/>
      <c r="IGG6" s="2"/>
      <c r="IGH6" s="2"/>
      <c r="IGI6" s="2"/>
      <c r="IGJ6" s="2"/>
      <c r="IGK6" s="2"/>
      <c r="IGL6" s="2"/>
      <c r="IGM6" s="2"/>
      <c r="IGN6" s="2"/>
      <c r="IGO6" s="2"/>
      <c r="IGP6" s="2"/>
      <c r="IGQ6" s="2"/>
      <c r="IGR6" s="2"/>
      <c r="IGS6" s="2"/>
      <c r="IGT6" s="2"/>
      <c r="IGU6" s="2"/>
      <c r="IGV6" s="2"/>
      <c r="IGW6" s="2"/>
      <c r="IGX6" s="2"/>
      <c r="IGY6" s="2"/>
      <c r="IGZ6" s="2"/>
      <c r="IHA6" s="2"/>
      <c r="IHB6" s="2"/>
      <c r="IHC6" s="2"/>
      <c r="IHD6" s="2"/>
      <c r="IHE6" s="2"/>
      <c r="IHF6" s="2"/>
      <c r="IHG6" s="2"/>
      <c r="IHH6" s="2"/>
      <c r="IHI6" s="2"/>
      <c r="IHJ6" s="2"/>
      <c r="IHK6" s="2"/>
      <c r="IHL6" s="2"/>
      <c r="IHM6" s="2"/>
      <c r="IHN6" s="2"/>
      <c r="IHO6" s="2"/>
      <c r="IHP6" s="2"/>
      <c r="IHQ6" s="2"/>
      <c r="IHR6" s="2"/>
      <c r="IHS6" s="2"/>
      <c r="IHT6" s="2"/>
      <c r="IHU6" s="2"/>
      <c r="IHV6" s="2"/>
      <c r="IHW6" s="2"/>
      <c r="IHX6" s="2"/>
      <c r="IHY6" s="2"/>
      <c r="IHZ6" s="2"/>
      <c r="IIA6" s="2"/>
      <c r="IIB6" s="2"/>
      <c r="IIC6" s="2"/>
      <c r="IID6" s="2"/>
      <c r="IIE6" s="2"/>
      <c r="IIF6" s="2"/>
      <c r="IIG6" s="2"/>
      <c r="IIH6" s="2"/>
      <c r="III6" s="2"/>
      <c r="IIJ6" s="2"/>
      <c r="IIK6" s="2"/>
      <c r="IIL6" s="2"/>
      <c r="IIM6" s="2"/>
      <c r="IIN6" s="2"/>
      <c r="IIO6" s="2"/>
      <c r="IIP6" s="2"/>
      <c r="IIQ6" s="2"/>
      <c r="IIR6" s="2"/>
      <c r="IIS6" s="2"/>
      <c r="IIT6" s="2"/>
      <c r="IIU6" s="2"/>
      <c r="IIV6" s="2"/>
      <c r="IIW6" s="2"/>
      <c r="IIX6" s="2"/>
      <c r="IIY6" s="2"/>
      <c r="IIZ6" s="2"/>
      <c r="IJA6" s="2"/>
      <c r="IJB6" s="2"/>
      <c r="IJC6" s="2"/>
      <c r="IJD6" s="2"/>
      <c r="IJE6" s="2"/>
      <c r="IJF6" s="2"/>
      <c r="IJG6" s="2"/>
      <c r="IJH6" s="2"/>
      <c r="IJI6" s="2"/>
      <c r="IJJ6" s="2"/>
      <c r="IJK6" s="2"/>
      <c r="IJL6" s="2"/>
      <c r="IJM6" s="2"/>
      <c r="IJN6" s="2"/>
      <c r="IJO6" s="2"/>
      <c r="IJP6" s="2"/>
      <c r="IJQ6" s="2"/>
      <c r="IJR6" s="2"/>
      <c r="IJS6" s="2"/>
      <c r="IJT6" s="2"/>
      <c r="IJU6" s="2"/>
      <c r="IJV6" s="2"/>
      <c r="IJW6" s="2"/>
      <c r="IJX6" s="2"/>
      <c r="IJY6" s="2"/>
      <c r="IJZ6" s="2"/>
      <c r="IKA6" s="2"/>
      <c r="IKB6" s="2"/>
      <c r="IKC6" s="2"/>
      <c r="IKD6" s="2"/>
      <c r="IKE6" s="2"/>
      <c r="IKF6" s="2"/>
      <c r="IKG6" s="2"/>
      <c r="IKH6" s="2"/>
      <c r="IKI6" s="2"/>
      <c r="IKJ6" s="2"/>
      <c r="IKK6" s="2"/>
      <c r="IKL6" s="2"/>
      <c r="IKM6" s="2"/>
      <c r="IKN6" s="2"/>
      <c r="IKO6" s="2"/>
      <c r="IKP6" s="2"/>
      <c r="IKQ6" s="2"/>
      <c r="IKR6" s="2"/>
      <c r="IKS6" s="2"/>
      <c r="IKT6" s="2"/>
      <c r="IKU6" s="2"/>
      <c r="IKV6" s="2"/>
      <c r="IKW6" s="2"/>
      <c r="IKX6" s="2"/>
      <c r="IKY6" s="2"/>
      <c r="IKZ6" s="2"/>
      <c r="ILA6" s="2"/>
      <c r="ILB6" s="2"/>
      <c r="ILC6" s="2"/>
      <c r="ILD6" s="2"/>
      <c r="ILE6" s="2"/>
      <c r="ILF6" s="2"/>
      <c r="ILG6" s="2"/>
      <c r="ILH6" s="2"/>
      <c r="ILI6" s="2"/>
      <c r="ILJ6" s="2"/>
      <c r="ILK6" s="2"/>
      <c r="ILL6" s="2"/>
      <c r="ILM6" s="2"/>
      <c r="ILN6" s="2"/>
      <c r="ILO6" s="2"/>
      <c r="ILP6" s="2"/>
      <c r="ILQ6" s="2"/>
      <c r="ILR6" s="2"/>
      <c r="ILS6" s="2"/>
      <c r="ILT6" s="2"/>
      <c r="ILU6" s="2"/>
      <c r="ILV6" s="2"/>
      <c r="ILW6" s="2"/>
      <c r="ILX6" s="2"/>
      <c r="ILY6" s="2"/>
      <c r="ILZ6" s="2"/>
      <c r="IMA6" s="2"/>
      <c r="IMB6" s="2"/>
      <c r="IMC6" s="2"/>
      <c r="IMD6" s="2"/>
      <c r="IME6" s="2"/>
      <c r="IMF6" s="2"/>
      <c r="IMG6" s="2"/>
      <c r="IMH6" s="2"/>
      <c r="IMI6" s="2"/>
      <c r="IMJ6" s="2"/>
      <c r="IMK6" s="2"/>
      <c r="IML6" s="2"/>
      <c r="IMM6" s="2"/>
      <c r="IMN6" s="2"/>
      <c r="IMO6" s="2"/>
      <c r="IMP6" s="2"/>
      <c r="IMQ6" s="2"/>
      <c r="IMR6" s="2"/>
      <c r="IMS6" s="2"/>
      <c r="IMT6" s="2"/>
      <c r="IMU6" s="2"/>
      <c r="IMV6" s="2"/>
      <c r="IMW6" s="2"/>
      <c r="IMX6" s="2"/>
      <c r="IMY6" s="2"/>
      <c r="IMZ6" s="2"/>
      <c r="INA6" s="2"/>
      <c r="INB6" s="2"/>
      <c r="INC6" s="2"/>
      <c r="IND6" s="2"/>
      <c r="INE6" s="2"/>
      <c r="INF6" s="2"/>
      <c r="ING6" s="2"/>
      <c r="INH6" s="2"/>
      <c r="INI6" s="2"/>
      <c r="INJ6" s="2"/>
      <c r="INK6" s="2"/>
      <c r="INL6" s="2"/>
      <c r="INM6" s="2"/>
      <c r="INN6" s="2"/>
      <c r="INO6" s="2"/>
      <c r="INP6" s="2"/>
      <c r="INQ6" s="2"/>
      <c r="INR6" s="2"/>
      <c r="INS6" s="2"/>
      <c r="INT6" s="2"/>
      <c r="INU6" s="2"/>
      <c r="INV6" s="2"/>
      <c r="INW6" s="2"/>
      <c r="INX6" s="2"/>
      <c r="INY6" s="2"/>
      <c r="INZ6" s="2"/>
      <c r="IOA6" s="2"/>
      <c r="IOB6" s="2"/>
      <c r="IOC6" s="2"/>
      <c r="IOD6" s="2"/>
      <c r="IOE6" s="2"/>
      <c r="IOF6" s="2"/>
      <c r="IOG6" s="2"/>
      <c r="IOH6" s="2"/>
      <c r="IOI6" s="2"/>
      <c r="IOJ6" s="2"/>
      <c r="IOK6" s="2"/>
      <c r="IOL6" s="2"/>
      <c r="IOM6" s="2"/>
      <c r="ION6" s="2"/>
      <c r="IOO6" s="2"/>
      <c r="IOP6" s="2"/>
      <c r="IOQ6" s="2"/>
      <c r="IOR6" s="2"/>
      <c r="IOS6" s="2"/>
      <c r="IOT6" s="2"/>
      <c r="IOU6" s="2"/>
      <c r="IOV6" s="2"/>
      <c r="IOW6" s="2"/>
      <c r="IOX6" s="2"/>
      <c r="IOY6" s="2"/>
      <c r="IOZ6" s="2"/>
      <c r="IPA6" s="2"/>
      <c r="IPB6" s="2"/>
      <c r="IPC6" s="2"/>
      <c r="IPD6" s="2"/>
      <c r="IPE6" s="2"/>
      <c r="IPF6" s="2"/>
      <c r="IPG6" s="2"/>
      <c r="IPH6" s="2"/>
      <c r="IPI6" s="2"/>
      <c r="IPJ6" s="2"/>
      <c r="IPK6" s="2"/>
      <c r="IPL6" s="2"/>
      <c r="IPM6" s="2"/>
      <c r="IPN6" s="2"/>
      <c r="IPO6" s="2"/>
      <c r="IPP6" s="2"/>
      <c r="IPQ6" s="2"/>
      <c r="IPR6" s="2"/>
      <c r="IPS6" s="2"/>
      <c r="IPT6" s="2"/>
      <c r="IPU6" s="2"/>
      <c r="IPV6" s="2"/>
      <c r="IPW6" s="2"/>
      <c r="IPX6" s="2"/>
      <c r="IPY6" s="2"/>
      <c r="IPZ6" s="2"/>
      <c r="IQA6" s="2"/>
      <c r="IQB6" s="2"/>
      <c r="IQC6" s="2"/>
      <c r="IQD6" s="2"/>
      <c r="IQE6" s="2"/>
      <c r="IQF6" s="2"/>
      <c r="IQG6" s="2"/>
      <c r="IQH6" s="2"/>
      <c r="IQI6" s="2"/>
      <c r="IQJ6" s="2"/>
      <c r="IQK6" s="2"/>
      <c r="IQL6" s="2"/>
      <c r="IQM6" s="2"/>
      <c r="IQN6" s="2"/>
      <c r="IQO6" s="2"/>
      <c r="IQP6" s="2"/>
      <c r="IQQ6" s="2"/>
      <c r="IQR6" s="2"/>
      <c r="IQS6" s="2"/>
      <c r="IQT6" s="2"/>
      <c r="IQU6" s="2"/>
      <c r="IQV6" s="2"/>
      <c r="IQW6" s="2"/>
      <c r="IQX6" s="2"/>
      <c r="IQY6" s="2"/>
      <c r="IQZ6" s="2"/>
      <c r="IRA6" s="2"/>
      <c r="IRB6" s="2"/>
      <c r="IRC6" s="2"/>
      <c r="IRD6" s="2"/>
      <c r="IRE6" s="2"/>
      <c r="IRF6" s="2"/>
      <c r="IRG6" s="2"/>
      <c r="IRH6" s="2"/>
      <c r="IRI6" s="2"/>
      <c r="IRJ6" s="2"/>
      <c r="IRK6" s="2"/>
      <c r="IRL6" s="2"/>
      <c r="IRM6" s="2"/>
      <c r="IRN6" s="2"/>
      <c r="IRO6" s="2"/>
      <c r="IRP6" s="2"/>
      <c r="IRQ6" s="2"/>
      <c r="IRR6" s="2"/>
      <c r="IRS6" s="2"/>
      <c r="IRT6" s="2"/>
      <c r="IRU6" s="2"/>
      <c r="IRV6" s="2"/>
      <c r="IRW6" s="2"/>
      <c r="IRX6" s="2"/>
      <c r="IRY6" s="2"/>
      <c r="IRZ6" s="2"/>
      <c r="ISA6" s="2"/>
      <c r="ISB6" s="2"/>
      <c r="ISC6" s="2"/>
      <c r="ISD6" s="2"/>
      <c r="ISE6" s="2"/>
      <c r="ISF6" s="2"/>
      <c r="ISG6" s="2"/>
      <c r="ISH6" s="2"/>
      <c r="ISI6" s="2"/>
      <c r="ISJ6" s="2"/>
      <c r="ISK6" s="2"/>
      <c r="ISL6" s="2"/>
      <c r="ISM6" s="2"/>
      <c r="ISN6" s="2"/>
      <c r="ISO6" s="2"/>
      <c r="ISP6" s="2"/>
      <c r="ISQ6" s="2"/>
      <c r="ISR6" s="2"/>
      <c r="ISS6" s="2"/>
      <c r="IST6" s="2"/>
      <c r="ISU6" s="2"/>
      <c r="ISV6" s="2"/>
      <c r="ISW6" s="2"/>
      <c r="ISX6" s="2"/>
      <c r="ISY6" s="2"/>
      <c r="ISZ6" s="2"/>
      <c r="ITA6" s="2"/>
      <c r="ITB6" s="2"/>
      <c r="ITC6" s="2"/>
      <c r="ITD6" s="2"/>
      <c r="ITE6" s="2"/>
      <c r="ITF6" s="2"/>
      <c r="ITG6" s="2"/>
      <c r="ITH6" s="2"/>
      <c r="ITI6" s="2"/>
      <c r="ITJ6" s="2"/>
      <c r="ITK6" s="2"/>
      <c r="ITL6" s="2"/>
      <c r="ITM6" s="2"/>
      <c r="ITN6" s="2"/>
      <c r="ITO6" s="2"/>
      <c r="ITP6" s="2"/>
      <c r="ITQ6" s="2"/>
      <c r="ITR6" s="2"/>
      <c r="ITS6" s="2"/>
      <c r="ITT6" s="2"/>
      <c r="ITU6" s="2"/>
      <c r="ITV6" s="2"/>
      <c r="ITW6" s="2"/>
      <c r="ITX6" s="2"/>
      <c r="ITY6" s="2"/>
      <c r="ITZ6" s="2"/>
      <c r="IUA6" s="2"/>
      <c r="IUB6" s="2"/>
      <c r="IUC6" s="2"/>
      <c r="IUD6" s="2"/>
      <c r="IUE6" s="2"/>
      <c r="IUF6" s="2"/>
      <c r="IUG6" s="2"/>
      <c r="IUH6" s="2"/>
      <c r="IUI6" s="2"/>
      <c r="IUJ6" s="2"/>
      <c r="IUK6" s="2"/>
      <c r="IUL6" s="2"/>
      <c r="IUM6" s="2"/>
      <c r="IUN6" s="2"/>
      <c r="IUO6" s="2"/>
      <c r="IUP6" s="2"/>
      <c r="IUQ6" s="2"/>
      <c r="IUR6" s="2"/>
      <c r="IUS6" s="2"/>
      <c r="IUT6" s="2"/>
      <c r="IUU6" s="2"/>
      <c r="IUV6" s="2"/>
      <c r="IUW6" s="2"/>
      <c r="IUX6" s="2"/>
      <c r="IUY6" s="2"/>
      <c r="IUZ6" s="2"/>
      <c r="IVA6" s="2"/>
      <c r="IVB6" s="2"/>
      <c r="IVC6" s="2"/>
      <c r="IVD6" s="2"/>
      <c r="IVE6" s="2"/>
      <c r="IVF6" s="2"/>
      <c r="IVG6" s="2"/>
      <c r="IVH6" s="2"/>
      <c r="IVI6" s="2"/>
      <c r="IVJ6" s="2"/>
      <c r="IVK6" s="2"/>
      <c r="IVL6" s="2"/>
      <c r="IVM6" s="2"/>
      <c r="IVN6" s="2"/>
      <c r="IVO6" s="2"/>
      <c r="IVP6" s="2"/>
      <c r="IVQ6" s="2"/>
      <c r="IVR6" s="2"/>
      <c r="IVS6" s="2"/>
      <c r="IVT6" s="2"/>
      <c r="IVU6" s="2"/>
      <c r="IVV6" s="2"/>
      <c r="IVW6" s="2"/>
      <c r="IVX6" s="2"/>
      <c r="IVY6" s="2"/>
      <c r="IVZ6" s="2"/>
      <c r="IWA6" s="2"/>
      <c r="IWB6" s="2"/>
      <c r="IWC6" s="2"/>
      <c r="IWD6" s="2"/>
      <c r="IWE6" s="2"/>
      <c r="IWF6" s="2"/>
      <c r="IWG6" s="2"/>
      <c r="IWH6" s="2"/>
      <c r="IWI6" s="2"/>
      <c r="IWJ6" s="2"/>
      <c r="IWK6" s="2"/>
      <c r="IWL6" s="2"/>
      <c r="IWM6" s="2"/>
      <c r="IWN6" s="2"/>
      <c r="IWO6" s="2"/>
      <c r="IWP6" s="2"/>
      <c r="IWQ6" s="2"/>
      <c r="IWR6" s="2"/>
      <c r="IWS6" s="2"/>
      <c r="IWT6" s="2"/>
      <c r="IWU6" s="2"/>
      <c r="IWV6" s="2"/>
      <c r="IWW6" s="2"/>
      <c r="IWX6" s="2"/>
      <c r="IWY6" s="2"/>
      <c r="IWZ6" s="2"/>
      <c r="IXA6" s="2"/>
      <c r="IXB6" s="2"/>
      <c r="IXC6" s="2"/>
      <c r="IXD6" s="2"/>
      <c r="IXE6" s="2"/>
      <c r="IXF6" s="2"/>
      <c r="IXG6" s="2"/>
      <c r="IXH6" s="2"/>
      <c r="IXI6" s="2"/>
      <c r="IXJ6" s="2"/>
      <c r="IXK6" s="2"/>
      <c r="IXL6" s="2"/>
      <c r="IXM6" s="2"/>
      <c r="IXN6" s="2"/>
      <c r="IXO6" s="2"/>
      <c r="IXP6" s="2"/>
      <c r="IXQ6" s="2"/>
      <c r="IXR6" s="2"/>
      <c r="IXS6" s="2"/>
      <c r="IXT6" s="2"/>
      <c r="IXU6" s="2"/>
      <c r="IXV6" s="2"/>
      <c r="IXW6" s="2"/>
      <c r="IXX6" s="2"/>
      <c r="IXY6" s="2"/>
      <c r="IXZ6" s="2"/>
      <c r="IYA6" s="2"/>
      <c r="IYB6" s="2"/>
      <c r="IYC6" s="2"/>
      <c r="IYD6" s="2"/>
      <c r="IYE6" s="2"/>
      <c r="IYF6" s="2"/>
      <c r="IYG6" s="2"/>
      <c r="IYH6" s="2"/>
      <c r="IYI6" s="2"/>
      <c r="IYJ6" s="2"/>
      <c r="IYK6" s="2"/>
      <c r="IYL6" s="2"/>
      <c r="IYM6" s="2"/>
      <c r="IYN6" s="2"/>
      <c r="IYO6" s="2"/>
      <c r="IYP6" s="2"/>
      <c r="IYQ6" s="2"/>
      <c r="IYR6" s="2"/>
      <c r="IYS6" s="2"/>
      <c r="IYT6" s="2"/>
      <c r="IYU6" s="2"/>
      <c r="IYV6" s="2"/>
      <c r="IYW6" s="2"/>
      <c r="IYX6" s="2"/>
      <c r="IYY6" s="2"/>
      <c r="IYZ6" s="2"/>
      <c r="IZA6" s="2"/>
      <c r="IZB6" s="2"/>
      <c r="IZC6" s="2"/>
      <c r="IZD6" s="2"/>
      <c r="IZE6" s="2"/>
      <c r="IZF6" s="2"/>
      <c r="IZG6" s="2"/>
      <c r="IZH6" s="2"/>
      <c r="IZI6" s="2"/>
      <c r="IZJ6" s="2"/>
      <c r="IZK6" s="2"/>
      <c r="IZL6" s="2"/>
      <c r="IZM6" s="2"/>
      <c r="IZN6" s="2"/>
      <c r="IZO6" s="2"/>
      <c r="IZP6" s="2"/>
      <c r="IZQ6" s="2"/>
      <c r="IZR6" s="2"/>
      <c r="IZS6" s="2"/>
      <c r="IZT6" s="2"/>
      <c r="IZU6" s="2"/>
      <c r="IZV6" s="2"/>
      <c r="IZW6" s="2"/>
      <c r="IZX6" s="2"/>
      <c r="IZY6" s="2"/>
      <c r="IZZ6" s="2"/>
      <c r="JAA6" s="2"/>
      <c r="JAB6" s="2"/>
      <c r="JAC6" s="2"/>
      <c r="JAD6" s="2"/>
      <c r="JAE6" s="2"/>
      <c r="JAF6" s="2"/>
      <c r="JAG6" s="2"/>
      <c r="JAH6" s="2"/>
      <c r="JAI6" s="2"/>
      <c r="JAJ6" s="2"/>
      <c r="JAK6" s="2"/>
      <c r="JAL6" s="2"/>
      <c r="JAM6" s="2"/>
      <c r="JAN6" s="2"/>
      <c r="JAO6" s="2"/>
      <c r="JAP6" s="2"/>
      <c r="JAQ6" s="2"/>
      <c r="JAR6" s="2"/>
      <c r="JAS6" s="2"/>
      <c r="JAT6" s="2"/>
      <c r="JAU6" s="2"/>
      <c r="JAV6" s="2"/>
      <c r="JAW6" s="2"/>
      <c r="JAX6" s="2"/>
      <c r="JAY6" s="2"/>
      <c r="JAZ6" s="2"/>
      <c r="JBA6" s="2"/>
      <c r="JBB6" s="2"/>
      <c r="JBC6" s="2"/>
      <c r="JBD6" s="2"/>
      <c r="JBE6" s="2"/>
      <c r="JBF6" s="2"/>
      <c r="JBG6" s="2"/>
      <c r="JBH6" s="2"/>
      <c r="JBI6" s="2"/>
      <c r="JBJ6" s="2"/>
      <c r="JBK6" s="2"/>
      <c r="JBL6" s="2"/>
      <c r="JBM6" s="2"/>
      <c r="JBN6" s="2"/>
      <c r="JBO6" s="2"/>
      <c r="JBP6" s="2"/>
      <c r="JBQ6" s="2"/>
      <c r="JBR6" s="2"/>
      <c r="JBS6" s="2"/>
      <c r="JBT6" s="2"/>
      <c r="JBU6" s="2"/>
      <c r="JBV6" s="2"/>
      <c r="JBW6" s="2"/>
      <c r="JBX6" s="2"/>
      <c r="JBY6" s="2"/>
      <c r="JBZ6" s="2"/>
      <c r="JCA6" s="2"/>
      <c r="JCB6" s="2"/>
      <c r="JCC6" s="2"/>
      <c r="JCD6" s="2"/>
      <c r="JCE6" s="2"/>
      <c r="JCF6" s="2"/>
      <c r="JCG6" s="2"/>
      <c r="JCH6" s="2"/>
      <c r="JCI6" s="2"/>
      <c r="JCJ6" s="2"/>
      <c r="JCK6" s="2"/>
      <c r="JCL6" s="2"/>
      <c r="JCM6" s="2"/>
      <c r="JCN6" s="2"/>
      <c r="JCO6" s="2"/>
      <c r="JCP6" s="2"/>
      <c r="JCQ6" s="2"/>
      <c r="JCR6" s="2"/>
      <c r="JCS6" s="2"/>
      <c r="JCT6" s="2"/>
      <c r="JCU6" s="2"/>
      <c r="JCV6" s="2"/>
      <c r="JCW6" s="2"/>
      <c r="JCX6" s="2"/>
      <c r="JCY6" s="2"/>
      <c r="JCZ6" s="2"/>
      <c r="JDA6" s="2"/>
      <c r="JDB6" s="2"/>
      <c r="JDC6" s="2"/>
      <c r="JDD6" s="2"/>
      <c r="JDE6" s="2"/>
      <c r="JDF6" s="2"/>
      <c r="JDG6" s="2"/>
      <c r="JDH6" s="2"/>
      <c r="JDI6" s="2"/>
      <c r="JDJ6" s="2"/>
      <c r="JDK6" s="2"/>
      <c r="JDL6" s="2"/>
      <c r="JDM6" s="2"/>
      <c r="JDN6" s="2"/>
      <c r="JDO6" s="2"/>
      <c r="JDP6" s="2"/>
      <c r="JDQ6" s="2"/>
      <c r="JDR6" s="2"/>
      <c r="JDS6" s="2"/>
      <c r="JDT6" s="2"/>
      <c r="JDU6" s="2"/>
      <c r="JDV6" s="2"/>
      <c r="JDW6" s="2"/>
      <c r="JDX6" s="2"/>
      <c r="JDY6" s="2"/>
      <c r="JDZ6" s="2"/>
      <c r="JEA6" s="2"/>
      <c r="JEB6" s="2"/>
      <c r="JEC6" s="2"/>
      <c r="JED6" s="2"/>
      <c r="JEE6" s="2"/>
      <c r="JEF6" s="2"/>
      <c r="JEG6" s="2"/>
      <c r="JEH6" s="2"/>
      <c r="JEI6" s="2"/>
      <c r="JEJ6" s="2"/>
      <c r="JEK6" s="2"/>
      <c r="JEL6" s="2"/>
      <c r="JEM6" s="2"/>
      <c r="JEN6" s="2"/>
      <c r="JEO6" s="2"/>
      <c r="JEP6" s="2"/>
      <c r="JEQ6" s="2"/>
      <c r="JER6" s="2"/>
      <c r="JES6" s="2"/>
      <c r="JET6" s="2"/>
      <c r="JEU6" s="2"/>
      <c r="JEV6" s="2"/>
      <c r="JEW6" s="2"/>
      <c r="JEX6" s="2"/>
      <c r="JEY6" s="2"/>
      <c r="JEZ6" s="2"/>
      <c r="JFA6" s="2"/>
      <c r="JFB6" s="2"/>
      <c r="JFC6" s="2"/>
      <c r="JFD6" s="2"/>
      <c r="JFE6" s="2"/>
      <c r="JFF6" s="2"/>
      <c r="JFG6" s="2"/>
      <c r="JFH6" s="2"/>
      <c r="JFI6" s="2"/>
      <c r="JFJ6" s="2"/>
      <c r="JFK6" s="2"/>
      <c r="JFL6" s="2"/>
      <c r="JFM6" s="2"/>
      <c r="JFN6" s="2"/>
      <c r="JFO6" s="2"/>
      <c r="JFP6" s="2"/>
      <c r="JFQ6" s="2"/>
      <c r="JFR6" s="2"/>
      <c r="JFS6" s="2"/>
      <c r="JFT6" s="2"/>
      <c r="JFU6" s="2"/>
      <c r="JFV6" s="2"/>
      <c r="JFW6" s="2"/>
      <c r="JFX6" s="2"/>
      <c r="JFY6" s="2"/>
      <c r="JFZ6" s="2"/>
      <c r="JGA6" s="2"/>
      <c r="JGB6" s="2"/>
      <c r="JGC6" s="2"/>
      <c r="JGD6" s="2"/>
      <c r="JGE6" s="2"/>
      <c r="JGF6" s="2"/>
      <c r="JGG6" s="2"/>
      <c r="JGH6" s="2"/>
      <c r="JGI6" s="2"/>
      <c r="JGJ6" s="2"/>
      <c r="JGK6" s="2"/>
      <c r="JGL6" s="2"/>
      <c r="JGM6" s="2"/>
      <c r="JGN6" s="2"/>
      <c r="JGO6" s="2"/>
      <c r="JGP6" s="2"/>
      <c r="JGQ6" s="2"/>
      <c r="JGR6" s="2"/>
      <c r="JGS6" s="2"/>
      <c r="JGT6" s="2"/>
      <c r="JGU6" s="2"/>
      <c r="JGV6" s="2"/>
      <c r="JGW6" s="2"/>
      <c r="JGX6" s="2"/>
      <c r="JGY6" s="2"/>
      <c r="JGZ6" s="2"/>
      <c r="JHA6" s="2"/>
      <c r="JHB6" s="2"/>
      <c r="JHC6" s="2"/>
      <c r="JHD6" s="2"/>
      <c r="JHE6" s="2"/>
      <c r="JHF6" s="2"/>
      <c r="JHG6" s="2"/>
      <c r="JHH6" s="2"/>
      <c r="JHI6" s="2"/>
      <c r="JHJ6" s="2"/>
      <c r="JHK6" s="2"/>
      <c r="JHL6" s="2"/>
      <c r="JHM6" s="2"/>
      <c r="JHN6" s="2"/>
      <c r="JHO6" s="2"/>
      <c r="JHP6" s="2"/>
      <c r="JHQ6" s="2"/>
      <c r="JHR6" s="2"/>
      <c r="JHS6" s="2"/>
      <c r="JHT6" s="2"/>
      <c r="JHU6" s="2"/>
      <c r="JHV6" s="2"/>
      <c r="JHW6" s="2"/>
      <c r="JHX6" s="2"/>
      <c r="JHY6" s="2"/>
      <c r="JHZ6" s="2"/>
      <c r="JIA6" s="2"/>
      <c r="JIB6" s="2"/>
      <c r="JIC6" s="2"/>
      <c r="JID6" s="2"/>
      <c r="JIE6" s="2"/>
      <c r="JIF6" s="2"/>
      <c r="JIG6" s="2"/>
      <c r="JIH6" s="2"/>
      <c r="JII6" s="2"/>
      <c r="JIJ6" s="2"/>
      <c r="JIK6" s="2"/>
      <c r="JIL6" s="2"/>
      <c r="JIM6" s="2"/>
      <c r="JIN6" s="2"/>
      <c r="JIO6" s="2"/>
      <c r="JIP6" s="2"/>
      <c r="JIQ6" s="2"/>
      <c r="JIR6" s="2"/>
      <c r="JIS6" s="2"/>
      <c r="JIT6" s="2"/>
      <c r="JIU6" s="2"/>
      <c r="JIV6" s="2"/>
      <c r="JIW6" s="2"/>
      <c r="JIX6" s="2"/>
      <c r="JIY6" s="2"/>
      <c r="JIZ6" s="2"/>
      <c r="JJA6" s="2"/>
      <c r="JJB6" s="2"/>
      <c r="JJC6" s="2"/>
      <c r="JJD6" s="2"/>
      <c r="JJE6" s="2"/>
      <c r="JJF6" s="2"/>
      <c r="JJG6" s="2"/>
      <c r="JJH6" s="2"/>
      <c r="JJI6" s="2"/>
      <c r="JJJ6" s="2"/>
      <c r="JJK6" s="2"/>
      <c r="JJL6" s="2"/>
      <c r="JJM6" s="2"/>
      <c r="JJN6" s="2"/>
      <c r="JJO6" s="2"/>
      <c r="JJP6" s="2"/>
      <c r="JJQ6" s="2"/>
      <c r="JJR6" s="2"/>
      <c r="JJS6" s="2"/>
      <c r="JJT6" s="2"/>
      <c r="JJU6" s="2"/>
      <c r="JJV6" s="2"/>
      <c r="JJW6" s="2"/>
      <c r="JJX6" s="2"/>
      <c r="JJY6" s="2"/>
      <c r="JJZ6" s="2"/>
      <c r="JKA6" s="2"/>
      <c r="JKB6" s="2"/>
      <c r="JKC6" s="2"/>
      <c r="JKD6" s="2"/>
      <c r="JKE6" s="2"/>
      <c r="JKF6" s="2"/>
      <c r="JKG6" s="2"/>
      <c r="JKH6" s="2"/>
      <c r="JKI6" s="2"/>
      <c r="JKJ6" s="2"/>
      <c r="JKK6" s="2"/>
      <c r="JKL6" s="2"/>
      <c r="JKM6" s="2"/>
      <c r="JKN6" s="2"/>
      <c r="JKO6" s="2"/>
      <c r="JKP6" s="2"/>
      <c r="JKQ6" s="2"/>
      <c r="JKR6" s="2"/>
      <c r="JKS6" s="2"/>
      <c r="JKT6" s="2"/>
      <c r="JKU6" s="2"/>
      <c r="JKV6" s="2"/>
      <c r="JKW6" s="2"/>
      <c r="JKX6" s="2"/>
      <c r="JKY6" s="2"/>
      <c r="JKZ6" s="2"/>
      <c r="JLA6" s="2"/>
      <c r="JLB6" s="2"/>
      <c r="JLC6" s="2"/>
      <c r="JLD6" s="2"/>
      <c r="JLE6" s="2"/>
      <c r="JLF6" s="2"/>
      <c r="JLG6" s="2"/>
      <c r="JLH6" s="2"/>
      <c r="JLI6" s="2"/>
      <c r="JLJ6" s="2"/>
      <c r="JLK6" s="2"/>
      <c r="JLL6" s="2"/>
      <c r="JLM6" s="2"/>
      <c r="JLN6" s="2"/>
      <c r="JLO6" s="2"/>
      <c r="JLP6" s="2"/>
      <c r="JLQ6" s="2"/>
      <c r="JLR6" s="2"/>
      <c r="JLS6" s="2"/>
      <c r="JLT6" s="2"/>
      <c r="JLU6" s="2"/>
      <c r="JLV6" s="2"/>
      <c r="JLW6" s="2"/>
      <c r="JLX6" s="2"/>
      <c r="JLY6" s="2"/>
      <c r="JLZ6" s="2"/>
      <c r="JMA6" s="2"/>
      <c r="JMB6" s="2"/>
      <c r="JMC6" s="2"/>
      <c r="JMD6" s="2"/>
      <c r="JME6" s="2"/>
      <c r="JMF6" s="2"/>
      <c r="JMG6" s="2"/>
      <c r="JMH6" s="2"/>
      <c r="JMI6" s="2"/>
      <c r="JMJ6" s="2"/>
      <c r="JMK6" s="2"/>
      <c r="JML6" s="2"/>
      <c r="JMM6" s="2"/>
      <c r="JMN6" s="2"/>
      <c r="JMO6" s="2"/>
      <c r="JMP6" s="2"/>
      <c r="JMQ6" s="2"/>
      <c r="JMR6" s="2"/>
      <c r="JMS6" s="2"/>
      <c r="JMT6" s="2"/>
      <c r="JMU6" s="2"/>
      <c r="JMV6" s="2"/>
      <c r="JMW6" s="2"/>
      <c r="JMX6" s="2"/>
      <c r="JMY6" s="2"/>
      <c r="JMZ6" s="2"/>
      <c r="JNA6" s="2"/>
      <c r="JNB6" s="2"/>
      <c r="JNC6" s="2"/>
      <c r="JND6" s="2"/>
      <c r="JNE6" s="2"/>
      <c r="JNF6" s="2"/>
      <c r="JNG6" s="2"/>
      <c r="JNH6" s="2"/>
      <c r="JNI6" s="2"/>
      <c r="JNJ6" s="2"/>
      <c r="JNK6" s="2"/>
      <c r="JNL6" s="2"/>
      <c r="JNM6" s="2"/>
      <c r="JNN6" s="2"/>
      <c r="JNO6" s="2"/>
      <c r="JNP6" s="2"/>
      <c r="JNQ6" s="2"/>
      <c r="JNR6" s="2"/>
      <c r="JNS6" s="2"/>
      <c r="JNT6" s="2"/>
      <c r="JNU6" s="2"/>
      <c r="JNV6" s="2"/>
      <c r="JNW6" s="2"/>
      <c r="JNX6" s="2"/>
      <c r="JNY6" s="2"/>
      <c r="JNZ6" s="2"/>
      <c r="JOA6" s="2"/>
      <c r="JOB6" s="2"/>
      <c r="JOC6" s="2"/>
      <c r="JOD6" s="2"/>
      <c r="JOE6" s="2"/>
      <c r="JOF6" s="2"/>
      <c r="JOG6" s="2"/>
      <c r="JOH6" s="2"/>
      <c r="JOI6" s="2"/>
      <c r="JOJ6" s="2"/>
      <c r="JOK6" s="2"/>
      <c r="JOL6" s="2"/>
      <c r="JOM6" s="2"/>
      <c r="JON6" s="2"/>
      <c r="JOO6" s="2"/>
      <c r="JOP6" s="2"/>
      <c r="JOQ6" s="2"/>
      <c r="JOR6" s="2"/>
      <c r="JOS6" s="2"/>
      <c r="JOT6" s="2"/>
      <c r="JOU6" s="2"/>
      <c r="JOV6" s="2"/>
      <c r="JOW6" s="2"/>
      <c r="JOX6" s="2"/>
      <c r="JOY6" s="2"/>
      <c r="JOZ6" s="2"/>
      <c r="JPA6" s="2"/>
      <c r="JPB6" s="2"/>
      <c r="JPC6" s="2"/>
      <c r="JPD6" s="2"/>
      <c r="JPE6" s="2"/>
      <c r="JPF6" s="2"/>
      <c r="JPG6" s="2"/>
      <c r="JPH6" s="2"/>
      <c r="JPI6" s="2"/>
      <c r="JPJ6" s="2"/>
      <c r="JPK6" s="2"/>
      <c r="JPL6" s="2"/>
      <c r="JPM6" s="2"/>
      <c r="JPN6" s="2"/>
      <c r="JPO6" s="2"/>
      <c r="JPP6" s="2"/>
      <c r="JPQ6" s="2"/>
      <c r="JPR6" s="2"/>
      <c r="JPS6" s="2"/>
      <c r="JPT6" s="2"/>
      <c r="JPU6" s="2"/>
      <c r="JPV6" s="2"/>
      <c r="JPW6" s="2"/>
      <c r="JPX6" s="2"/>
      <c r="JPY6" s="2"/>
      <c r="JPZ6" s="2"/>
      <c r="JQA6" s="2"/>
      <c r="JQB6" s="2"/>
      <c r="JQC6" s="2"/>
      <c r="JQD6" s="2"/>
      <c r="JQE6" s="2"/>
      <c r="JQF6" s="2"/>
      <c r="JQG6" s="2"/>
      <c r="JQH6" s="2"/>
      <c r="JQI6" s="2"/>
      <c r="JQJ6" s="2"/>
      <c r="JQK6" s="2"/>
      <c r="JQL6" s="2"/>
      <c r="JQM6" s="2"/>
      <c r="JQN6" s="2"/>
      <c r="JQO6" s="2"/>
      <c r="JQP6" s="2"/>
      <c r="JQQ6" s="2"/>
      <c r="JQR6" s="2"/>
      <c r="JQS6" s="2"/>
      <c r="JQT6" s="2"/>
      <c r="JQU6" s="2"/>
      <c r="JQV6" s="2"/>
      <c r="JQW6" s="2"/>
      <c r="JQX6" s="2"/>
      <c r="JQY6" s="2"/>
      <c r="JQZ6" s="2"/>
      <c r="JRA6" s="2"/>
      <c r="JRB6" s="2"/>
      <c r="JRC6" s="2"/>
      <c r="JRD6" s="2"/>
      <c r="JRE6" s="2"/>
      <c r="JRF6" s="2"/>
      <c r="JRG6" s="2"/>
      <c r="JRH6" s="2"/>
      <c r="JRI6" s="2"/>
      <c r="JRJ6" s="2"/>
      <c r="JRK6" s="2"/>
      <c r="JRL6" s="2"/>
      <c r="JRM6" s="2"/>
      <c r="JRN6" s="2"/>
      <c r="JRO6" s="2"/>
      <c r="JRP6" s="2"/>
      <c r="JRQ6" s="2"/>
      <c r="JRR6" s="2"/>
      <c r="JRS6" s="2"/>
      <c r="JRT6" s="2"/>
      <c r="JRU6" s="2"/>
      <c r="JRV6" s="2"/>
      <c r="JRW6" s="2"/>
      <c r="JRX6" s="2"/>
      <c r="JRY6" s="2"/>
      <c r="JRZ6" s="2"/>
      <c r="JSA6" s="2"/>
      <c r="JSB6" s="2"/>
      <c r="JSC6" s="2"/>
      <c r="JSD6" s="2"/>
      <c r="JSE6" s="2"/>
      <c r="JSF6" s="2"/>
      <c r="JSG6" s="2"/>
      <c r="JSH6" s="2"/>
      <c r="JSI6" s="2"/>
      <c r="JSJ6" s="2"/>
      <c r="JSK6" s="2"/>
      <c r="JSL6" s="2"/>
      <c r="JSM6" s="2"/>
      <c r="JSN6" s="2"/>
      <c r="JSO6" s="2"/>
      <c r="JSP6" s="2"/>
      <c r="JSQ6" s="2"/>
      <c r="JSR6" s="2"/>
      <c r="JSS6" s="2"/>
      <c r="JST6" s="2"/>
      <c r="JSU6" s="2"/>
      <c r="JSV6" s="2"/>
      <c r="JSW6" s="2"/>
      <c r="JSX6" s="2"/>
      <c r="JSY6" s="2"/>
      <c r="JSZ6" s="2"/>
      <c r="JTA6" s="2"/>
      <c r="JTB6" s="2"/>
      <c r="JTC6" s="2"/>
      <c r="JTD6" s="2"/>
      <c r="JTE6" s="2"/>
      <c r="JTF6" s="2"/>
      <c r="JTG6" s="2"/>
      <c r="JTH6" s="2"/>
      <c r="JTI6" s="2"/>
      <c r="JTJ6" s="2"/>
      <c r="JTK6" s="2"/>
      <c r="JTL6" s="2"/>
      <c r="JTM6" s="2"/>
      <c r="JTN6" s="2"/>
      <c r="JTO6" s="2"/>
      <c r="JTP6" s="2"/>
      <c r="JTQ6" s="2"/>
      <c r="JTR6" s="2"/>
      <c r="JTS6" s="2"/>
      <c r="JTT6" s="2"/>
      <c r="JTU6" s="2"/>
      <c r="JTV6" s="2"/>
      <c r="JTW6" s="2"/>
      <c r="JTX6" s="2"/>
      <c r="JTY6" s="2"/>
      <c r="JTZ6" s="2"/>
      <c r="JUA6" s="2"/>
      <c r="JUB6" s="2"/>
      <c r="JUC6" s="2"/>
      <c r="JUD6" s="2"/>
      <c r="JUE6" s="2"/>
      <c r="JUF6" s="2"/>
      <c r="JUG6" s="2"/>
      <c r="JUH6" s="2"/>
      <c r="JUI6" s="2"/>
      <c r="JUJ6" s="2"/>
      <c r="JUK6" s="2"/>
      <c r="JUL6" s="2"/>
      <c r="JUM6" s="2"/>
      <c r="JUN6" s="2"/>
      <c r="JUO6" s="2"/>
      <c r="JUP6" s="2"/>
      <c r="JUQ6" s="2"/>
      <c r="JUR6" s="2"/>
      <c r="JUS6" s="2"/>
      <c r="JUT6" s="2"/>
      <c r="JUU6" s="2"/>
      <c r="JUV6" s="2"/>
      <c r="JUW6" s="2"/>
      <c r="JUX6" s="2"/>
      <c r="JUY6" s="2"/>
      <c r="JUZ6" s="2"/>
      <c r="JVA6" s="2"/>
      <c r="JVB6" s="2"/>
      <c r="JVC6" s="2"/>
      <c r="JVD6" s="2"/>
      <c r="JVE6" s="2"/>
      <c r="JVF6" s="2"/>
      <c r="JVG6" s="2"/>
      <c r="JVH6" s="2"/>
      <c r="JVI6" s="2"/>
      <c r="JVJ6" s="2"/>
      <c r="JVK6" s="2"/>
      <c r="JVL6" s="2"/>
      <c r="JVM6" s="2"/>
      <c r="JVN6" s="2"/>
      <c r="JVO6" s="2"/>
      <c r="JVP6" s="2"/>
      <c r="JVQ6" s="2"/>
      <c r="JVR6" s="2"/>
      <c r="JVS6" s="2"/>
      <c r="JVT6" s="2"/>
      <c r="JVU6" s="2"/>
      <c r="JVV6" s="2"/>
      <c r="JVW6" s="2"/>
      <c r="JVX6" s="2"/>
      <c r="JVY6" s="2"/>
      <c r="JVZ6" s="2"/>
      <c r="JWA6" s="2"/>
      <c r="JWB6" s="2"/>
      <c r="JWC6" s="2"/>
      <c r="JWD6" s="2"/>
      <c r="JWE6" s="2"/>
      <c r="JWF6" s="2"/>
      <c r="JWG6" s="2"/>
      <c r="JWH6" s="2"/>
      <c r="JWI6" s="2"/>
      <c r="JWJ6" s="2"/>
      <c r="JWK6" s="2"/>
      <c r="JWL6" s="2"/>
      <c r="JWM6" s="2"/>
      <c r="JWN6" s="2"/>
      <c r="JWO6" s="2"/>
      <c r="JWP6" s="2"/>
      <c r="JWQ6" s="2"/>
      <c r="JWR6" s="2"/>
      <c r="JWS6" s="2"/>
      <c r="JWT6" s="2"/>
      <c r="JWU6" s="2"/>
      <c r="JWV6" s="2"/>
      <c r="JWW6" s="2"/>
      <c r="JWX6" s="2"/>
      <c r="JWY6" s="2"/>
      <c r="JWZ6" s="2"/>
      <c r="JXA6" s="2"/>
      <c r="JXB6" s="2"/>
      <c r="JXC6" s="2"/>
      <c r="JXD6" s="2"/>
      <c r="JXE6" s="2"/>
      <c r="JXF6" s="2"/>
      <c r="JXG6" s="2"/>
      <c r="JXH6" s="2"/>
      <c r="JXI6" s="2"/>
      <c r="JXJ6" s="2"/>
      <c r="JXK6" s="2"/>
      <c r="JXL6" s="2"/>
      <c r="JXM6" s="2"/>
      <c r="JXN6" s="2"/>
      <c r="JXO6" s="2"/>
      <c r="JXP6" s="2"/>
      <c r="JXQ6" s="2"/>
      <c r="JXR6" s="2"/>
      <c r="JXS6" s="2"/>
      <c r="JXT6" s="2"/>
      <c r="JXU6" s="2"/>
      <c r="JXV6" s="2"/>
      <c r="JXW6" s="2"/>
      <c r="JXX6" s="2"/>
      <c r="JXY6" s="2"/>
      <c r="JXZ6" s="2"/>
      <c r="JYA6" s="2"/>
      <c r="JYB6" s="2"/>
      <c r="JYC6" s="2"/>
      <c r="JYD6" s="2"/>
      <c r="JYE6" s="2"/>
      <c r="JYF6" s="2"/>
      <c r="JYG6" s="2"/>
      <c r="JYH6" s="2"/>
      <c r="JYI6" s="2"/>
      <c r="JYJ6" s="2"/>
      <c r="JYK6" s="2"/>
      <c r="JYL6" s="2"/>
      <c r="JYM6" s="2"/>
      <c r="JYN6" s="2"/>
      <c r="JYO6" s="2"/>
      <c r="JYP6" s="2"/>
      <c r="JYQ6" s="2"/>
      <c r="JYR6" s="2"/>
      <c r="JYS6" s="2"/>
      <c r="JYT6" s="2"/>
      <c r="JYU6" s="2"/>
      <c r="JYV6" s="2"/>
      <c r="JYW6" s="2"/>
      <c r="JYX6" s="2"/>
      <c r="JYY6" s="2"/>
      <c r="JYZ6" s="2"/>
      <c r="JZA6" s="2"/>
      <c r="JZB6" s="2"/>
      <c r="JZC6" s="2"/>
      <c r="JZD6" s="2"/>
      <c r="JZE6" s="2"/>
      <c r="JZF6" s="2"/>
      <c r="JZG6" s="2"/>
      <c r="JZH6" s="2"/>
      <c r="JZI6" s="2"/>
      <c r="JZJ6" s="2"/>
      <c r="JZK6" s="2"/>
      <c r="JZL6" s="2"/>
      <c r="JZM6" s="2"/>
      <c r="JZN6" s="2"/>
      <c r="JZO6" s="2"/>
      <c r="JZP6" s="2"/>
      <c r="JZQ6" s="2"/>
      <c r="JZR6" s="2"/>
      <c r="JZS6" s="2"/>
      <c r="JZT6" s="2"/>
      <c r="JZU6" s="2"/>
      <c r="JZV6" s="2"/>
      <c r="JZW6" s="2"/>
      <c r="JZX6" s="2"/>
      <c r="JZY6" s="2"/>
      <c r="JZZ6" s="2"/>
      <c r="KAA6" s="2"/>
      <c r="KAB6" s="2"/>
      <c r="KAC6" s="2"/>
      <c r="KAD6" s="2"/>
      <c r="KAE6" s="2"/>
      <c r="KAF6" s="2"/>
      <c r="KAG6" s="2"/>
      <c r="KAH6" s="2"/>
      <c r="KAI6" s="2"/>
      <c r="KAJ6" s="2"/>
      <c r="KAK6" s="2"/>
      <c r="KAL6" s="2"/>
      <c r="KAM6" s="2"/>
      <c r="KAN6" s="2"/>
      <c r="KAO6" s="2"/>
      <c r="KAP6" s="2"/>
      <c r="KAQ6" s="2"/>
      <c r="KAR6" s="2"/>
      <c r="KAS6" s="2"/>
      <c r="KAT6" s="2"/>
      <c r="KAU6" s="2"/>
      <c r="KAV6" s="2"/>
      <c r="KAW6" s="2"/>
      <c r="KAX6" s="2"/>
      <c r="KAY6" s="2"/>
      <c r="KAZ6" s="2"/>
      <c r="KBA6" s="2"/>
      <c r="KBB6" s="2"/>
      <c r="KBC6" s="2"/>
      <c r="KBD6" s="2"/>
      <c r="KBE6" s="2"/>
      <c r="KBF6" s="2"/>
      <c r="KBG6" s="2"/>
      <c r="KBH6" s="2"/>
      <c r="KBI6" s="2"/>
      <c r="KBJ6" s="2"/>
      <c r="KBK6" s="2"/>
      <c r="KBL6" s="2"/>
      <c r="KBM6" s="2"/>
      <c r="KBN6" s="2"/>
      <c r="KBO6" s="2"/>
      <c r="KBP6" s="2"/>
      <c r="KBQ6" s="2"/>
      <c r="KBR6" s="2"/>
      <c r="KBS6" s="2"/>
      <c r="KBT6" s="2"/>
      <c r="KBU6" s="2"/>
      <c r="KBV6" s="2"/>
      <c r="KBW6" s="2"/>
      <c r="KBX6" s="2"/>
      <c r="KBY6" s="2"/>
      <c r="KBZ6" s="2"/>
      <c r="KCA6" s="2"/>
      <c r="KCB6" s="2"/>
      <c r="KCC6" s="2"/>
      <c r="KCD6" s="2"/>
      <c r="KCE6" s="2"/>
      <c r="KCF6" s="2"/>
      <c r="KCG6" s="2"/>
      <c r="KCH6" s="2"/>
      <c r="KCI6" s="2"/>
      <c r="KCJ6" s="2"/>
      <c r="KCK6" s="2"/>
      <c r="KCL6" s="2"/>
      <c r="KCM6" s="2"/>
      <c r="KCN6" s="2"/>
      <c r="KCO6" s="2"/>
      <c r="KCP6" s="2"/>
      <c r="KCQ6" s="2"/>
      <c r="KCR6" s="2"/>
      <c r="KCS6" s="2"/>
      <c r="KCT6" s="2"/>
      <c r="KCU6" s="2"/>
      <c r="KCV6" s="2"/>
      <c r="KCW6" s="2"/>
      <c r="KCX6" s="2"/>
      <c r="KCY6" s="2"/>
      <c r="KCZ6" s="2"/>
      <c r="KDA6" s="2"/>
      <c r="KDB6" s="2"/>
      <c r="KDC6" s="2"/>
      <c r="KDD6" s="2"/>
      <c r="KDE6" s="2"/>
      <c r="KDF6" s="2"/>
      <c r="KDG6" s="2"/>
      <c r="KDH6" s="2"/>
      <c r="KDI6" s="2"/>
      <c r="KDJ6" s="2"/>
      <c r="KDK6" s="2"/>
      <c r="KDL6" s="2"/>
      <c r="KDM6" s="2"/>
      <c r="KDN6" s="2"/>
      <c r="KDO6" s="2"/>
      <c r="KDP6" s="2"/>
      <c r="KDQ6" s="2"/>
      <c r="KDR6" s="2"/>
      <c r="KDS6" s="2"/>
      <c r="KDT6" s="2"/>
      <c r="KDU6" s="2"/>
      <c r="KDV6" s="2"/>
      <c r="KDW6" s="2"/>
      <c r="KDX6" s="2"/>
      <c r="KDY6" s="2"/>
      <c r="KDZ6" s="2"/>
      <c r="KEA6" s="2"/>
      <c r="KEB6" s="2"/>
      <c r="KEC6" s="2"/>
      <c r="KED6" s="2"/>
      <c r="KEE6" s="2"/>
      <c r="KEF6" s="2"/>
      <c r="KEG6" s="2"/>
      <c r="KEH6" s="2"/>
      <c r="KEI6" s="2"/>
      <c r="KEJ6" s="2"/>
      <c r="KEK6" s="2"/>
      <c r="KEL6" s="2"/>
      <c r="KEM6" s="2"/>
      <c r="KEN6" s="2"/>
      <c r="KEO6" s="2"/>
      <c r="KEP6" s="2"/>
      <c r="KEQ6" s="2"/>
      <c r="KER6" s="2"/>
      <c r="KES6" s="2"/>
      <c r="KET6" s="2"/>
      <c r="KEU6" s="2"/>
      <c r="KEV6" s="2"/>
      <c r="KEW6" s="2"/>
      <c r="KEX6" s="2"/>
      <c r="KEY6" s="2"/>
      <c r="KEZ6" s="2"/>
      <c r="KFA6" s="2"/>
      <c r="KFB6" s="2"/>
      <c r="KFC6" s="2"/>
      <c r="KFD6" s="2"/>
      <c r="KFE6" s="2"/>
      <c r="KFF6" s="2"/>
      <c r="KFG6" s="2"/>
      <c r="KFH6" s="2"/>
      <c r="KFI6" s="2"/>
      <c r="KFJ6" s="2"/>
      <c r="KFK6" s="2"/>
      <c r="KFL6" s="2"/>
      <c r="KFM6" s="2"/>
      <c r="KFN6" s="2"/>
      <c r="KFO6" s="2"/>
      <c r="KFP6" s="2"/>
      <c r="KFQ6" s="2"/>
      <c r="KFR6" s="2"/>
      <c r="KFS6" s="2"/>
      <c r="KFT6" s="2"/>
      <c r="KFU6" s="2"/>
      <c r="KFV6" s="2"/>
      <c r="KFW6" s="2"/>
      <c r="KFX6" s="2"/>
      <c r="KFY6" s="2"/>
      <c r="KFZ6" s="2"/>
      <c r="KGA6" s="2"/>
      <c r="KGB6" s="2"/>
      <c r="KGC6" s="2"/>
      <c r="KGD6" s="2"/>
      <c r="KGE6" s="2"/>
      <c r="KGF6" s="2"/>
      <c r="KGG6" s="2"/>
      <c r="KGH6" s="2"/>
      <c r="KGI6" s="2"/>
      <c r="KGJ6" s="2"/>
      <c r="KGK6" s="2"/>
      <c r="KGL6" s="2"/>
      <c r="KGM6" s="2"/>
      <c r="KGN6" s="2"/>
      <c r="KGO6" s="2"/>
      <c r="KGP6" s="2"/>
      <c r="KGQ6" s="2"/>
      <c r="KGR6" s="2"/>
      <c r="KGS6" s="2"/>
      <c r="KGT6" s="2"/>
      <c r="KGU6" s="2"/>
      <c r="KGV6" s="2"/>
      <c r="KGW6" s="2"/>
      <c r="KGX6" s="2"/>
      <c r="KGY6" s="2"/>
      <c r="KGZ6" s="2"/>
      <c r="KHA6" s="2"/>
      <c r="KHB6" s="2"/>
      <c r="KHC6" s="2"/>
      <c r="KHD6" s="2"/>
      <c r="KHE6" s="2"/>
      <c r="KHF6" s="2"/>
      <c r="KHG6" s="2"/>
      <c r="KHH6" s="2"/>
      <c r="KHI6" s="2"/>
      <c r="KHJ6" s="2"/>
      <c r="KHK6" s="2"/>
      <c r="KHL6" s="2"/>
      <c r="KHM6" s="2"/>
      <c r="KHN6" s="2"/>
      <c r="KHO6" s="2"/>
      <c r="KHP6" s="2"/>
      <c r="KHQ6" s="2"/>
      <c r="KHR6" s="2"/>
      <c r="KHS6" s="2"/>
      <c r="KHT6" s="2"/>
      <c r="KHU6" s="2"/>
      <c r="KHV6" s="2"/>
      <c r="KHW6" s="2"/>
      <c r="KHX6" s="2"/>
      <c r="KHY6" s="2"/>
      <c r="KHZ6" s="2"/>
      <c r="KIA6" s="2"/>
      <c r="KIB6" s="2"/>
      <c r="KIC6" s="2"/>
      <c r="KID6" s="2"/>
      <c r="KIE6" s="2"/>
      <c r="KIF6" s="2"/>
      <c r="KIG6" s="2"/>
      <c r="KIH6" s="2"/>
      <c r="KII6" s="2"/>
      <c r="KIJ6" s="2"/>
      <c r="KIK6" s="2"/>
      <c r="KIL6" s="2"/>
      <c r="KIM6" s="2"/>
      <c r="KIN6" s="2"/>
      <c r="KIO6" s="2"/>
      <c r="KIP6" s="2"/>
      <c r="KIQ6" s="2"/>
      <c r="KIR6" s="2"/>
      <c r="KIS6" s="2"/>
      <c r="KIT6" s="2"/>
      <c r="KIU6" s="2"/>
      <c r="KIV6" s="2"/>
      <c r="KIW6" s="2"/>
      <c r="KIX6" s="2"/>
      <c r="KIY6" s="2"/>
      <c r="KIZ6" s="2"/>
      <c r="KJA6" s="2"/>
      <c r="KJB6" s="2"/>
      <c r="KJC6" s="2"/>
      <c r="KJD6" s="2"/>
      <c r="KJE6" s="2"/>
      <c r="KJF6" s="2"/>
      <c r="KJG6" s="2"/>
      <c r="KJH6" s="2"/>
      <c r="KJI6" s="2"/>
      <c r="KJJ6" s="2"/>
      <c r="KJK6" s="2"/>
      <c r="KJL6" s="2"/>
      <c r="KJM6" s="2"/>
      <c r="KJN6" s="2"/>
      <c r="KJO6" s="2"/>
      <c r="KJP6" s="2"/>
      <c r="KJQ6" s="2"/>
      <c r="KJR6" s="2"/>
      <c r="KJS6" s="2"/>
      <c r="KJT6" s="2"/>
      <c r="KJU6" s="2"/>
      <c r="KJV6" s="2"/>
      <c r="KJW6" s="2"/>
      <c r="KJX6" s="2"/>
      <c r="KJY6" s="2"/>
      <c r="KJZ6" s="2"/>
      <c r="KKA6" s="2"/>
      <c r="KKB6" s="2"/>
      <c r="KKC6" s="2"/>
      <c r="KKD6" s="2"/>
      <c r="KKE6" s="2"/>
      <c r="KKF6" s="2"/>
      <c r="KKG6" s="2"/>
      <c r="KKH6" s="2"/>
      <c r="KKI6" s="2"/>
      <c r="KKJ6" s="2"/>
      <c r="KKK6" s="2"/>
      <c r="KKL6" s="2"/>
      <c r="KKM6" s="2"/>
      <c r="KKN6" s="2"/>
      <c r="KKO6" s="2"/>
      <c r="KKP6" s="2"/>
      <c r="KKQ6" s="2"/>
      <c r="KKR6" s="2"/>
      <c r="KKS6" s="2"/>
      <c r="KKT6" s="2"/>
      <c r="KKU6" s="2"/>
      <c r="KKV6" s="2"/>
      <c r="KKW6" s="2"/>
      <c r="KKX6" s="2"/>
      <c r="KKY6" s="2"/>
      <c r="KKZ6" s="2"/>
      <c r="KLA6" s="2"/>
      <c r="KLB6" s="2"/>
      <c r="KLC6" s="2"/>
      <c r="KLD6" s="2"/>
      <c r="KLE6" s="2"/>
      <c r="KLF6" s="2"/>
      <c r="KLG6" s="2"/>
      <c r="KLH6" s="2"/>
      <c r="KLI6" s="2"/>
      <c r="KLJ6" s="2"/>
      <c r="KLK6" s="2"/>
      <c r="KLL6" s="2"/>
      <c r="KLM6" s="2"/>
      <c r="KLN6" s="2"/>
      <c r="KLO6" s="2"/>
      <c r="KLP6" s="2"/>
      <c r="KLQ6" s="2"/>
      <c r="KLR6" s="2"/>
      <c r="KLS6" s="2"/>
      <c r="KLT6" s="2"/>
      <c r="KLU6" s="2"/>
      <c r="KLV6" s="2"/>
      <c r="KLW6" s="2"/>
      <c r="KLX6" s="2"/>
      <c r="KLY6" s="2"/>
      <c r="KLZ6" s="2"/>
      <c r="KMA6" s="2"/>
      <c r="KMB6" s="2"/>
      <c r="KMC6" s="2"/>
      <c r="KMD6" s="2"/>
      <c r="KME6" s="2"/>
      <c r="KMF6" s="2"/>
      <c r="KMG6" s="2"/>
      <c r="KMH6" s="2"/>
      <c r="KMI6" s="2"/>
      <c r="KMJ6" s="2"/>
      <c r="KMK6" s="2"/>
      <c r="KML6" s="2"/>
      <c r="KMM6" s="2"/>
      <c r="KMN6" s="2"/>
      <c r="KMO6" s="2"/>
      <c r="KMP6" s="2"/>
      <c r="KMQ6" s="2"/>
      <c r="KMR6" s="2"/>
      <c r="KMS6" s="2"/>
      <c r="KMT6" s="2"/>
      <c r="KMU6" s="2"/>
      <c r="KMV6" s="2"/>
      <c r="KMW6" s="2"/>
      <c r="KMX6" s="2"/>
      <c r="KMY6" s="2"/>
      <c r="KMZ6" s="2"/>
      <c r="KNA6" s="2"/>
      <c r="KNB6" s="2"/>
      <c r="KNC6" s="2"/>
      <c r="KND6" s="2"/>
      <c r="KNE6" s="2"/>
      <c r="KNF6" s="2"/>
      <c r="KNG6" s="2"/>
      <c r="KNH6" s="2"/>
      <c r="KNI6" s="2"/>
      <c r="KNJ6" s="2"/>
      <c r="KNK6" s="2"/>
      <c r="KNL6" s="2"/>
      <c r="KNM6" s="2"/>
      <c r="KNN6" s="2"/>
      <c r="KNO6" s="2"/>
      <c r="KNP6" s="2"/>
      <c r="KNQ6" s="2"/>
      <c r="KNR6" s="2"/>
      <c r="KNS6" s="2"/>
      <c r="KNT6" s="2"/>
      <c r="KNU6" s="2"/>
      <c r="KNV6" s="2"/>
      <c r="KNW6" s="2"/>
      <c r="KNX6" s="2"/>
      <c r="KNY6" s="2"/>
      <c r="KNZ6" s="2"/>
      <c r="KOA6" s="2"/>
      <c r="KOB6" s="2"/>
      <c r="KOC6" s="2"/>
      <c r="KOD6" s="2"/>
      <c r="KOE6" s="2"/>
      <c r="KOF6" s="2"/>
      <c r="KOG6" s="2"/>
      <c r="KOH6" s="2"/>
      <c r="KOI6" s="2"/>
      <c r="KOJ6" s="2"/>
      <c r="KOK6" s="2"/>
      <c r="KOL6" s="2"/>
      <c r="KOM6" s="2"/>
      <c r="KON6" s="2"/>
      <c r="KOO6" s="2"/>
      <c r="KOP6" s="2"/>
      <c r="KOQ6" s="2"/>
      <c r="KOR6" s="2"/>
      <c r="KOS6" s="2"/>
      <c r="KOT6" s="2"/>
      <c r="KOU6" s="2"/>
      <c r="KOV6" s="2"/>
      <c r="KOW6" s="2"/>
      <c r="KOX6" s="2"/>
      <c r="KOY6" s="2"/>
      <c r="KOZ6" s="2"/>
      <c r="KPA6" s="2"/>
      <c r="KPB6" s="2"/>
      <c r="KPC6" s="2"/>
      <c r="KPD6" s="2"/>
      <c r="KPE6" s="2"/>
      <c r="KPF6" s="2"/>
      <c r="KPG6" s="2"/>
      <c r="KPH6" s="2"/>
      <c r="KPI6" s="2"/>
      <c r="KPJ6" s="2"/>
      <c r="KPK6" s="2"/>
      <c r="KPL6" s="2"/>
      <c r="KPM6" s="2"/>
      <c r="KPN6" s="2"/>
      <c r="KPO6" s="2"/>
      <c r="KPP6" s="2"/>
      <c r="KPQ6" s="2"/>
      <c r="KPR6" s="2"/>
      <c r="KPS6" s="2"/>
      <c r="KPT6" s="2"/>
      <c r="KPU6" s="2"/>
      <c r="KPV6" s="2"/>
      <c r="KPW6" s="2"/>
      <c r="KPX6" s="2"/>
      <c r="KPY6" s="2"/>
      <c r="KPZ6" s="2"/>
      <c r="KQA6" s="2"/>
      <c r="KQB6" s="2"/>
      <c r="KQC6" s="2"/>
      <c r="KQD6" s="2"/>
      <c r="KQE6" s="2"/>
      <c r="KQF6" s="2"/>
      <c r="KQG6" s="2"/>
      <c r="KQH6" s="2"/>
      <c r="KQI6" s="2"/>
      <c r="KQJ6" s="2"/>
      <c r="KQK6" s="2"/>
      <c r="KQL6" s="2"/>
      <c r="KQM6" s="2"/>
      <c r="KQN6" s="2"/>
      <c r="KQO6" s="2"/>
      <c r="KQP6" s="2"/>
      <c r="KQQ6" s="2"/>
      <c r="KQR6" s="2"/>
      <c r="KQS6" s="2"/>
      <c r="KQT6" s="2"/>
      <c r="KQU6" s="2"/>
      <c r="KQV6" s="2"/>
      <c r="KQW6" s="2"/>
      <c r="KQX6" s="2"/>
      <c r="KQY6" s="2"/>
      <c r="KQZ6" s="2"/>
      <c r="KRA6" s="2"/>
      <c r="KRB6" s="2"/>
      <c r="KRC6" s="2"/>
      <c r="KRD6" s="2"/>
      <c r="KRE6" s="2"/>
      <c r="KRF6" s="2"/>
      <c r="KRG6" s="2"/>
      <c r="KRH6" s="2"/>
      <c r="KRI6" s="2"/>
      <c r="KRJ6" s="2"/>
      <c r="KRK6" s="2"/>
      <c r="KRL6" s="2"/>
      <c r="KRM6" s="2"/>
      <c r="KRN6" s="2"/>
      <c r="KRO6" s="2"/>
      <c r="KRP6" s="2"/>
      <c r="KRQ6" s="2"/>
      <c r="KRR6" s="2"/>
      <c r="KRS6" s="2"/>
      <c r="KRT6" s="2"/>
      <c r="KRU6" s="2"/>
      <c r="KRV6" s="2"/>
      <c r="KRW6" s="2"/>
      <c r="KRX6" s="2"/>
      <c r="KRY6" s="2"/>
      <c r="KRZ6" s="2"/>
      <c r="KSA6" s="2"/>
      <c r="KSB6" s="2"/>
      <c r="KSC6" s="2"/>
      <c r="KSD6" s="2"/>
      <c r="KSE6" s="2"/>
      <c r="KSF6" s="2"/>
      <c r="KSG6" s="2"/>
      <c r="KSH6" s="2"/>
      <c r="KSI6" s="2"/>
      <c r="KSJ6" s="2"/>
      <c r="KSK6" s="2"/>
      <c r="KSL6" s="2"/>
      <c r="KSM6" s="2"/>
      <c r="KSN6" s="2"/>
      <c r="KSO6" s="2"/>
      <c r="KSP6" s="2"/>
      <c r="KSQ6" s="2"/>
      <c r="KSR6" s="2"/>
      <c r="KSS6" s="2"/>
      <c r="KST6" s="2"/>
      <c r="KSU6" s="2"/>
      <c r="KSV6" s="2"/>
      <c r="KSW6" s="2"/>
      <c r="KSX6" s="2"/>
      <c r="KSY6" s="2"/>
      <c r="KSZ6" s="2"/>
      <c r="KTA6" s="2"/>
      <c r="KTB6" s="2"/>
      <c r="KTC6" s="2"/>
      <c r="KTD6" s="2"/>
      <c r="KTE6" s="2"/>
      <c r="KTF6" s="2"/>
      <c r="KTG6" s="2"/>
      <c r="KTH6" s="2"/>
      <c r="KTI6" s="2"/>
      <c r="KTJ6" s="2"/>
      <c r="KTK6" s="2"/>
      <c r="KTL6" s="2"/>
      <c r="KTM6" s="2"/>
      <c r="KTN6" s="2"/>
      <c r="KTO6" s="2"/>
      <c r="KTP6" s="2"/>
      <c r="KTQ6" s="2"/>
      <c r="KTR6" s="2"/>
      <c r="KTS6" s="2"/>
      <c r="KTT6" s="2"/>
      <c r="KTU6" s="2"/>
      <c r="KTV6" s="2"/>
      <c r="KTW6" s="2"/>
      <c r="KTX6" s="2"/>
      <c r="KTY6" s="2"/>
      <c r="KTZ6" s="2"/>
      <c r="KUA6" s="2"/>
      <c r="KUB6" s="2"/>
      <c r="KUC6" s="2"/>
      <c r="KUD6" s="2"/>
      <c r="KUE6" s="2"/>
      <c r="KUF6" s="2"/>
      <c r="KUG6" s="2"/>
      <c r="KUH6" s="2"/>
      <c r="KUI6" s="2"/>
      <c r="KUJ6" s="2"/>
      <c r="KUK6" s="2"/>
      <c r="KUL6" s="2"/>
      <c r="KUM6" s="2"/>
      <c r="KUN6" s="2"/>
      <c r="KUO6" s="2"/>
      <c r="KUP6" s="2"/>
      <c r="KUQ6" s="2"/>
      <c r="KUR6" s="2"/>
      <c r="KUS6" s="2"/>
      <c r="KUT6" s="2"/>
      <c r="KUU6" s="2"/>
      <c r="KUV6" s="2"/>
      <c r="KUW6" s="2"/>
      <c r="KUX6" s="2"/>
      <c r="KUY6" s="2"/>
      <c r="KUZ6" s="2"/>
      <c r="KVA6" s="2"/>
      <c r="KVB6" s="2"/>
      <c r="KVC6" s="2"/>
      <c r="KVD6" s="2"/>
      <c r="KVE6" s="2"/>
      <c r="KVF6" s="2"/>
      <c r="KVG6" s="2"/>
      <c r="KVH6" s="2"/>
      <c r="KVI6" s="2"/>
      <c r="KVJ6" s="2"/>
      <c r="KVK6" s="2"/>
      <c r="KVL6" s="2"/>
      <c r="KVM6" s="2"/>
      <c r="KVN6" s="2"/>
      <c r="KVO6" s="2"/>
      <c r="KVP6" s="2"/>
      <c r="KVQ6" s="2"/>
      <c r="KVR6" s="2"/>
      <c r="KVS6" s="2"/>
      <c r="KVT6" s="2"/>
      <c r="KVU6" s="2"/>
      <c r="KVV6" s="2"/>
      <c r="KVW6" s="2"/>
      <c r="KVX6" s="2"/>
      <c r="KVY6" s="2"/>
      <c r="KVZ6" s="2"/>
      <c r="KWA6" s="2"/>
      <c r="KWB6" s="2"/>
      <c r="KWC6" s="2"/>
      <c r="KWD6" s="2"/>
      <c r="KWE6" s="2"/>
      <c r="KWF6" s="2"/>
      <c r="KWG6" s="2"/>
      <c r="KWH6" s="2"/>
      <c r="KWI6" s="2"/>
      <c r="KWJ6" s="2"/>
      <c r="KWK6" s="2"/>
      <c r="KWL6" s="2"/>
      <c r="KWM6" s="2"/>
      <c r="KWN6" s="2"/>
      <c r="KWO6" s="2"/>
      <c r="KWP6" s="2"/>
      <c r="KWQ6" s="2"/>
      <c r="KWR6" s="2"/>
      <c r="KWS6" s="2"/>
      <c r="KWT6" s="2"/>
      <c r="KWU6" s="2"/>
      <c r="KWV6" s="2"/>
      <c r="KWW6" s="2"/>
      <c r="KWX6" s="2"/>
      <c r="KWY6" s="2"/>
      <c r="KWZ6" s="2"/>
      <c r="KXA6" s="2"/>
      <c r="KXB6" s="2"/>
      <c r="KXC6" s="2"/>
      <c r="KXD6" s="2"/>
      <c r="KXE6" s="2"/>
      <c r="KXF6" s="2"/>
      <c r="KXG6" s="2"/>
      <c r="KXH6" s="2"/>
      <c r="KXI6" s="2"/>
      <c r="KXJ6" s="2"/>
      <c r="KXK6" s="2"/>
      <c r="KXL6" s="2"/>
      <c r="KXM6" s="2"/>
      <c r="KXN6" s="2"/>
      <c r="KXO6" s="2"/>
      <c r="KXP6" s="2"/>
      <c r="KXQ6" s="2"/>
      <c r="KXR6" s="2"/>
      <c r="KXS6" s="2"/>
      <c r="KXT6" s="2"/>
      <c r="KXU6" s="2"/>
      <c r="KXV6" s="2"/>
      <c r="KXW6" s="2"/>
      <c r="KXX6" s="2"/>
      <c r="KXY6" s="2"/>
      <c r="KXZ6" s="2"/>
      <c r="KYA6" s="2"/>
      <c r="KYB6" s="2"/>
      <c r="KYC6" s="2"/>
      <c r="KYD6" s="2"/>
      <c r="KYE6" s="2"/>
      <c r="KYF6" s="2"/>
      <c r="KYG6" s="2"/>
      <c r="KYH6" s="2"/>
      <c r="KYI6" s="2"/>
      <c r="KYJ6" s="2"/>
      <c r="KYK6" s="2"/>
      <c r="KYL6" s="2"/>
      <c r="KYM6" s="2"/>
      <c r="KYN6" s="2"/>
      <c r="KYO6" s="2"/>
      <c r="KYP6" s="2"/>
      <c r="KYQ6" s="2"/>
      <c r="KYR6" s="2"/>
      <c r="KYS6" s="2"/>
      <c r="KYT6" s="2"/>
      <c r="KYU6" s="2"/>
      <c r="KYV6" s="2"/>
      <c r="KYW6" s="2"/>
      <c r="KYX6" s="2"/>
      <c r="KYY6" s="2"/>
      <c r="KYZ6" s="2"/>
      <c r="KZA6" s="2"/>
      <c r="KZB6" s="2"/>
      <c r="KZC6" s="2"/>
      <c r="KZD6" s="2"/>
      <c r="KZE6" s="2"/>
      <c r="KZF6" s="2"/>
      <c r="KZG6" s="2"/>
      <c r="KZH6" s="2"/>
      <c r="KZI6" s="2"/>
      <c r="KZJ6" s="2"/>
      <c r="KZK6" s="2"/>
      <c r="KZL6" s="2"/>
      <c r="KZM6" s="2"/>
      <c r="KZN6" s="2"/>
      <c r="KZO6" s="2"/>
      <c r="KZP6" s="2"/>
      <c r="KZQ6" s="2"/>
      <c r="KZR6" s="2"/>
      <c r="KZS6" s="2"/>
      <c r="KZT6" s="2"/>
      <c r="KZU6" s="2"/>
      <c r="KZV6" s="2"/>
      <c r="KZW6" s="2"/>
      <c r="KZX6" s="2"/>
      <c r="KZY6" s="2"/>
      <c r="KZZ6" s="2"/>
      <c r="LAA6" s="2"/>
      <c r="LAB6" s="2"/>
      <c r="LAC6" s="2"/>
      <c r="LAD6" s="2"/>
      <c r="LAE6" s="2"/>
      <c r="LAF6" s="2"/>
      <c r="LAG6" s="2"/>
      <c r="LAH6" s="2"/>
      <c r="LAI6" s="2"/>
      <c r="LAJ6" s="2"/>
      <c r="LAK6" s="2"/>
      <c r="LAL6" s="2"/>
      <c r="LAM6" s="2"/>
      <c r="LAN6" s="2"/>
      <c r="LAO6" s="2"/>
      <c r="LAP6" s="2"/>
      <c r="LAQ6" s="2"/>
      <c r="LAR6" s="2"/>
      <c r="LAS6" s="2"/>
      <c r="LAT6" s="2"/>
      <c r="LAU6" s="2"/>
      <c r="LAV6" s="2"/>
      <c r="LAW6" s="2"/>
      <c r="LAX6" s="2"/>
      <c r="LAY6" s="2"/>
      <c r="LAZ6" s="2"/>
      <c r="LBA6" s="2"/>
      <c r="LBB6" s="2"/>
      <c r="LBC6" s="2"/>
      <c r="LBD6" s="2"/>
      <c r="LBE6" s="2"/>
      <c r="LBF6" s="2"/>
      <c r="LBG6" s="2"/>
      <c r="LBH6" s="2"/>
      <c r="LBI6" s="2"/>
      <c r="LBJ6" s="2"/>
      <c r="LBK6" s="2"/>
      <c r="LBL6" s="2"/>
      <c r="LBM6" s="2"/>
      <c r="LBN6" s="2"/>
      <c r="LBO6" s="2"/>
      <c r="LBP6" s="2"/>
      <c r="LBQ6" s="2"/>
      <c r="LBR6" s="2"/>
      <c r="LBS6" s="2"/>
      <c r="LBT6" s="2"/>
      <c r="LBU6" s="2"/>
      <c r="LBV6" s="2"/>
      <c r="LBW6" s="2"/>
      <c r="LBX6" s="2"/>
      <c r="LBY6" s="2"/>
      <c r="LBZ6" s="2"/>
      <c r="LCA6" s="2"/>
      <c r="LCB6" s="2"/>
      <c r="LCC6" s="2"/>
      <c r="LCD6" s="2"/>
      <c r="LCE6" s="2"/>
      <c r="LCF6" s="2"/>
      <c r="LCG6" s="2"/>
      <c r="LCH6" s="2"/>
      <c r="LCI6" s="2"/>
      <c r="LCJ6" s="2"/>
      <c r="LCK6" s="2"/>
      <c r="LCL6" s="2"/>
      <c r="LCM6" s="2"/>
      <c r="LCN6" s="2"/>
      <c r="LCO6" s="2"/>
      <c r="LCP6" s="2"/>
      <c r="LCQ6" s="2"/>
      <c r="LCR6" s="2"/>
      <c r="LCS6" s="2"/>
      <c r="LCT6" s="2"/>
      <c r="LCU6" s="2"/>
      <c r="LCV6" s="2"/>
      <c r="LCW6" s="2"/>
      <c r="LCX6" s="2"/>
      <c r="LCY6" s="2"/>
      <c r="LCZ6" s="2"/>
      <c r="LDA6" s="2"/>
      <c r="LDB6" s="2"/>
      <c r="LDC6" s="2"/>
      <c r="LDD6" s="2"/>
      <c r="LDE6" s="2"/>
      <c r="LDF6" s="2"/>
      <c r="LDG6" s="2"/>
      <c r="LDH6" s="2"/>
      <c r="LDI6" s="2"/>
      <c r="LDJ6" s="2"/>
      <c r="LDK6" s="2"/>
      <c r="LDL6" s="2"/>
      <c r="LDM6" s="2"/>
      <c r="LDN6" s="2"/>
      <c r="LDO6" s="2"/>
      <c r="LDP6" s="2"/>
      <c r="LDQ6" s="2"/>
      <c r="LDR6" s="2"/>
      <c r="LDS6" s="2"/>
      <c r="LDT6" s="2"/>
      <c r="LDU6" s="2"/>
      <c r="LDV6" s="2"/>
      <c r="LDW6" s="2"/>
      <c r="LDX6" s="2"/>
      <c r="LDY6" s="2"/>
      <c r="LDZ6" s="2"/>
      <c r="LEA6" s="2"/>
      <c r="LEB6" s="2"/>
      <c r="LEC6" s="2"/>
      <c r="LED6" s="2"/>
      <c r="LEE6" s="2"/>
      <c r="LEF6" s="2"/>
      <c r="LEG6" s="2"/>
      <c r="LEH6" s="2"/>
      <c r="LEI6" s="2"/>
      <c r="LEJ6" s="2"/>
      <c r="LEK6" s="2"/>
      <c r="LEL6" s="2"/>
      <c r="LEM6" s="2"/>
      <c r="LEN6" s="2"/>
      <c r="LEO6" s="2"/>
      <c r="LEP6" s="2"/>
      <c r="LEQ6" s="2"/>
      <c r="LER6" s="2"/>
      <c r="LES6" s="2"/>
      <c r="LET6" s="2"/>
      <c r="LEU6" s="2"/>
      <c r="LEV6" s="2"/>
      <c r="LEW6" s="2"/>
      <c r="LEX6" s="2"/>
      <c r="LEY6" s="2"/>
      <c r="LEZ6" s="2"/>
      <c r="LFA6" s="2"/>
      <c r="LFB6" s="2"/>
      <c r="LFC6" s="2"/>
      <c r="LFD6" s="2"/>
      <c r="LFE6" s="2"/>
      <c r="LFF6" s="2"/>
      <c r="LFG6" s="2"/>
      <c r="LFH6" s="2"/>
      <c r="LFI6" s="2"/>
      <c r="LFJ6" s="2"/>
      <c r="LFK6" s="2"/>
      <c r="LFL6" s="2"/>
      <c r="LFM6" s="2"/>
      <c r="LFN6" s="2"/>
      <c r="LFO6" s="2"/>
      <c r="LFP6" s="2"/>
      <c r="LFQ6" s="2"/>
      <c r="LFR6" s="2"/>
      <c r="LFS6" s="2"/>
      <c r="LFT6" s="2"/>
      <c r="LFU6" s="2"/>
      <c r="LFV6" s="2"/>
      <c r="LFW6" s="2"/>
      <c r="LFX6" s="2"/>
      <c r="LFY6" s="2"/>
      <c r="LFZ6" s="2"/>
      <c r="LGA6" s="2"/>
      <c r="LGB6" s="2"/>
      <c r="LGC6" s="2"/>
      <c r="LGD6" s="2"/>
      <c r="LGE6" s="2"/>
      <c r="LGF6" s="2"/>
      <c r="LGG6" s="2"/>
      <c r="LGH6" s="2"/>
      <c r="LGI6" s="2"/>
      <c r="LGJ6" s="2"/>
      <c r="LGK6" s="2"/>
      <c r="LGL6" s="2"/>
      <c r="LGM6" s="2"/>
      <c r="LGN6" s="2"/>
      <c r="LGO6" s="2"/>
      <c r="LGP6" s="2"/>
      <c r="LGQ6" s="2"/>
      <c r="LGR6" s="2"/>
      <c r="LGS6" s="2"/>
      <c r="LGT6" s="2"/>
      <c r="LGU6" s="2"/>
      <c r="LGV6" s="2"/>
      <c r="LGW6" s="2"/>
      <c r="LGX6" s="2"/>
      <c r="LGY6" s="2"/>
      <c r="LGZ6" s="2"/>
      <c r="LHA6" s="2"/>
      <c r="LHB6" s="2"/>
      <c r="LHC6" s="2"/>
      <c r="LHD6" s="2"/>
      <c r="LHE6" s="2"/>
      <c r="LHF6" s="2"/>
      <c r="LHG6" s="2"/>
      <c r="LHH6" s="2"/>
      <c r="LHI6" s="2"/>
      <c r="LHJ6" s="2"/>
      <c r="LHK6" s="2"/>
      <c r="LHL6" s="2"/>
      <c r="LHM6" s="2"/>
      <c r="LHN6" s="2"/>
      <c r="LHO6" s="2"/>
      <c r="LHP6" s="2"/>
      <c r="LHQ6" s="2"/>
      <c r="LHR6" s="2"/>
      <c r="LHS6" s="2"/>
      <c r="LHT6" s="2"/>
      <c r="LHU6" s="2"/>
      <c r="LHV6" s="2"/>
      <c r="LHW6" s="2"/>
      <c r="LHX6" s="2"/>
      <c r="LHY6" s="2"/>
      <c r="LHZ6" s="2"/>
      <c r="LIA6" s="2"/>
      <c r="LIB6" s="2"/>
      <c r="LIC6" s="2"/>
      <c r="LID6" s="2"/>
      <c r="LIE6" s="2"/>
      <c r="LIF6" s="2"/>
      <c r="LIG6" s="2"/>
      <c r="LIH6" s="2"/>
      <c r="LII6" s="2"/>
      <c r="LIJ6" s="2"/>
      <c r="LIK6" s="2"/>
      <c r="LIL6" s="2"/>
      <c r="LIM6" s="2"/>
      <c r="LIN6" s="2"/>
      <c r="LIO6" s="2"/>
      <c r="LIP6" s="2"/>
      <c r="LIQ6" s="2"/>
      <c r="LIR6" s="2"/>
      <c r="LIS6" s="2"/>
      <c r="LIT6" s="2"/>
      <c r="LIU6" s="2"/>
      <c r="LIV6" s="2"/>
      <c r="LIW6" s="2"/>
      <c r="LIX6" s="2"/>
      <c r="LIY6" s="2"/>
      <c r="LIZ6" s="2"/>
      <c r="LJA6" s="2"/>
      <c r="LJB6" s="2"/>
      <c r="LJC6" s="2"/>
      <c r="LJD6" s="2"/>
      <c r="LJE6" s="2"/>
      <c r="LJF6" s="2"/>
      <c r="LJG6" s="2"/>
      <c r="LJH6" s="2"/>
      <c r="LJI6" s="2"/>
      <c r="LJJ6" s="2"/>
      <c r="LJK6" s="2"/>
      <c r="LJL6" s="2"/>
      <c r="LJM6" s="2"/>
      <c r="LJN6" s="2"/>
      <c r="LJO6" s="2"/>
      <c r="LJP6" s="2"/>
      <c r="LJQ6" s="2"/>
      <c r="LJR6" s="2"/>
      <c r="LJS6" s="2"/>
      <c r="LJT6" s="2"/>
      <c r="LJU6" s="2"/>
      <c r="LJV6" s="2"/>
      <c r="LJW6" s="2"/>
      <c r="LJX6" s="2"/>
      <c r="LJY6" s="2"/>
      <c r="LJZ6" s="2"/>
      <c r="LKA6" s="2"/>
      <c r="LKB6" s="2"/>
      <c r="LKC6" s="2"/>
      <c r="LKD6" s="2"/>
      <c r="LKE6" s="2"/>
      <c r="LKF6" s="2"/>
      <c r="LKG6" s="2"/>
      <c r="LKH6" s="2"/>
      <c r="LKI6" s="2"/>
      <c r="LKJ6" s="2"/>
      <c r="LKK6" s="2"/>
      <c r="LKL6" s="2"/>
      <c r="LKM6" s="2"/>
      <c r="LKN6" s="2"/>
      <c r="LKO6" s="2"/>
      <c r="LKP6" s="2"/>
      <c r="LKQ6" s="2"/>
      <c r="LKR6" s="2"/>
      <c r="LKS6" s="2"/>
      <c r="LKT6" s="2"/>
      <c r="LKU6" s="2"/>
      <c r="LKV6" s="2"/>
      <c r="LKW6" s="2"/>
      <c r="LKX6" s="2"/>
      <c r="LKY6" s="2"/>
      <c r="LKZ6" s="2"/>
      <c r="LLA6" s="2"/>
      <c r="LLB6" s="2"/>
      <c r="LLC6" s="2"/>
      <c r="LLD6" s="2"/>
      <c r="LLE6" s="2"/>
      <c r="LLF6" s="2"/>
      <c r="LLG6" s="2"/>
      <c r="LLH6" s="2"/>
      <c r="LLI6" s="2"/>
      <c r="LLJ6" s="2"/>
      <c r="LLK6" s="2"/>
      <c r="LLL6" s="2"/>
      <c r="LLM6" s="2"/>
      <c r="LLN6" s="2"/>
      <c r="LLO6" s="2"/>
      <c r="LLP6" s="2"/>
      <c r="LLQ6" s="2"/>
      <c r="LLR6" s="2"/>
      <c r="LLS6" s="2"/>
      <c r="LLT6" s="2"/>
      <c r="LLU6" s="2"/>
      <c r="LLV6" s="2"/>
      <c r="LLW6" s="2"/>
      <c r="LLX6" s="2"/>
      <c r="LLY6" s="2"/>
      <c r="LLZ6" s="2"/>
      <c r="LMA6" s="2"/>
      <c r="LMB6" s="2"/>
      <c r="LMC6" s="2"/>
      <c r="LMD6" s="2"/>
      <c r="LME6" s="2"/>
      <c r="LMF6" s="2"/>
      <c r="LMG6" s="2"/>
      <c r="LMH6" s="2"/>
      <c r="LMI6" s="2"/>
      <c r="LMJ6" s="2"/>
      <c r="LMK6" s="2"/>
      <c r="LML6" s="2"/>
      <c r="LMM6" s="2"/>
      <c r="LMN6" s="2"/>
      <c r="LMO6" s="2"/>
      <c r="LMP6" s="2"/>
      <c r="LMQ6" s="2"/>
      <c r="LMR6" s="2"/>
      <c r="LMS6" s="2"/>
      <c r="LMT6" s="2"/>
      <c r="LMU6" s="2"/>
      <c r="LMV6" s="2"/>
      <c r="LMW6" s="2"/>
      <c r="LMX6" s="2"/>
      <c r="LMY6" s="2"/>
      <c r="LMZ6" s="2"/>
      <c r="LNA6" s="2"/>
      <c r="LNB6" s="2"/>
      <c r="LNC6" s="2"/>
      <c r="LND6" s="2"/>
      <c r="LNE6" s="2"/>
      <c r="LNF6" s="2"/>
      <c r="LNG6" s="2"/>
      <c r="LNH6" s="2"/>
      <c r="LNI6" s="2"/>
      <c r="LNJ6" s="2"/>
      <c r="LNK6" s="2"/>
      <c r="LNL6" s="2"/>
      <c r="LNM6" s="2"/>
      <c r="LNN6" s="2"/>
      <c r="LNO6" s="2"/>
      <c r="LNP6" s="2"/>
      <c r="LNQ6" s="2"/>
      <c r="LNR6" s="2"/>
      <c r="LNS6" s="2"/>
      <c r="LNT6" s="2"/>
      <c r="LNU6" s="2"/>
      <c r="LNV6" s="2"/>
      <c r="LNW6" s="2"/>
      <c r="LNX6" s="2"/>
      <c r="LNY6" s="2"/>
      <c r="LNZ6" s="2"/>
      <c r="LOA6" s="2"/>
      <c r="LOB6" s="2"/>
      <c r="LOC6" s="2"/>
      <c r="LOD6" s="2"/>
      <c r="LOE6" s="2"/>
      <c r="LOF6" s="2"/>
      <c r="LOG6" s="2"/>
      <c r="LOH6" s="2"/>
      <c r="LOI6" s="2"/>
      <c r="LOJ6" s="2"/>
      <c r="LOK6" s="2"/>
      <c r="LOL6" s="2"/>
      <c r="LOM6" s="2"/>
      <c r="LON6" s="2"/>
      <c r="LOO6" s="2"/>
      <c r="LOP6" s="2"/>
      <c r="LOQ6" s="2"/>
      <c r="LOR6" s="2"/>
      <c r="LOS6" s="2"/>
      <c r="LOT6" s="2"/>
      <c r="LOU6" s="2"/>
      <c r="LOV6" s="2"/>
      <c r="LOW6" s="2"/>
      <c r="LOX6" s="2"/>
      <c r="LOY6" s="2"/>
      <c r="LOZ6" s="2"/>
      <c r="LPA6" s="2"/>
      <c r="LPB6" s="2"/>
      <c r="LPC6" s="2"/>
      <c r="LPD6" s="2"/>
      <c r="LPE6" s="2"/>
      <c r="LPF6" s="2"/>
      <c r="LPG6" s="2"/>
      <c r="LPH6" s="2"/>
      <c r="LPI6" s="2"/>
      <c r="LPJ6" s="2"/>
      <c r="LPK6" s="2"/>
      <c r="LPL6" s="2"/>
      <c r="LPM6" s="2"/>
      <c r="LPN6" s="2"/>
      <c r="LPO6" s="2"/>
      <c r="LPP6" s="2"/>
      <c r="LPQ6" s="2"/>
      <c r="LPR6" s="2"/>
      <c r="LPS6" s="2"/>
      <c r="LPT6" s="2"/>
      <c r="LPU6" s="2"/>
      <c r="LPV6" s="2"/>
      <c r="LPW6" s="2"/>
      <c r="LPX6" s="2"/>
      <c r="LPY6" s="2"/>
      <c r="LPZ6" s="2"/>
      <c r="LQA6" s="2"/>
      <c r="LQB6" s="2"/>
      <c r="LQC6" s="2"/>
      <c r="LQD6" s="2"/>
      <c r="LQE6" s="2"/>
      <c r="LQF6" s="2"/>
      <c r="LQG6" s="2"/>
      <c r="LQH6" s="2"/>
      <c r="LQI6" s="2"/>
      <c r="LQJ6" s="2"/>
      <c r="LQK6" s="2"/>
      <c r="LQL6" s="2"/>
      <c r="LQM6" s="2"/>
      <c r="LQN6" s="2"/>
      <c r="LQO6" s="2"/>
      <c r="LQP6" s="2"/>
      <c r="LQQ6" s="2"/>
      <c r="LQR6" s="2"/>
      <c r="LQS6" s="2"/>
      <c r="LQT6" s="2"/>
      <c r="LQU6" s="2"/>
      <c r="LQV6" s="2"/>
      <c r="LQW6" s="2"/>
      <c r="LQX6" s="2"/>
      <c r="LQY6" s="2"/>
      <c r="LQZ6" s="2"/>
      <c r="LRA6" s="2"/>
      <c r="LRB6" s="2"/>
      <c r="LRC6" s="2"/>
      <c r="LRD6" s="2"/>
      <c r="LRE6" s="2"/>
      <c r="LRF6" s="2"/>
      <c r="LRG6" s="2"/>
      <c r="LRH6" s="2"/>
      <c r="LRI6" s="2"/>
      <c r="LRJ6" s="2"/>
      <c r="LRK6" s="2"/>
      <c r="LRL6" s="2"/>
      <c r="LRM6" s="2"/>
      <c r="LRN6" s="2"/>
      <c r="LRO6" s="2"/>
      <c r="LRP6" s="2"/>
      <c r="LRQ6" s="2"/>
      <c r="LRR6" s="2"/>
      <c r="LRS6" s="2"/>
      <c r="LRT6" s="2"/>
      <c r="LRU6" s="2"/>
      <c r="LRV6" s="2"/>
      <c r="LRW6" s="2"/>
      <c r="LRX6" s="2"/>
      <c r="LRY6" s="2"/>
      <c r="LRZ6" s="2"/>
      <c r="LSA6" s="2"/>
      <c r="LSB6" s="2"/>
      <c r="LSC6" s="2"/>
      <c r="LSD6" s="2"/>
      <c r="LSE6" s="2"/>
      <c r="LSF6" s="2"/>
      <c r="LSG6" s="2"/>
      <c r="LSH6" s="2"/>
      <c r="LSI6" s="2"/>
      <c r="LSJ6" s="2"/>
      <c r="LSK6" s="2"/>
      <c r="LSL6" s="2"/>
      <c r="LSM6" s="2"/>
      <c r="LSN6" s="2"/>
      <c r="LSO6" s="2"/>
      <c r="LSP6" s="2"/>
      <c r="LSQ6" s="2"/>
      <c r="LSR6" s="2"/>
      <c r="LSS6" s="2"/>
      <c r="LST6" s="2"/>
      <c r="LSU6" s="2"/>
      <c r="LSV6" s="2"/>
      <c r="LSW6" s="2"/>
      <c r="LSX6" s="2"/>
      <c r="LSY6" s="2"/>
      <c r="LSZ6" s="2"/>
      <c r="LTA6" s="2"/>
      <c r="LTB6" s="2"/>
      <c r="LTC6" s="2"/>
      <c r="LTD6" s="2"/>
      <c r="LTE6" s="2"/>
      <c r="LTF6" s="2"/>
      <c r="LTG6" s="2"/>
      <c r="LTH6" s="2"/>
      <c r="LTI6" s="2"/>
      <c r="LTJ6" s="2"/>
      <c r="LTK6" s="2"/>
      <c r="LTL6" s="2"/>
      <c r="LTM6" s="2"/>
      <c r="LTN6" s="2"/>
      <c r="LTO6" s="2"/>
      <c r="LTP6" s="2"/>
      <c r="LTQ6" s="2"/>
      <c r="LTR6" s="2"/>
      <c r="LTS6" s="2"/>
      <c r="LTT6" s="2"/>
      <c r="LTU6" s="2"/>
      <c r="LTV6" s="2"/>
      <c r="LTW6" s="2"/>
      <c r="LTX6" s="2"/>
      <c r="LTY6" s="2"/>
      <c r="LTZ6" s="2"/>
      <c r="LUA6" s="2"/>
      <c r="LUB6" s="2"/>
      <c r="LUC6" s="2"/>
      <c r="LUD6" s="2"/>
      <c r="LUE6" s="2"/>
      <c r="LUF6" s="2"/>
      <c r="LUG6" s="2"/>
      <c r="LUH6" s="2"/>
      <c r="LUI6" s="2"/>
      <c r="LUJ6" s="2"/>
      <c r="LUK6" s="2"/>
      <c r="LUL6" s="2"/>
      <c r="LUM6" s="2"/>
      <c r="LUN6" s="2"/>
      <c r="LUO6" s="2"/>
      <c r="LUP6" s="2"/>
      <c r="LUQ6" s="2"/>
      <c r="LUR6" s="2"/>
      <c r="LUS6" s="2"/>
      <c r="LUT6" s="2"/>
      <c r="LUU6" s="2"/>
      <c r="LUV6" s="2"/>
      <c r="LUW6" s="2"/>
      <c r="LUX6" s="2"/>
      <c r="LUY6" s="2"/>
      <c r="LUZ6" s="2"/>
      <c r="LVA6" s="2"/>
      <c r="LVB6" s="2"/>
      <c r="LVC6" s="2"/>
      <c r="LVD6" s="2"/>
      <c r="LVE6" s="2"/>
      <c r="LVF6" s="2"/>
      <c r="LVG6" s="2"/>
      <c r="LVH6" s="2"/>
      <c r="LVI6" s="2"/>
      <c r="LVJ6" s="2"/>
      <c r="LVK6" s="2"/>
      <c r="LVL6" s="2"/>
      <c r="LVM6" s="2"/>
      <c r="LVN6" s="2"/>
      <c r="LVO6" s="2"/>
      <c r="LVP6" s="2"/>
      <c r="LVQ6" s="2"/>
      <c r="LVR6" s="2"/>
      <c r="LVS6" s="2"/>
      <c r="LVT6" s="2"/>
      <c r="LVU6" s="2"/>
      <c r="LVV6" s="2"/>
      <c r="LVW6" s="2"/>
      <c r="LVX6" s="2"/>
      <c r="LVY6" s="2"/>
      <c r="LVZ6" s="2"/>
      <c r="LWA6" s="2"/>
      <c r="LWB6" s="2"/>
      <c r="LWC6" s="2"/>
      <c r="LWD6" s="2"/>
      <c r="LWE6" s="2"/>
      <c r="LWF6" s="2"/>
      <c r="LWG6" s="2"/>
      <c r="LWH6" s="2"/>
      <c r="LWI6" s="2"/>
      <c r="LWJ6" s="2"/>
      <c r="LWK6" s="2"/>
      <c r="LWL6" s="2"/>
      <c r="LWM6" s="2"/>
      <c r="LWN6" s="2"/>
      <c r="LWO6" s="2"/>
      <c r="LWP6" s="2"/>
      <c r="LWQ6" s="2"/>
      <c r="LWR6" s="2"/>
      <c r="LWS6" s="2"/>
      <c r="LWT6" s="2"/>
      <c r="LWU6" s="2"/>
      <c r="LWV6" s="2"/>
      <c r="LWW6" s="2"/>
      <c r="LWX6" s="2"/>
      <c r="LWY6" s="2"/>
      <c r="LWZ6" s="2"/>
      <c r="LXA6" s="2"/>
      <c r="LXB6" s="2"/>
      <c r="LXC6" s="2"/>
      <c r="LXD6" s="2"/>
      <c r="LXE6" s="2"/>
      <c r="LXF6" s="2"/>
      <c r="LXG6" s="2"/>
      <c r="LXH6" s="2"/>
      <c r="LXI6" s="2"/>
      <c r="LXJ6" s="2"/>
      <c r="LXK6" s="2"/>
      <c r="LXL6" s="2"/>
      <c r="LXM6" s="2"/>
      <c r="LXN6" s="2"/>
      <c r="LXO6" s="2"/>
      <c r="LXP6" s="2"/>
      <c r="LXQ6" s="2"/>
      <c r="LXR6" s="2"/>
      <c r="LXS6" s="2"/>
      <c r="LXT6" s="2"/>
      <c r="LXU6" s="2"/>
      <c r="LXV6" s="2"/>
      <c r="LXW6" s="2"/>
      <c r="LXX6" s="2"/>
      <c r="LXY6" s="2"/>
      <c r="LXZ6" s="2"/>
      <c r="LYA6" s="2"/>
      <c r="LYB6" s="2"/>
      <c r="LYC6" s="2"/>
      <c r="LYD6" s="2"/>
      <c r="LYE6" s="2"/>
      <c r="LYF6" s="2"/>
      <c r="LYG6" s="2"/>
      <c r="LYH6" s="2"/>
      <c r="LYI6" s="2"/>
      <c r="LYJ6" s="2"/>
      <c r="LYK6" s="2"/>
      <c r="LYL6" s="2"/>
      <c r="LYM6" s="2"/>
      <c r="LYN6" s="2"/>
      <c r="LYO6" s="2"/>
      <c r="LYP6" s="2"/>
      <c r="LYQ6" s="2"/>
      <c r="LYR6" s="2"/>
      <c r="LYS6" s="2"/>
      <c r="LYT6" s="2"/>
      <c r="LYU6" s="2"/>
      <c r="LYV6" s="2"/>
      <c r="LYW6" s="2"/>
      <c r="LYX6" s="2"/>
      <c r="LYY6" s="2"/>
      <c r="LYZ6" s="2"/>
      <c r="LZA6" s="2"/>
      <c r="LZB6" s="2"/>
      <c r="LZC6" s="2"/>
      <c r="LZD6" s="2"/>
      <c r="LZE6" s="2"/>
      <c r="LZF6" s="2"/>
      <c r="LZG6" s="2"/>
      <c r="LZH6" s="2"/>
      <c r="LZI6" s="2"/>
      <c r="LZJ6" s="2"/>
      <c r="LZK6" s="2"/>
      <c r="LZL6" s="2"/>
      <c r="LZM6" s="2"/>
      <c r="LZN6" s="2"/>
      <c r="LZO6" s="2"/>
      <c r="LZP6" s="2"/>
      <c r="LZQ6" s="2"/>
      <c r="LZR6" s="2"/>
      <c r="LZS6" s="2"/>
      <c r="LZT6" s="2"/>
      <c r="LZU6" s="2"/>
      <c r="LZV6" s="2"/>
      <c r="LZW6" s="2"/>
      <c r="LZX6" s="2"/>
      <c r="LZY6" s="2"/>
      <c r="LZZ6" s="2"/>
      <c r="MAA6" s="2"/>
      <c r="MAB6" s="2"/>
      <c r="MAC6" s="2"/>
      <c r="MAD6" s="2"/>
      <c r="MAE6" s="2"/>
      <c r="MAF6" s="2"/>
      <c r="MAG6" s="2"/>
      <c r="MAH6" s="2"/>
      <c r="MAI6" s="2"/>
      <c r="MAJ6" s="2"/>
      <c r="MAK6" s="2"/>
      <c r="MAL6" s="2"/>
      <c r="MAM6" s="2"/>
      <c r="MAN6" s="2"/>
      <c r="MAO6" s="2"/>
      <c r="MAP6" s="2"/>
      <c r="MAQ6" s="2"/>
      <c r="MAR6" s="2"/>
      <c r="MAS6" s="2"/>
      <c r="MAT6" s="2"/>
      <c r="MAU6" s="2"/>
      <c r="MAV6" s="2"/>
      <c r="MAW6" s="2"/>
      <c r="MAX6" s="2"/>
      <c r="MAY6" s="2"/>
      <c r="MAZ6" s="2"/>
      <c r="MBA6" s="2"/>
      <c r="MBB6" s="2"/>
      <c r="MBC6" s="2"/>
      <c r="MBD6" s="2"/>
      <c r="MBE6" s="2"/>
      <c r="MBF6" s="2"/>
      <c r="MBG6" s="2"/>
      <c r="MBH6" s="2"/>
      <c r="MBI6" s="2"/>
      <c r="MBJ6" s="2"/>
      <c r="MBK6" s="2"/>
      <c r="MBL6" s="2"/>
      <c r="MBM6" s="2"/>
      <c r="MBN6" s="2"/>
      <c r="MBO6" s="2"/>
      <c r="MBP6" s="2"/>
      <c r="MBQ6" s="2"/>
      <c r="MBR6" s="2"/>
      <c r="MBS6" s="2"/>
      <c r="MBT6" s="2"/>
      <c r="MBU6" s="2"/>
      <c r="MBV6" s="2"/>
      <c r="MBW6" s="2"/>
      <c r="MBX6" s="2"/>
      <c r="MBY6" s="2"/>
      <c r="MBZ6" s="2"/>
      <c r="MCA6" s="2"/>
      <c r="MCB6" s="2"/>
      <c r="MCC6" s="2"/>
      <c r="MCD6" s="2"/>
      <c r="MCE6" s="2"/>
      <c r="MCF6" s="2"/>
      <c r="MCG6" s="2"/>
      <c r="MCH6" s="2"/>
      <c r="MCI6" s="2"/>
      <c r="MCJ6" s="2"/>
      <c r="MCK6" s="2"/>
      <c r="MCL6" s="2"/>
      <c r="MCM6" s="2"/>
      <c r="MCN6" s="2"/>
      <c r="MCO6" s="2"/>
      <c r="MCP6" s="2"/>
      <c r="MCQ6" s="2"/>
      <c r="MCR6" s="2"/>
      <c r="MCS6" s="2"/>
      <c r="MCT6" s="2"/>
      <c r="MCU6" s="2"/>
      <c r="MCV6" s="2"/>
      <c r="MCW6" s="2"/>
      <c r="MCX6" s="2"/>
      <c r="MCY6" s="2"/>
      <c r="MCZ6" s="2"/>
      <c r="MDA6" s="2"/>
      <c r="MDB6" s="2"/>
      <c r="MDC6" s="2"/>
      <c r="MDD6" s="2"/>
      <c r="MDE6" s="2"/>
      <c r="MDF6" s="2"/>
      <c r="MDG6" s="2"/>
      <c r="MDH6" s="2"/>
      <c r="MDI6" s="2"/>
      <c r="MDJ6" s="2"/>
      <c r="MDK6" s="2"/>
      <c r="MDL6" s="2"/>
      <c r="MDM6" s="2"/>
      <c r="MDN6" s="2"/>
      <c r="MDO6" s="2"/>
      <c r="MDP6" s="2"/>
      <c r="MDQ6" s="2"/>
      <c r="MDR6" s="2"/>
      <c r="MDS6" s="2"/>
      <c r="MDT6" s="2"/>
      <c r="MDU6" s="2"/>
      <c r="MDV6" s="2"/>
      <c r="MDW6" s="2"/>
      <c r="MDX6" s="2"/>
      <c r="MDY6" s="2"/>
      <c r="MDZ6" s="2"/>
      <c r="MEA6" s="2"/>
      <c r="MEB6" s="2"/>
      <c r="MEC6" s="2"/>
      <c r="MED6" s="2"/>
      <c r="MEE6" s="2"/>
      <c r="MEF6" s="2"/>
      <c r="MEG6" s="2"/>
      <c r="MEH6" s="2"/>
      <c r="MEI6" s="2"/>
      <c r="MEJ6" s="2"/>
      <c r="MEK6" s="2"/>
      <c r="MEL6" s="2"/>
      <c r="MEM6" s="2"/>
      <c r="MEN6" s="2"/>
      <c r="MEO6" s="2"/>
      <c r="MEP6" s="2"/>
      <c r="MEQ6" s="2"/>
      <c r="MER6" s="2"/>
      <c r="MES6" s="2"/>
      <c r="MET6" s="2"/>
      <c r="MEU6" s="2"/>
      <c r="MEV6" s="2"/>
      <c r="MEW6" s="2"/>
      <c r="MEX6" s="2"/>
      <c r="MEY6" s="2"/>
      <c r="MEZ6" s="2"/>
      <c r="MFA6" s="2"/>
      <c r="MFB6" s="2"/>
      <c r="MFC6" s="2"/>
      <c r="MFD6" s="2"/>
      <c r="MFE6" s="2"/>
      <c r="MFF6" s="2"/>
      <c r="MFG6" s="2"/>
      <c r="MFH6" s="2"/>
      <c r="MFI6" s="2"/>
      <c r="MFJ6" s="2"/>
      <c r="MFK6" s="2"/>
      <c r="MFL6" s="2"/>
      <c r="MFM6" s="2"/>
      <c r="MFN6" s="2"/>
      <c r="MFO6" s="2"/>
      <c r="MFP6" s="2"/>
      <c r="MFQ6" s="2"/>
      <c r="MFR6" s="2"/>
      <c r="MFS6" s="2"/>
      <c r="MFT6" s="2"/>
      <c r="MFU6" s="2"/>
      <c r="MFV6" s="2"/>
      <c r="MFW6" s="2"/>
      <c r="MFX6" s="2"/>
      <c r="MFY6" s="2"/>
      <c r="MFZ6" s="2"/>
      <c r="MGA6" s="2"/>
      <c r="MGB6" s="2"/>
      <c r="MGC6" s="2"/>
      <c r="MGD6" s="2"/>
      <c r="MGE6" s="2"/>
      <c r="MGF6" s="2"/>
      <c r="MGG6" s="2"/>
      <c r="MGH6" s="2"/>
      <c r="MGI6" s="2"/>
      <c r="MGJ6" s="2"/>
      <c r="MGK6" s="2"/>
      <c r="MGL6" s="2"/>
      <c r="MGM6" s="2"/>
      <c r="MGN6" s="2"/>
      <c r="MGO6" s="2"/>
      <c r="MGP6" s="2"/>
      <c r="MGQ6" s="2"/>
      <c r="MGR6" s="2"/>
      <c r="MGS6" s="2"/>
      <c r="MGT6" s="2"/>
      <c r="MGU6" s="2"/>
      <c r="MGV6" s="2"/>
      <c r="MGW6" s="2"/>
      <c r="MGX6" s="2"/>
      <c r="MGY6" s="2"/>
      <c r="MGZ6" s="2"/>
      <c r="MHA6" s="2"/>
      <c r="MHB6" s="2"/>
      <c r="MHC6" s="2"/>
      <c r="MHD6" s="2"/>
      <c r="MHE6" s="2"/>
      <c r="MHF6" s="2"/>
      <c r="MHG6" s="2"/>
      <c r="MHH6" s="2"/>
      <c r="MHI6" s="2"/>
      <c r="MHJ6" s="2"/>
      <c r="MHK6" s="2"/>
      <c r="MHL6" s="2"/>
      <c r="MHM6" s="2"/>
      <c r="MHN6" s="2"/>
      <c r="MHO6" s="2"/>
      <c r="MHP6" s="2"/>
      <c r="MHQ6" s="2"/>
      <c r="MHR6" s="2"/>
      <c r="MHS6" s="2"/>
      <c r="MHT6" s="2"/>
      <c r="MHU6" s="2"/>
      <c r="MHV6" s="2"/>
      <c r="MHW6" s="2"/>
      <c r="MHX6" s="2"/>
      <c r="MHY6" s="2"/>
      <c r="MHZ6" s="2"/>
      <c r="MIA6" s="2"/>
      <c r="MIB6" s="2"/>
      <c r="MIC6" s="2"/>
      <c r="MID6" s="2"/>
      <c r="MIE6" s="2"/>
      <c r="MIF6" s="2"/>
      <c r="MIG6" s="2"/>
      <c r="MIH6" s="2"/>
      <c r="MII6" s="2"/>
      <c r="MIJ6" s="2"/>
      <c r="MIK6" s="2"/>
      <c r="MIL6" s="2"/>
      <c r="MIM6" s="2"/>
      <c r="MIN6" s="2"/>
      <c r="MIO6" s="2"/>
      <c r="MIP6" s="2"/>
      <c r="MIQ6" s="2"/>
      <c r="MIR6" s="2"/>
      <c r="MIS6" s="2"/>
      <c r="MIT6" s="2"/>
      <c r="MIU6" s="2"/>
      <c r="MIV6" s="2"/>
      <c r="MIW6" s="2"/>
      <c r="MIX6" s="2"/>
      <c r="MIY6" s="2"/>
      <c r="MIZ6" s="2"/>
      <c r="MJA6" s="2"/>
      <c r="MJB6" s="2"/>
      <c r="MJC6" s="2"/>
      <c r="MJD6" s="2"/>
      <c r="MJE6" s="2"/>
      <c r="MJF6" s="2"/>
      <c r="MJG6" s="2"/>
      <c r="MJH6" s="2"/>
      <c r="MJI6" s="2"/>
      <c r="MJJ6" s="2"/>
      <c r="MJK6" s="2"/>
      <c r="MJL6" s="2"/>
      <c r="MJM6" s="2"/>
      <c r="MJN6" s="2"/>
      <c r="MJO6" s="2"/>
      <c r="MJP6" s="2"/>
      <c r="MJQ6" s="2"/>
      <c r="MJR6" s="2"/>
      <c r="MJS6" s="2"/>
      <c r="MJT6" s="2"/>
      <c r="MJU6" s="2"/>
      <c r="MJV6" s="2"/>
      <c r="MJW6" s="2"/>
      <c r="MJX6" s="2"/>
      <c r="MJY6" s="2"/>
      <c r="MJZ6" s="2"/>
      <c r="MKA6" s="2"/>
      <c r="MKB6" s="2"/>
      <c r="MKC6" s="2"/>
      <c r="MKD6" s="2"/>
      <c r="MKE6" s="2"/>
      <c r="MKF6" s="2"/>
      <c r="MKG6" s="2"/>
      <c r="MKH6" s="2"/>
      <c r="MKI6" s="2"/>
      <c r="MKJ6" s="2"/>
      <c r="MKK6" s="2"/>
      <c r="MKL6" s="2"/>
      <c r="MKM6" s="2"/>
      <c r="MKN6" s="2"/>
      <c r="MKO6" s="2"/>
      <c r="MKP6" s="2"/>
      <c r="MKQ6" s="2"/>
      <c r="MKR6" s="2"/>
      <c r="MKS6" s="2"/>
      <c r="MKT6" s="2"/>
      <c r="MKU6" s="2"/>
      <c r="MKV6" s="2"/>
      <c r="MKW6" s="2"/>
      <c r="MKX6" s="2"/>
      <c r="MKY6" s="2"/>
      <c r="MKZ6" s="2"/>
      <c r="MLA6" s="2"/>
      <c r="MLB6" s="2"/>
      <c r="MLC6" s="2"/>
      <c r="MLD6" s="2"/>
      <c r="MLE6" s="2"/>
      <c r="MLF6" s="2"/>
      <c r="MLG6" s="2"/>
      <c r="MLH6" s="2"/>
      <c r="MLI6" s="2"/>
      <c r="MLJ6" s="2"/>
      <c r="MLK6" s="2"/>
      <c r="MLL6" s="2"/>
      <c r="MLM6" s="2"/>
      <c r="MLN6" s="2"/>
      <c r="MLO6" s="2"/>
      <c r="MLP6" s="2"/>
      <c r="MLQ6" s="2"/>
      <c r="MLR6" s="2"/>
      <c r="MLS6" s="2"/>
      <c r="MLT6" s="2"/>
      <c r="MLU6" s="2"/>
      <c r="MLV6" s="2"/>
      <c r="MLW6" s="2"/>
      <c r="MLX6" s="2"/>
      <c r="MLY6" s="2"/>
      <c r="MLZ6" s="2"/>
      <c r="MMA6" s="2"/>
      <c r="MMB6" s="2"/>
      <c r="MMC6" s="2"/>
      <c r="MMD6" s="2"/>
      <c r="MME6" s="2"/>
      <c r="MMF6" s="2"/>
      <c r="MMG6" s="2"/>
      <c r="MMH6" s="2"/>
      <c r="MMI6" s="2"/>
      <c r="MMJ6" s="2"/>
      <c r="MMK6" s="2"/>
      <c r="MML6" s="2"/>
      <c r="MMM6" s="2"/>
      <c r="MMN6" s="2"/>
      <c r="MMO6" s="2"/>
      <c r="MMP6" s="2"/>
      <c r="MMQ6" s="2"/>
      <c r="MMR6" s="2"/>
      <c r="MMS6" s="2"/>
      <c r="MMT6" s="2"/>
      <c r="MMU6" s="2"/>
      <c r="MMV6" s="2"/>
      <c r="MMW6" s="2"/>
      <c r="MMX6" s="2"/>
      <c r="MMY6" s="2"/>
      <c r="MMZ6" s="2"/>
      <c r="MNA6" s="2"/>
      <c r="MNB6" s="2"/>
      <c r="MNC6" s="2"/>
      <c r="MND6" s="2"/>
      <c r="MNE6" s="2"/>
      <c r="MNF6" s="2"/>
      <c r="MNG6" s="2"/>
      <c r="MNH6" s="2"/>
      <c r="MNI6" s="2"/>
      <c r="MNJ6" s="2"/>
      <c r="MNK6" s="2"/>
      <c r="MNL6" s="2"/>
      <c r="MNM6" s="2"/>
      <c r="MNN6" s="2"/>
      <c r="MNO6" s="2"/>
      <c r="MNP6" s="2"/>
      <c r="MNQ6" s="2"/>
      <c r="MNR6" s="2"/>
      <c r="MNS6" s="2"/>
      <c r="MNT6" s="2"/>
      <c r="MNU6" s="2"/>
      <c r="MNV6" s="2"/>
      <c r="MNW6" s="2"/>
      <c r="MNX6" s="2"/>
      <c r="MNY6" s="2"/>
      <c r="MNZ6" s="2"/>
      <c r="MOA6" s="2"/>
      <c r="MOB6" s="2"/>
      <c r="MOC6" s="2"/>
      <c r="MOD6" s="2"/>
      <c r="MOE6" s="2"/>
      <c r="MOF6" s="2"/>
      <c r="MOG6" s="2"/>
      <c r="MOH6" s="2"/>
      <c r="MOI6" s="2"/>
      <c r="MOJ6" s="2"/>
      <c r="MOK6" s="2"/>
      <c r="MOL6" s="2"/>
      <c r="MOM6" s="2"/>
      <c r="MON6" s="2"/>
      <c r="MOO6" s="2"/>
      <c r="MOP6" s="2"/>
      <c r="MOQ6" s="2"/>
      <c r="MOR6" s="2"/>
      <c r="MOS6" s="2"/>
      <c r="MOT6" s="2"/>
      <c r="MOU6" s="2"/>
      <c r="MOV6" s="2"/>
      <c r="MOW6" s="2"/>
      <c r="MOX6" s="2"/>
      <c r="MOY6" s="2"/>
      <c r="MOZ6" s="2"/>
      <c r="MPA6" s="2"/>
      <c r="MPB6" s="2"/>
      <c r="MPC6" s="2"/>
      <c r="MPD6" s="2"/>
      <c r="MPE6" s="2"/>
      <c r="MPF6" s="2"/>
      <c r="MPG6" s="2"/>
      <c r="MPH6" s="2"/>
      <c r="MPI6" s="2"/>
      <c r="MPJ6" s="2"/>
      <c r="MPK6" s="2"/>
      <c r="MPL6" s="2"/>
      <c r="MPM6" s="2"/>
      <c r="MPN6" s="2"/>
      <c r="MPO6" s="2"/>
      <c r="MPP6" s="2"/>
      <c r="MPQ6" s="2"/>
      <c r="MPR6" s="2"/>
      <c r="MPS6" s="2"/>
      <c r="MPT6" s="2"/>
      <c r="MPU6" s="2"/>
      <c r="MPV6" s="2"/>
      <c r="MPW6" s="2"/>
      <c r="MPX6" s="2"/>
      <c r="MPY6" s="2"/>
      <c r="MPZ6" s="2"/>
      <c r="MQA6" s="2"/>
      <c r="MQB6" s="2"/>
      <c r="MQC6" s="2"/>
      <c r="MQD6" s="2"/>
      <c r="MQE6" s="2"/>
      <c r="MQF6" s="2"/>
      <c r="MQG6" s="2"/>
      <c r="MQH6" s="2"/>
      <c r="MQI6" s="2"/>
      <c r="MQJ6" s="2"/>
      <c r="MQK6" s="2"/>
      <c r="MQL6" s="2"/>
      <c r="MQM6" s="2"/>
      <c r="MQN6" s="2"/>
      <c r="MQO6" s="2"/>
      <c r="MQP6" s="2"/>
      <c r="MQQ6" s="2"/>
      <c r="MQR6" s="2"/>
      <c r="MQS6" s="2"/>
      <c r="MQT6" s="2"/>
      <c r="MQU6" s="2"/>
      <c r="MQV6" s="2"/>
      <c r="MQW6" s="2"/>
      <c r="MQX6" s="2"/>
      <c r="MQY6" s="2"/>
      <c r="MQZ6" s="2"/>
      <c r="MRA6" s="2"/>
      <c r="MRB6" s="2"/>
      <c r="MRC6" s="2"/>
      <c r="MRD6" s="2"/>
      <c r="MRE6" s="2"/>
      <c r="MRF6" s="2"/>
      <c r="MRG6" s="2"/>
      <c r="MRH6" s="2"/>
      <c r="MRI6" s="2"/>
      <c r="MRJ6" s="2"/>
      <c r="MRK6" s="2"/>
      <c r="MRL6" s="2"/>
      <c r="MRM6" s="2"/>
      <c r="MRN6" s="2"/>
      <c r="MRO6" s="2"/>
      <c r="MRP6" s="2"/>
      <c r="MRQ6" s="2"/>
      <c r="MRR6" s="2"/>
      <c r="MRS6" s="2"/>
      <c r="MRT6" s="2"/>
      <c r="MRU6" s="2"/>
      <c r="MRV6" s="2"/>
      <c r="MRW6" s="2"/>
      <c r="MRX6" s="2"/>
      <c r="MRY6" s="2"/>
      <c r="MRZ6" s="2"/>
      <c r="MSA6" s="2"/>
      <c r="MSB6" s="2"/>
      <c r="MSC6" s="2"/>
      <c r="MSD6" s="2"/>
      <c r="MSE6" s="2"/>
      <c r="MSF6" s="2"/>
      <c r="MSG6" s="2"/>
      <c r="MSH6" s="2"/>
      <c r="MSI6" s="2"/>
      <c r="MSJ6" s="2"/>
      <c r="MSK6" s="2"/>
      <c r="MSL6" s="2"/>
      <c r="MSM6" s="2"/>
      <c r="MSN6" s="2"/>
      <c r="MSO6" s="2"/>
      <c r="MSP6" s="2"/>
      <c r="MSQ6" s="2"/>
      <c r="MSR6" s="2"/>
      <c r="MSS6" s="2"/>
      <c r="MST6" s="2"/>
      <c r="MSU6" s="2"/>
      <c r="MSV6" s="2"/>
      <c r="MSW6" s="2"/>
      <c r="MSX6" s="2"/>
      <c r="MSY6" s="2"/>
      <c r="MSZ6" s="2"/>
      <c r="MTA6" s="2"/>
      <c r="MTB6" s="2"/>
      <c r="MTC6" s="2"/>
      <c r="MTD6" s="2"/>
      <c r="MTE6" s="2"/>
      <c r="MTF6" s="2"/>
      <c r="MTG6" s="2"/>
      <c r="MTH6" s="2"/>
      <c r="MTI6" s="2"/>
      <c r="MTJ6" s="2"/>
      <c r="MTK6" s="2"/>
      <c r="MTL6" s="2"/>
      <c r="MTM6" s="2"/>
      <c r="MTN6" s="2"/>
      <c r="MTO6" s="2"/>
      <c r="MTP6" s="2"/>
      <c r="MTQ6" s="2"/>
      <c r="MTR6" s="2"/>
      <c r="MTS6" s="2"/>
      <c r="MTT6" s="2"/>
      <c r="MTU6" s="2"/>
      <c r="MTV6" s="2"/>
      <c r="MTW6" s="2"/>
      <c r="MTX6" s="2"/>
      <c r="MTY6" s="2"/>
      <c r="MTZ6" s="2"/>
      <c r="MUA6" s="2"/>
      <c r="MUB6" s="2"/>
      <c r="MUC6" s="2"/>
      <c r="MUD6" s="2"/>
      <c r="MUE6" s="2"/>
      <c r="MUF6" s="2"/>
      <c r="MUG6" s="2"/>
      <c r="MUH6" s="2"/>
      <c r="MUI6" s="2"/>
      <c r="MUJ6" s="2"/>
      <c r="MUK6" s="2"/>
      <c r="MUL6" s="2"/>
      <c r="MUM6" s="2"/>
      <c r="MUN6" s="2"/>
      <c r="MUO6" s="2"/>
      <c r="MUP6" s="2"/>
      <c r="MUQ6" s="2"/>
      <c r="MUR6" s="2"/>
      <c r="MUS6" s="2"/>
      <c r="MUT6" s="2"/>
      <c r="MUU6" s="2"/>
      <c r="MUV6" s="2"/>
      <c r="MUW6" s="2"/>
      <c r="MUX6" s="2"/>
      <c r="MUY6" s="2"/>
      <c r="MUZ6" s="2"/>
      <c r="MVA6" s="2"/>
      <c r="MVB6" s="2"/>
      <c r="MVC6" s="2"/>
      <c r="MVD6" s="2"/>
      <c r="MVE6" s="2"/>
      <c r="MVF6" s="2"/>
      <c r="MVG6" s="2"/>
      <c r="MVH6" s="2"/>
      <c r="MVI6" s="2"/>
      <c r="MVJ6" s="2"/>
      <c r="MVK6" s="2"/>
      <c r="MVL6" s="2"/>
      <c r="MVM6" s="2"/>
      <c r="MVN6" s="2"/>
      <c r="MVO6" s="2"/>
      <c r="MVP6" s="2"/>
      <c r="MVQ6" s="2"/>
      <c r="MVR6" s="2"/>
      <c r="MVS6" s="2"/>
      <c r="MVT6" s="2"/>
      <c r="MVU6" s="2"/>
      <c r="MVV6" s="2"/>
      <c r="MVW6" s="2"/>
      <c r="MVX6" s="2"/>
      <c r="MVY6" s="2"/>
      <c r="MVZ6" s="2"/>
      <c r="MWA6" s="2"/>
      <c r="MWB6" s="2"/>
      <c r="MWC6" s="2"/>
      <c r="MWD6" s="2"/>
      <c r="MWE6" s="2"/>
      <c r="MWF6" s="2"/>
      <c r="MWG6" s="2"/>
      <c r="MWH6" s="2"/>
      <c r="MWI6" s="2"/>
      <c r="MWJ6" s="2"/>
      <c r="MWK6" s="2"/>
      <c r="MWL6" s="2"/>
      <c r="MWM6" s="2"/>
      <c r="MWN6" s="2"/>
      <c r="MWO6" s="2"/>
      <c r="MWP6" s="2"/>
      <c r="MWQ6" s="2"/>
      <c r="MWR6" s="2"/>
      <c r="MWS6" s="2"/>
      <c r="MWT6" s="2"/>
      <c r="MWU6" s="2"/>
      <c r="MWV6" s="2"/>
      <c r="MWW6" s="2"/>
      <c r="MWX6" s="2"/>
      <c r="MWY6" s="2"/>
      <c r="MWZ6" s="2"/>
      <c r="MXA6" s="2"/>
      <c r="MXB6" s="2"/>
      <c r="MXC6" s="2"/>
      <c r="MXD6" s="2"/>
      <c r="MXE6" s="2"/>
      <c r="MXF6" s="2"/>
      <c r="MXG6" s="2"/>
      <c r="MXH6" s="2"/>
      <c r="MXI6" s="2"/>
      <c r="MXJ6" s="2"/>
      <c r="MXK6" s="2"/>
      <c r="MXL6" s="2"/>
      <c r="MXM6" s="2"/>
      <c r="MXN6" s="2"/>
      <c r="MXO6" s="2"/>
      <c r="MXP6" s="2"/>
      <c r="MXQ6" s="2"/>
      <c r="MXR6" s="2"/>
      <c r="MXS6" s="2"/>
      <c r="MXT6" s="2"/>
      <c r="MXU6" s="2"/>
      <c r="MXV6" s="2"/>
      <c r="MXW6" s="2"/>
      <c r="MXX6" s="2"/>
      <c r="MXY6" s="2"/>
      <c r="MXZ6" s="2"/>
      <c r="MYA6" s="2"/>
      <c r="MYB6" s="2"/>
      <c r="MYC6" s="2"/>
      <c r="MYD6" s="2"/>
      <c r="MYE6" s="2"/>
      <c r="MYF6" s="2"/>
      <c r="MYG6" s="2"/>
      <c r="MYH6" s="2"/>
      <c r="MYI6" s="2"/>
      <c r="MYJ6" s="2"/>
      <c r="MYK6" s="2"/>
      <c r="MYL6" s="2"/>
      <c r="MYM6" s="2"/>
      <c r="MYN6" s="2"/>
      <c r="MYO6" s="2"/>
      <c r="MYP6" s="2"/>
      <c r="MYQ6" s="2"/>
      <c r="MYR6" s="2"/>
      <c r="MYS6" s="2"/>
      <c r="MYT6" s="2"/>
      <c r="MYU6" s="2"/>
      <c r="MYV6" s="2"/>
      <c r="MYW6" s="2"/>
      <c r="MYX6" s="2"/>
      <c r="MYY6" s="2"/>
      <c r="MYZ6" s="2"/>
      <c r="MZA6" s="2"/>
      <c r="MZB6" s="2"/>
      <c r="MZC6" s="2"/>
      <c r="MZD6" s="2"/>
      <c r="MZE6" s="2"/>
      <c r="MZF6" s="2"/>
      <c r="MZG6" s="2"/>
      <c r="MZH6" s="2"/>
      <c r="MZI6" s="2"/>
      <c r="MZJ6" s="2"/>
      <c r="MZK6" s="2"/>
      <c r="MZL6" s="2"/>
      <c r="MZM6" s="2"/>
      <c r="MZN6" s="2"/>
      <c r="MZO6" s="2"/>
      <c r="MZP6" s="2"/>
      <c r="MZQ6" s="2"/>
      <c r="MZR6" s="2"/>
      <c r="MZS6" s="2"/>
      <c r="MZT6" s="2"/>
      <c r="MZU6" s="2"/>
      <c r="MZV6" s="2"/>
      <c r="MZW6" s="2"/>
      <c r="MZX6" s="2"/>
      <c r="MZY6" s="2"/>
      <c r="MZZ6" s="2"/>
      <c r="NAA6" s="2"/>
      <c r="NAB6" s="2"/>
      <c r="NAC6" s="2"/>
      <c r="NAD6" s="2"/>
      <c r="NAE6" s="2"/>
      <c r="NAF6" s="2"/>
      <c r="NAG6" s="2"/>
      <c r="NAH6" s="2"/>
      <c r="NAI6" s="2"/>
      <c r="NAJ6" s="2"/>
      <c r="NAK6" s="2"/>
      <c r="NAL6" s="2"/>
      <c r="NAM6" s="2"/>
      <c r="NAN6" s="2"/>
      <c r="NAO6" s="2"/>
      <c r="NAP6" s="2"/>
      <c r="NAQ6" s="2"/>
      <c r="NAR6" s="2"/>
      <c r="NAS6" s="2"/>
      <c r="NAT6" s="2"/>
      <c r="NAU6" s="2"/>
      <c r="NAV6" s="2"/>
      <c r="NAW6" s="2"/>
      <c r="NAX6" s="2"/>
      <c r="NAY6" s="2"/>
      <c r="NAZ6" s="2"/>
      <c r="NBA6" s="2"/>
      <c r="NBB6" s="2"/>
      <c r="NBC6" s="2"/>
      <c r="NBD6" s="2"/>
      <c r="NBE6" s="2"/>
      <c r="NBF6" s="2"/>
      <c r="NBG6" s="2"/>
      <c r="NBH6" s="2"/>
      <c r="NBI6" s="2"/>
      <c r="NBJ6" s="2"/>
      <c r="NBK6" s="2"/>
      <c r="NBL6" s="2"/>
      <c r="NBM6" s="2"/>
      <c r="NBN6" s="2"/>
      <c r="NBO6" s="2"/>
      <c r="NBP6" s="2"/>
      <c r="NBQ6" s="2"/>
      <c r="NBR6" s="2"/>
      <c r="NBS6" s="2"/>
      <c r="NBT6" s="2"/>
      <c r="NBU6" s="2"/>
      <c r="NBV6" s="2"/>
      <c r="NBW6" s="2"/>
      <c r="NBX6" s="2"/>
      <c r="NBY6" s="2"/>
      <c r="NBZ6" s="2"/>
      <c r="NCA6" s="2"/>
      <c r="NCB6" s="2"/>
      <c r="NCC6" s="2"/>
      <c r="NCD6" s="2"/>
      <c r="NCE6" s="2"/>
      <c r="NCF6" s="2"/>
      <c r="NCG6" s="2"/>
      <c r="NCH6" s="2"/>
      <c r="NCI6" s="2"/>
      <c r="NCJ6" s="2"/>
      <c r="NCK6" s="2"/>
      <c r="NCL6" s="2"/>
      <c r="NCM6" s="2"/>
      <c r="NCN6" s="2"/>
      <c r="NCO6" s="2"/>
      <c r="NCP6" s="2"/>
      <c r="NCQ6" s="2"/>
      <c r="NCR6" s="2"/>
      <c r="NCS6" s="2"/>
      <c r="NCT6" s="2"/>
      <c r="NCU6" s="2"/>
      <c r="NCV6" s="2"/>
      <c r="NCW6" s="2"/>
      <c r="NCX6" s="2"/>
      <c r="NCY6" s="2"/>
      <c r="NCZ6" s="2"/>
      <c r="NDA6" s="2"/>
      <c r="NDB6" s="2"/>
      <c r="NDC6" s="2"/>
      <c r="NDD6" s="2"/>
      <c r="NDE6" s="2"/>
      <c r="NDF6" s="2"/>
      <c r="NDG6" s="2"/>
      <c r="NDH6" s="2"/>
      <c r="NDI6" s="2"/>
      <c r="NDJ6" s="2"/>
      <c r="NDK6" s="2"/>
      <c r="NDL6" s="2"/>
      <c r="NDM6" s="2"/>
      <c r="NDN6" s="2"/>
      <c r="NDO6" s="2"/>
      <c r="NDP6" s="2"/>
      <c r="NDQ6" s="2"/>
      <c r="NDR6" s="2"/>
      <c r="NDS6" s="2"/>
      <c r="NDT6" s="2"/>
      <c r="NDU6" s="2"/>
      <c r="NDV6" s="2"/>
      <c r="NDW6" s="2"/>
      <c r="NDX6" s="2"/>
      <c r="NDY6" s="2"/>
      <c r="NDZ6" s="2"/>
      <c r="NEA6" s="2"/>
      <c r="NEB6" s="2"/>
      <c r="NEC6" s="2"/>
      <c r="NED6" s="2"/>
      <c r="NEE6" s="2"/>
      <c r="NEF6" s="2"/>
      <c r="NEG6" s="2"/>
      <c r="NEH6" s="2"/>
      <c r="NEI6" s="2"/>
      <c r="NEJ6" s="2"/>
      <c r="NEK6" s="2"/>
      <c r="NEL6" s="2"/>
      <c r="NEM6" s="2"/>
      <c r="NEN6" s="2"/>
      <c r="NEO6" s="2"/>
      <c r="NEP6" s="2"/>
      <c r="NEQ6" s="2"/>
      <c r="NER6" s="2"/>
      <c r="NES6" s="2"/>
      <c r="NET6" s="2"/>
      <c r="NEU6" s="2"/>
      <c r="NEV6" s="2"/>
      <c r="NEW6" s="2"/>
      <c r="NEX6" s="2"/>
      <c r="NEY6" s="2"/>
      <c r="NEZ6" s="2"/>
      <c r="NFA6" s="2"/>
      <c r="NFB6" s="2"/>
      <c r="NFC6" s="2"/>
      <c r="NFD6" s="2"/>
      <c r="NFE6" s="2"/>
      <c r="NFF6" s="2"/>
      <c r="NFG6" s="2"/>
      <c r="NFH6" s="2"/>
      <c r="NFI6" s="2"/>
      <c r="NFJ6" s="2"/>
      <c r="NFK6" s="2"/>
      <c r="NFL6" s="2"/>
      <c r="NFM6" s="2"/>
      <c r="NFN6" s="2"/>
      <c r="NFO6" s="2"/>
      <c r="NFP6" s="2"/>
      <c r="NFQ6" s="2"/>
      <c r="NFR6" s="2"/>
      <c r="NFS6" s="2"/>
      <c r="NFT6" s="2"/>
      <c r="NFU6" s="2"/>
      <c r="NFV6" s="2"/>
      <c r="NFW6" s="2"/>
      <c r="NFX6" s="2"/>
      <c r="NFY6" s="2"/>
      <c r="NFZ6" s="2"/>
      <c r="NGA6" s="2"/>
      <c r="NGB6" s="2"/>
      <c r="NGC6" s="2"/>
      <c r="NGD6" s="2"/>
      <c r="NGE6" s="2"/>
      <c r="NGF6" s="2"/>
      <c r="NGG6" s="2"/>
      <c r="NGH6" s="2"/>
      <c r="NGI6" s="2"/>
      <c r="NGJ6" s="2"/>
      <c r="NGK6" s="2"/>
      <c r="NGL6" s="2"/>
      <c r="NGM6" s="2"/>
      <c r="NGN6" s="2"/>
      <c r="NGO6" s="2"/>
      <c r="NGP6" s="2"/>
      <c r="NGQ6" s="2"/>
      <c r="NGR6" s="2"/>
      <c r="NGS6" s="2"/>
      <c r="NGT6" s="2"/>
      <c r="NGU6" s="2"/>
      <c r="NGV6" s="2"/>
      <c r="NGW6" s="2"/>
      <c r="NGX6" s="2"/>
      <c r="NGY6" s="2"/>
      <c r="NGZ6" s="2"/>
      <c r="NHA6" s="2"/>
      <c r="NHB6" s="2"/>
      <c r="NHC6" s="2"/>
      <c r="NHD6" s="2"/>
      <c r="NHE6" s="2"/>
      <c r="NHF6" s="2"/>
      <c r="NHG6" s="2"/>
      <c r="NHH6" s="2"/>
      <c r="NHI6" s="2"/>
      <c r="NHJ6" s="2"/>
      <c r="NHK6" s="2"/>
      <c r="NHL6" s="2"/>
      <c r="NHM6" s="2"/>
      <c r="NHN6" s="2"/>
      <c r="NHO6" s="2"/>
      <c r="NHP6" s="2"/>
      <c r="NHQ6" s="2"/>
      <c r="NHR6" s="2"/>
      <c r="NHS6" s="2"/>
      <c r="NHT6" s="2"/>
      <c r="NHU6" s="2"/>
      <c r="NHV6" s="2"/>
      <c r="NHW6" s="2"/>
      <c r="NHX6" s="2"/>
      <c r="NHY6" s="2"/>
      <c r="NHZ6" s="2"/>
      <c r="NIA6" s="2"/>
      <c r="NIB6" s="2"/>
      <c r="NIC6" s="2"/>
      <c r="NID6" s="2"/>
      <c r="NIE6" s="2"/>
      <c r="NIF6" s="2"/>
      <c r="NIG6" s="2"/>
      <c r="NIH6" s="2"/>
      <c r="NII6" s="2"/>
      <c r="NIJ6" s="2"/>
      <c r="NIK6" s="2"/>
      <c r="NIL6" s="2"/>
      <c r="NIM6" s="2"/>
      <c r="NIN6" s="2"/>
      <c r="NIO6" s="2"/>
      <c r="NIP6" s="2"/>
      <c r="NIQ6" s="2"/>
      <c r="NIR6" s="2"/>
      <c r="NIS6" s="2"/>
      <c r="NIT6" s="2"/>
      <c r="NIU6" s="2"/>
      <c r="NIV6" s="2"/>
      <c r="NIW6" s="2"/>
      <c r="NIX6" s="2"/>
      <c r="NIY6" s="2"/>
      <c r="NIZ6" s="2"/>
      <c r="NJA6" s="2"/>
      <c r="NJB6" s="2"/>
      <c r="NJC6" s="2"/>
      <c r="NJD6" s="2"/>
      <c r="NJE6" s="2"/>
      <c r="NJF6" s="2"/>
      <c r="NJG6" s="2"/>
      <c r="NJH6" s="2"/>
      <c r="NJI6" s="2"/>
      <c r="NJJ6" s="2"/>
      <c r="NJK6" s="2"/>
      <c r="NJL6" s="2"/>
      <c r="NJM6" s="2"/>
      <c r="NJN6" s="2"/>
      <c r="NJO6" s="2"/>
      <c r="NJP6" s="2"/>
      <c r="NJQ6" s="2"/>
      <c r="NJR6" s="2"/>
      <c r="NJS6" s="2"/>
      <c r="NJT6" s="2"/>
      <c r="NJU6" s="2"/>
      <c r="NJV6" s="2"/>
      <c r="NJW6" s="2"/>
      <c r="NJX6" s="2"/>
      <c r="NJY6" s="2"/>
      <c r="NJZ6" s="2"/>
      <c r="NKA6" s="2"/>
      <c r="NKB6" s="2"/>
      <c r="NKC6" s="2"/>
      <c r="NKD6" s="2"/>
      <c r="NKE6" s="2"/>
      <c r="NKF6" s="2"/>
      <c r="NKG6" s="2"/>
      <c r="NKH6" s="2"/>
      <c r="NKI6" s="2"/>
      <c r="NKJ6" s="2"/>
      <c r="NKK6" s="2"/>
      <c r="NKL6" s="2"/>
      <c r="NKM6" s="2"/>
      <c r="NKN6" s="2"/>
      <c r="NKO6" s="2"/>
      <c r="NKP6" s="2"/>
      <c r="NKQ6" s="2"/>
      <c r="NKR6" s="2"/>
      <c r="NKS6" s="2"/>
      <c r="NKT6" s="2"/>
      <c r="NKU6" s="2"/>
      <c r="NKV6" s="2"/>
      <c r="NKW6" s="2"/>
      <c r="NKX6" s="2"/>
      <c r="NKY6" s="2"/>
      <c r="NKZ6" s="2"/>
      <c r="NLA6" s="2"/>
      <c r="NLB6" s="2"/>
      <c r="NLC6" s="2"/>
      <c r="NLD6" s="2"/>
      <c r="NLE6" s="2"/>
      <c r="NLF6" s="2"/>
      <c r="NLG6" s="2"/>
      <c r="NLH6" s="2"/>
      <c r="NLI6" s="2"/>
      <c r="NLJ6" s="2"/>
      <c r="NLK6" s="2"/>
      <c r="NLL6" s="2"/>
      <c r="NLM6" s="2"/>
      <c r="NLN6" s="2"/>
      <c r="NLO6" s="2"/>
      <c r="NLP6" s="2"/>
      <c r="NLQ6" s="2"/>
      <c r="NLR6" s="2"/>
      <c r="NLS6" s="2"/>
      <c r="NLT6" s="2"/>
      <c r="NLU6" s="2"/>
      <c r="NLV6" s="2"/>
      <c r="NLW6" s="2"/>
      <c r="NLX6" s="2"/>
      <c r="NLY6" s="2"/>
      <c r="NLZ6" s="2"/>
      <c r="NMA6" s="2"/>
      <c r="NMB6" s="2"/>
      <c r="NMC6" s="2"/>
      <c r="NMD6" s="2"/>
      <c r="NME6" s="2"/>
      <c r="NMF6" s="2"/>
      <c r="NMG6" s="2"/>
      <c r="NMH6" s="2"/>
      <c r="NMI6" s="2"/>
      <c r="NMJ6" s="2"/>
      <c r="NMK6" s="2"/>
      <c r="NML6" s="2"/>
      <c r="NMM6" s="2"/>
      <c r="NMN6" s="2"/>
      <c r="NMO6" s="2"/>
      <c r="NMP6" s="2"/>
      <c r="NMQ6" s="2"/>
      <c r="NMR6" s="2"/>
      <c r="NMS6" s="2"/>
      <c r="NMT6" s="2"/>
      <c r="NMU6" s="2"/>
      <c r="NMV6" s="2"/>
      <c r="NMW6" s="2"/>
      <c r="NMX6" s="2"/>
      <c r="NMY6" s="2"/>
      <c r="NMZ6" s="2"/>
      <c r="NNA6" s="2"/>
      <c r="NNB6" s="2"/>
      <c r="NNC6" s="2"/>
      <c r="NND6" s="2"/>
      <c r="NNE6" s="2"/>
      <c r="NNF6" s="2"/>
      <c r="NNG6" s="2"/>
      <c r="NNH6" s="2"/>
      <c r="NNI6" s="2"/>
      <c r="NNJ6" s="2"/>
      <c r="NNK6" s="2"/>
      <c r="NNL6" s="2"/>
      <c r="NNM6" s="2"/>
      <c r="NNN6" s="2"/>
      <c r="NNO6" s="2"/>
      <c r="NNP6" s="2"/>
      <c r="NNQ6" s="2"/>
      <c r="NNR6" s="2"/>
      <c r="NNS6" s="2"/>
      <c r="NNT6" s="2"/>
      <c r="NNU6" s="2"/>
      <c r="NNV6" s="2"/>
      <c r="NNW6" s="2"/>
      <c r="NNX6" s="2"/>
      <c r="NNY6" s="2"/>
      <c r="NNZ6" s="2"/>
      <c r="NOA6" s="2"/>
      <c r="NOB6" s="2"/>
      <c r="NOC6" s="2"/>
      <c r="NOD6" s="2"/>
      <c r="NOE6" s="2"/>
      <c r="NOF6" s="2"/>
      <c r="NOG6" s="2"/>
      <c r="NOH6" s="2"/>
      <c r="NOI6" s="2"/>
      <c r="NOJ6" s="2"/>
      <c r="NOK6" s="2"/>
      <c r="NOL6" s="2"/>
      <c r="NOM6" s="2"/>
      <c r="NON6" s="2"/>
      <c r="NOO6" s="2"/>
      <c r="NOP6" s="2"/>
      <c r="NOQ6" s="2"/>
      <c r="NOR6" s="2"/>
      <c r="NOS6" s="2"/>
      <c r="NOT6" s="2"/>
      <c r="NOU6" s="2"/>
      <c r="NOV6" s="2"/>
      <c r="NOW6" s="2"/>
      <c r="NOX6" s="2"/>
      <c r="NOY6" s="2"/>
      <c r="NOZ6" s="2"/>
      <c r="NPA6" s="2"/>
      <c r="NPB6" s="2"/>
      <c r="NPC6" s="2"/>
      <c r="NPD6" s="2"/>
      <c r="NPE6" s="2"/>
      <c r="NPF6" s="2"/>
      <c r="NPG6" s="2"/>
      <c r="NPH6" s="2"/>
      <c r="NPI6" s="2"/>
      <c r="NPJ6" s="2"/>
      <c r="NPK6" s="2"/>
      <c r="NPL6" s="2"/>
      <c r="NPM6" s="2"/>
      <c r="NPN6" s="2"/>
      <c r="NPO6" s="2"/>
      <c r="NPP6" s="2"/>
      <c r="NPQ6" s="2"/>
      <c r="NPR6" s="2"/>
      <c r="NPS6" s="2"/>
      <c r="NPT6" s="2"/>
      <c r="NPU6" s="2"/>
      <c r="NPV6" s="2"/>
      <c r="NPW6" s="2"/>
      <c r="NPX6" s="2"/>
      <c r="NPY6" s="2"/>
      <c r="NPZ6" s="2"/>
      <c r="NQA6" s="2"/>
      <c r="NQB6" s="2"/>
      <c r="NQC6" s="2"/>
      <c r="NQD6" s="2"/>
      <c r="NQE6" s="2"/>
      <c r="NQF6" s="2"/>
      <c r="NQG6" s="2"/>
      <c r="NQH6" s="2"/>
      <c r="NQI6" s="2"/>
      <c r="NQJ6" s="2"/>
      <c r="NQK6" s="2"/>
      <c r="NQL6" s="2"/>
      <c r="NQM6" s="2"/>
      <c r="NQN6" s="2"/>
      <c r="NQO6" s="2"/>
      <c r="NQP6" s="2"/>
      <c r="NQQ6" s="2"/>
      <c r="NQR6" s="2"/>
      <c r="NQS6" s="2"/>
      <c r="NQT6" s="2"/>
      <c r="NQU6" s="2"/>
      <c r="NQV6" s="2"/>
      <c r="NQW6" s="2"/>
      <c r="NQX6" s="2"/>
      <c r="NQY6" s="2"/>
      <c r="NQZ6" s="2"/>
      <c r="NRA6" s="2"/>
      <c r="NRB6" s="2"/>
      <c r="NRC6" s="2"/>
      <c r="NRD6" s="2"/>
      <c r="NRE6" s="2"/>
      <c r="NRF6" s="2"/>
      <c r="NRG6" s="2"/>
      <c r="NRH6" s="2"/>
      <c r="NRI6" s="2"/>
      <c r="NRJ6" s="2"/>
      <c r="NRK6" s="2"/>
      <c r="NRL6" s="2"/>
      <c r="NRM6" s="2"/>
      <c r="NRN6" s="2"/>
      <c r="NRO6" s="2"/>
      <c r="NRP6" s="2"/>
      <c r="NRQ6" s="2"/>
      <c r="NRR6" s="2"/>
      <c r="NRS6" s="2"/>
      <c r="NRT6" s="2"/>
      <c r="NRU6" s="2"/>
      <c r="NRV6" s="2"/>
      <c r="NRW6" s="2"/>
      <c r="NRX6" s="2"/>
      <c r="NRY6" s="2"/>
      <c r="NRZ6" s="2"/>
      <c r="NSA6" s="2"/>
      <c r="NSB6" s="2"/>
      <c r="NSC6" s="2"/>
      <c r="NSD6" s="2"/>
      <c r="NSE6" s="2"/>
      <c r="NSF6" s="2"/>
      <c r="NSG6" s="2"/>
      <c r="NSH6" s="2"/>
      <c r="NSI6" s="2"/>
      <c r="NSJ6" s="2"/>
      <c r="NSK6" s="2"/>
      <c r="NSL6" s="2"/>
      <c r="NSM6" s="2"/>
      <c r="NSN6" s="2"/>
      <c r="NSO6" s="2"/>
      <c r="NSP6" s="2"/>
      <c r="NSQ6" s="2"/>
      <c r="NSR6" s="2"/>
      <c r="NSS6" s="2"/>
      <c r="NST6" s="2"/>
      <c r="NSU6" s="2"/>
      <c r="NSV6" s="2"/>
      <c r="NSW6" s="2"/>
      <c r="NSX6" s="2"/>
      <c r="NSY6" s="2"/>
      <c r="NSZ6" s="2"/>
      <c r="NTA6" s="2"/>
      <c r="NTB6" s="2"/>
      <c r="NTC6" s="2"/>
      <c r="NTD6" s="2"/>
      <c r="NTE6" s="2"/>
      <c r="NTF6" s="2"/>
      <c r="NTG6" s="2"/>
      <c r="NTH6" s="2"/>
      <c r="NTI6" s="2"/>
      <c r="NTJ6" s="2"/>
      <c r="NTK6" s="2"/>
      <c r="NTL6" s="2"/>
      <c r="NTM6" s="2"/>
      <c r="NTN6" s="2"/>
      <c r="NTO6" s="2"/>
      <c r="NTP6" s="2"/>
      <c r="NTQ6" s="2"/>
      <c r="NTR6" s="2"/>
      <c r="NTS6" s="2"/>
      <c r="NTT6" s="2"/>
      <c r="NTU6" s="2"/>
      <c r="NTV6" s="2"/>
      <c r="NTW6" s="2"/>
      <c r="NTX6" s="2"/>
      <c r="NTY6" s="2"/>
      <c r="NTZ6" s="2"/>
      <c r="NUA6" s="2"/>
      <c r="NUB6" s="2"/>
      <c r="NUC6" s="2"/>
      <c r="NUD6" s="2"/>
      <c r="NUE6" s="2"/>
      <c r="NUF6" s="2"/>
      <c r="NUG6" s="2"/>
      <c r="NUH6" s="2"/>
      <c r="NUI6" s="2"/>
      <c r="NUJ6" s="2"/>
      <c r="NUK6" s="2"/>
      <c r="NUL6" s="2"/>
      <c r="NUM6" s="2"/>
      <c r="NUN6" s="2"/>
      <c r="NUO6" s="2"/>
      <c r="NUP6" s="2"/>
      <c r="NUQ6" s="2"/>
      <c r="NUR6" s="2"/>
      <c r="NUS6" s="2"/>
      <c r="NUT6" s="2"/>
      <c r="NUU6" s="2"/>
      <c r="NUV6" s="2"/>
      <c r="NUW6" s="2"/>
      <c r="NUX6" s="2"/>
      <c r="NUY6" s="2"/>
      <c r="NUZ6" s="2"/>
      <c r="NVA6" s="2"/>
      <c r="NVB6" s="2"/>
      <c r="NVC6" s="2"/>
      <c r="NVD6" s="2"/>
      <c r="NVE6" s="2"/>
      <c r="NVF6" s="2"/>
      <c r="NVG6" s="2"/>
      <c r="NVH6" s="2"/>
      <c r="NVI6" s="2"/>
      <c r="NVJ6" s="2"/>
      <c r="NVK6" s="2"/>
      <c r="NVL6" s="2"/>
      <c r="NVM6" s="2"/>
      <c r="NVN6" s="2"/>
      <c r="NVO6" s="2"/>
      <c r="NVP6" s="2"/>
      <c r="NVQ6" s="2"/>
      <c r="NVR6" s="2"/>
      <c r="NVS6" s="2"/>
      <c r="NVT6" s="2"/>
      <c r="NVU6" s="2"/>
      <c r="NVV6" s="2"/>
      <c r="NVW6" s="2"/>
      <c r="NVX6" s="2"/>
      <c r="NVY6" s="2"/>
      <c r="NVZ6" s="2"/>
      <c r="NWA6" s="2"/>
      <c r="NWB6" s="2"/>
      <c r="NWC6" s="2"/>
      <c r="NWD6" s="2"/>
      <c r="NWE6" s="2"/>
      <c r="NWF6" s="2"/>
      <c r="NWG6" s="2"/>
      <c r="NWH6" s="2"/>
      <c r="NWI6" s="2"/>
      <c r="NWJ6" s="2"/>
      <c r="NWK6" s="2"/>
      <c r="NWL6" s="2"/>
      <c r="NWM6" s="2"/>
      <c r="NWN6" s="2"/>
      <c r="NWO6" s="2"/>
      <c r="NWP6" s="2"/>
      <c r="NWQ6" s="2"/>
      <c r="NWR6" s="2"/>
      <c r="NWS6" s="2"/>
      <c r="NWT6" s="2"/>
      <c r="NWU6" s="2"/>
      <c r="NWV6" s="2"/>
      <c r="NWW6" s="2"/>
      <c r="NWX6" s="2"/>
      <c r="NWY6" s="2"/>
      <c r="NWZ6" s="2"/>
      <c r="NXA6" s="2"/>
      <c r="NXB6" s="2"/>
      <c r="NXC6" s="2"/>
      <c r="NXD6" s="2"/>
      <c r="NXE6" s="2"/>
      <c r="NXF6" s="2"/>
      <c r="NXG6" s="2"/>
      <c r="NXH6" s="2"/>
      <c r="NXI6" s="2"/>
      <c r="NXJ6" s="2"/>
      <c r="NXK6" s="2"/>
      <c r="NXL6" s="2"/>
      <c r="NXM6" s="2"/>
      <c r="NXN6" s="2"/>
      <c r="NXO6" s="2"/>
      <c r="NXP6" s="2"/>
      <c r="NXQ6" s="2"/>
      <c r="NXR6" s="2"/>
      <c r="NXS6" s="2"/>
      <c r="NXT6" s="2"/>
      <c r="NXU6" s="2"/>
      <c r="NXV6" s="2"/>
      <c r="NXW6" s="2"/>
      <c r="NXX6" s="2"/>
      <c r="NXY6" s="2"/>
      <c r="NXZ6" s="2"/>
      <c r="NYA6" s="2"/>
      <c r="NYB6" s="2"/>
      <c r="NYC6" s="2"/>
      <c r="NYD6" s="2"/>
      <c r="NYE6" s="2"/>
      <c r="NYF6" s="2"/>
      <c r="NYG6" s="2"/>
      <c r="NYH6" s="2"/>
      <c r="NYI6" s="2"/>
      <c r="NYJ6" s="2"/>
      <c r="NYK6" s="2"/>
      <c r="NYL6" s="2"/>
      <c r="NYM6" s="2"/>
      <c r="NYN6" s="2"/>
      <c r="NYO6" s="2"/>
      <c r="NYP6" s="2"/>
      <c r="NYQ6" s="2"/>
      <c r="NYR6" s="2"/>
      <c r="NYS6" s="2"/>
      <c r="NYT6" s="2"/>
      <c r="NYU6" s="2"/>
      <c r="NYV6" s="2"/>
      <c r="NYW6" s="2"/>
      <c r="NYX6" s="2"/>
      <c r="NYY6" s="2"/>
      <c r="NYZ6" s="2"/>
      <c r="NZA6" s="2"/>
      <c r="NZB6" s="2"/>
      <c r="NZC6" s="2"/>
      <c r="NZD6" s="2"/>
      <c r="NZE6" s="2"/>
      <c r="NZF6" s="2"/>
      <c r="NZG6" s="2"/>
      <c r="NZH6" s="2"/>
      <c r="NZI6" s="2"/>
      <c r="NZJ6" s="2"/>
      <c r="NZK6" s="2"/>
      <c r="NZL6" s="2"/>
      <c r="NZM6" s="2"/>
      <c r="NZN6" s="2"/>
      <c r="NZO6" s="2"/>
      <c r="NZP6" s="2"/>
      <c r="NZQ6" s="2"/>
      <c r="NZR6" s="2"/>
      <c r="NZS6" s="2"/>
      <c r="NZT6" s="2"/>
      <c r="NZU6" s="2"/>
      <c r="NZV6" s="2"/>
      <c r="NZW6" s="2"/>
      <c r="NZX6" s="2"/>
      <c r="NZY6" s="2"/>
      <c r="NZZ6" s="2"/>
      <c r="OAA6" s="2"/>
      <c r="OAB6" s="2"/>
      <c r="OAC6" s="2"/>
      <c r="OAD6" s="2"/>
      <c r="OAE6" s="2"/>
      <c r="OAF6" s="2"/>
      <c r="OAG6" s="2"/>
      <c r="OAH6" s="2"/>
      <c r="OAI6" s="2"/>
      <c r="OAJ6" s="2"/>
      <c r="OAK6" s="2"/>
      <c r="OAL6" s="2"/>
      <c r="OAM6" s="2"/>
      <c r="OAN6" s="2"/>
      <c r="OAO6" s="2"/>
      <c r="OAP6" s="2"/>
      <c r="OAQ6" s="2"/>
      <c r="OAR6" s="2"/>
      <c r="OAS6" s="2"/>
      <c r="OAT6" s="2"/>
      <c r="OAU6" s="2"/>
      <c r="OAV6" s="2"/>
      <c r="OAW6" s="2"/>
      <c r="OAX6" s="2"/>
      <c r="OAY6" s="2"/>
      <c r="OAZ6" s="2"/>
      <c r="OBA6" s="2"/>
      <c r="OBB6" s="2"/>
      <c r="OBC6" s="2"/>
      <c r="OBD6" s="2"/>
      <c r="OBE6" s="2"/>
      <c r="OBF6" s="2"/>
      <c r="OBG6" s="2"/>
      <c r="OBH6" s="2"/>
      <c r="OBI6" s="2"/>
      <c r="OBJ6" s="2"/>
      <c r="OBK6" s="2"/>
      <c r="OBL6" s="2"/>
      <c r="OBM6" s="2"/>
      <c r="OBN6" s="2"/>
      <c r="OBO6" s="2"/>
      <c r="OBP6" s="2"/>
      <c r="OBQ6" s="2"/>
      <c r="OBR6" s="2"/>
      <c r="OBS6" s="2"/>
      <c r="OBT6" s="2"/>
      <c r="OBU6" s="2"/>
      <c r="OBV6" s="2"/>
      <c r="OBW6" s="2"/>
      <c r="OBX6" s="2"/>
      <c r="OBY6" s="2"/>
      <c r="OBZ6" s="2"/>
      <c r="OCA6" s="2"/>
      <c r="OCB6" s="2"/>
      <c r="OCC6" s="2"/>
      <c r="OCD6" s="2"/>
      <c r="OCE6" s="2"/>
      <c r="OCF6" s="2"/>
      <c r="OCG6" s="2"/>
      <c r="OCH6" s="2"/>
      <c r="OCI6" s="2"/>
      <c r="OCJ6" s="2"/>
      <c r="OCK6" s="2"/>
      <c r="OCL6" s="2"/>
      <c r="OCM6" s="2"/>
      <c r="OCN6" s="2"/>
      <c r="OCO6" s="2"/>
      <c r="OCP6" s="2"/>
      <c r="OCQ6" s="2"/>
      <c r="OCR6" s="2"/>
      <c r="OCS6" s="2"/>
      <c r="OCT6" s="2"/>
      <c r="OCU6" s="2"/>
      <c r="OCV6" s="2"/>
      <c r="OCW6" s="2"/>
      <c r="OCX6" s="2"/>
      <c r="OCY6" s="2"/>
      <c r="OCZ6" s="2"/>
      <c r="ODA6" s="2"/>
      <c r="ODB6" s="2"/>
      <c r="ODC6" s="2"/>
      <c r="ODD6" s="2"/>
      <c r="ODE6" s="2"/>
      <c r="ODF6" s="2"/>
      <c r="ODG6" s="2"/>
      <c r="ODH6" s="2"/>
      <c r="ODI6" s="2"/>
      <c r="ODJ6" s="2"/>
      <c r="ODK6" s="2"/>
      <c r="ODL6" s="2"/>
      <c r="ODM6" s="2"/>
      <c r="ODN6" s="2"/>
      <c r="ODO6" s="2"/>
      <c r="ODP6" s="2"/>
      <c r="ODQ6" s="2"/>
      <c r="ODR6" s="2"/>
      <c r="ODS6" s="2"/>
      <c r="ODT6" s="2"/>
      <c r="ODU6" s="2"/>
      <c r="ODV6" s="2"/>
      <c r="ODW6" s="2"/>
      <c r="ODX6" s="2"/>
      <c r="ODY6" s="2"/>
      <c r="ODZ6" s="2"/>
      <c r="OEA6" s="2"/>
      <c r="OEB6" s="2"/>
      <c r="OEC6" s="2"/>
      <c r="OED6" s="2"/>
      <c r="OEE6" s="2"/>
      <c r="OEF6" s="2"/>
      <c r="OEG6" s="2"/>
      <c r="OEH6" s="2"/>
      <c r="OEI6" s="2"/>
      <c r="OEJ6" s="2"/>
      <c r="OEK6" s="2"/>
      <c r="OEL6" s="2"/>
      <c r="OEM6" s="2"/>
      <c r="OEN6" s="2"/>
      <c r="OEO6" s="2"/>
      <c r="OEP6" s="2"/>
      <c r="OEQ6" s="2"/>
      <c r="OER6" s="2"/>
      <c r="OES6" s="2"/>
      <c r="OET6" s="2"/>
      <c r="OEU6" s="2"/>
      <c r="OEV6" s="2"/>
      <c r="OEW6" s="2"/>
      <c r="OEX6" s="2"/>
      <c r="OEY6" s="2"/>
      <c r="OEZ6" s="2"/>
      <c r="OFA6" s="2"/>
      <c r="OFB6" s="2"/>
      <c r="OFC6" s="2"/>
      <c r="OFD6" s="2"/>
      <c r="OFE6" s="2"/>
      <c r="OFF6" s="2"/>
      <c r="OFG6" s="2"/>
      <c r="OFH6" s="2"/>
      <c r="OFI6" s="2"/>
      <c r="OFJ6" s="2"/>
      <c r="OFK6" s="2"/>
      <c r="OFL6" s="2"/>
      <c r="OFM6" s="2"/>
      <c r="OFN6" s="2"/>
      <c r="OFO6" s="2"/>
      <c r="OFP6" s="2"/>
      <c r="OFQ6" s="2"/>
      <c r="OFR6" s="2"/>
      <c r="OFS6" s="2"/>
      <c r="OFT6" s="2"/>
      <c r="OFU6" s="2"/>
      <c r="OFV6" s="2"/>
      <c r="OFW6" s="2"/>
      <c r="OFX6" s="2"/>
      <c r="OFY6" s="2"/>
      <c r="OFZ6" s="2"/>
      <c r="OGA6" s="2"/>
      <c r="OGB6" s="2"/>
      <c r="OGC6" s="2"/>
      <c r="OGD6" s="2"/>
      <c r="OGE6" s="2"/>
      <c r="OGF6" s="2"/>
      <c r="OGG6" s="2"/>
      <c r="OGH6" s="2"/>
      <c r="OGI6" s="2"/>
      <c r="OGJ6" s="2"/>
      <c r="OGK6" s="2"/>
      <c r="OGL6" s="2"/>
      <c r="OGM6" s="2"/>
      <c r="OGN6" s="2"/>
      <c r="OGO6" s="2"/>
      <c r="OGP6" s="2"/>
      <c r="OGQ6" s="2"/>
      <c r="OGR6" s="2"/>
      <c r="OGS6" s="2"/>
      <c r="OGT6" s="2"/>
      <c r="OGU6" s="2"/>
      <c r="OGV6" s="2"/>
      <c r="OGW6" s="2"/>
      <c r="OGX6" s="2"/>
      <c r="OGY6" s="2"/>
      <c r="OGZ6" s="2"/>
      <c r="OHA6" s="2"/>
      <c r="OHB6" s="2"/>
      <c r="OHC6" s="2"/>
      <c r="OHD6" s="2"/>
      <c r="OHE6" s="2"/>
      <c r="OHF6" s="2"/>
      <c r="OHG6" s="2"/>
      <c r="OHH6" s="2"/>
      <c r="OHI6" s="2"/>
      <c r="OHJ6" s="2"/>
      <c r="OHK6" s="2"/>
      <c r="OHL6" s="2"/>
      <c r="OHM6" s="2"/>
      <c r="OHN6" s="2"/>
      <c r="OHO6" s="2"/>
      <c r="OHP6" s="2"/>
      <c r="OHQ6" s="2"/>
      <c r="OHR6" s="2"/>
      <c r="OHS6" s="2"/>
      <c r="OHT6" s="2"/>
      <c r="OHU6" s="2"/>
      <c r="OHV6" s="2"/>
      <c r="OHW6" s="2"/>
      <c r="OHX6" s="2"/>
      <c r="OHY6" s="2"/>
      <c r="OHZ6" s="2"/>
      <c r="OIA6" s="2"/>
      <c r="OIB6" s="2"/>
      <c r="OIC6" s="2"/>
      <c r="OID6" s="2"/>
      <c r="OIE6" s="2"/>
      <c r="OIF6" s="2"/>
      <c r="OIG6" s="2"/>
      <c r="OIH6" s="2"/>
      <c r="OII6" s="2"/>
      <c r="OIJ6" s="2"/>
      <c r="OIK6" s="2"/>
      <c r="OIL6" s="2"/>
      <c r="OIM6" s="2"/>
      <c r="OIN6" s="2"/>
      <c r="OIO6" s="2"/>
      <c r="OIP6" s="2"/>
      <c r="OIQ6" s="2"/>
      <c r="OIR6" s="2"/>
      <c r="OIS6" s="2"/>
      <c r="OIT6" s="2"/>
      <c r="OIU6" s="2"/>
      <c r="OIV6" s="2"/>
      <c r="OIW6" s="2"/>
      <c r="OIX6" s="2"/>
      <c r="OIY6" s="2"/>
      <c r="OIZ6" s="2"/>
      <c r="OJA6" s="2"/>
      <c r="OJB6" s="2"/>
      <c r="OJC6" s="2"/>
      <c r="OJD6" s="2"/>
      <c r="OJE6" s="2"/>
      <c r="OJF6" s="2"/>
      <c r="OJG6" s="2"/>
      <c r="OJH6" s="2"/>
      <c r="OJI6" s="2"/>
      <c r="OJJ6" s="2"/>
      <c r="OJK6" s="2"/>
      <c r="OJL6" s="2"/>
      <c r="OJM6" s="2"/>
      <c r="OJN6" s="2"/>
      <c r="OJO6" s="2"/>
      <c r="OJP6" s="2"/>
      <c r="OJQ6" s="2"/>
      <c r="OJR6" s="2"/>
      <c r="OJS6" s="2"/>
      <c r="OJT6" s="2"/>
      <c r="OJU6" s="2"/>
      <c r="OJV6" s="2"/>
      <c r="OJW6" s="2"/>
      <c r="OJX6" s="2"/>
      <c r="OJY6" s="2"/>
      <c r="OJZ6" s="2"/>
      <c r="OKA6" s="2"/>
      <c r="OKB6" s="2"/>
      <c r="OKC6" s="2"/>
      <c r="OKD6" s="2"/>
      <c r="OKE6" s="2"/>
      <c r="OKF6" s="2"/>
      <c r="OKG6" s="2"/>
      <c r="OKH6" s="2"/>
      <c r="OKI6" s="2"/>
      <c r="OKJ6" s="2"/>
      <c r="OKK6" s="2"/>
      <c r="OKL6" s="2"/>
      <c r="OKM6" s="2"/>
      <c r="OKN6" s="2"/>
      <c r="OKO6" s="2"/>
      <c r="OKP6" s="2"/>
      <c r="OKQ6" s="2"/>
      <c r="OKR6" s="2"/>
      <c r="OKS6" s="2"/>
      <c r="OKT6" s="2"/>
      <c r="OKU6" s="2"/>
      <c r="OKV6" s="2"/>
      <c r="OKW6" s="2"/>
      <c r="OKX6" s="2"/>
      <c r="OKY6" s="2"/>
      <c r="OKZ6" s="2"/>
      <c r="OLA6" s="2"/>
      <c r="OLB6" s="2"/>
      <c r="OLC6" s="2"/>
      <c r="OLD6" s="2"/>
      <c r="OLE6" s="2"/>
      <c r="OLF6" s="2"/>
      <c r="OLG6" s="2"/>
      <c r="OLH6" s="2"/>
      <c r="OLI6" s="2"/>
      <c r="OLJ6" s="2"/>
      <c r="OLK6" s="2"/>
      <c r="OLL6" s="2"/>
      <c r="OLM6" s="2"/>
      <c r="OLN6" s="2"/>
      <c r="OLO6" s="2"/>
      <c r="OLP6" s="2"/>
      <c r="OLQ6" s="2"/>
      <c r="OLR6" s="2"/>
      <c r="OLS6" s="2"/>
      <c r="OLT6" s="2"/>
      <c r="OLU6" s="2"/>
      <c r="OLV6" s="2"/>
      <c r="OLW6" s="2"/>
      <c r="OLX6" s="2"/>
      <c r="OLY6" s="2"/>
      <c r="OLZ6" s="2"/>
      <c r="OMA6" s="2"/>
      <c r="OMB6" s="2"/>
      <c r="OMC6" s="2"/>
      <c r="OMD6" s="2"/>
      <c r="OME6" s="2"/>
      <c r="OMF6" s="2"/>
      <c r="OMG6" s="2"/>
      <c r="OMH6" s="2"/>
      <c r="OMI6" s="2"/>
      <c r="OMJ6" s="2"/>
      <c r="OMK6" s="2"/>
      <c r="OML6" s="2"/>
      <c r="OMM6" s="2"/>
      <c r="OMN6" s="2"/>
      <c r="OMO6" s="2"/>
      <c r="OMP6" s="2"/>
      <c r="OMQ6" s="2"/>
      <c r="OMR6" s="2"/>
      <c r="OMS6" s="2"/>
      <c r="OMT6" s="2"/>
      <c r="OMU6" s="2"/>
      <c r="OMV6" s="2"/>
      <c r="OMW6" s="2"/>
      <c r="OMX6" s="2"/>
      <c r="OMY6" s="2"/>
      <c r="OMZ6" s="2"/>
      <c r="ONA6" s="2"/>
      <c r="ONB6" s="2"/>
      <c r="ONC6" s="2"/>
      <c r="OND6" s="2"/>
      <c r="ONE6" s="2"/>
      <c r="ONF6" s="2"/>
      <c r="ONG6" s="2"/>
      <c r="ONH6" s="2"/>
      <c r="ONI6" s="2"/>
      <c r="ONJ6" s="2"/>
      <c r="ONK6" s="2"/>
      <c r="ONL6" s="2"/>
      <c r="ONM6" s="2"/>
      <c r="ONN6" s="2"/>
      <c r="ONO6" s="2"/>
      <c r="ONP6" s="2"/>
      <c r="ONQ6" s="2"/>
      <c r="ONR6" s="2"/>
      <c r="ONS6" s="2"/>
      <c r="ONT6" s="2"/>
      <c r="ONU6" s="2"/>
      <c r="ONV6" s="2"/>
      <c r="ONW6" s="2"/>
      <c r="ONX6" s="2"/>
      <c r="ONY6" s="2"/>
      <c r="ONZ6" s="2"/>
      <c r="OOA6" s="2"/>
      <c r="OOB6" s="2"/>
      <c r="OOC6" s="2"/>
      <c r="OOD6" s="2"/>
      <c r="OOE6" s="2"/>
      <c r="OOF6" s="2"/>
      <c r="OOG6" s="2"/>
      <c r="OOH6" s="2"/>
      <c r="OOI6" s="2"/>
      <c r="OOJ6" s="2"/>
      <c r="OOK6" s="2"/>
      <c r="OOL6" s="2"/>
      <c r="OOM6" s="2"/>
      <c r="OON6" s="2"/>
      <c r="OOO6" s="2"/>
      <c r="OOP6" s="2"/>
      <c r="OOQ6" s="2"/>
      <c r="OOR6" s="2"/>
      <c r="OOS6" s="2"/>
      <c r="OOT6" s="2"/>
      <c r="OOU6" s="2"/>
      <c r="OOV6" s="2"/>
      <c r="OOW6" s="2"/>
      <c r="OOX6" s="2"/>
      <c r="OOY6" s="2"/>
      <c r="OOZ6" s="2"/>
      <c r="OPA6" s="2"/>
      <c r="OPB6" s="2"/>
      <c r="OPC6" s="2"/>
      <c r="OPD6" s="2"/>
      <c r="OPE6" s="2"/>
      <c r="OPF6" s="2"/>
      <c r="OPG6" s="2"/>
      <c r="OPH6" s="2"/>
      <c r="OPI6" s="2"/>
      <c r="OPJ6" s="2"/>
      <c r="OPK6" s="2"/>
      <c r="OPL6" s="2"/>
      <c r="OPM6" s="2"/>
      <c r="OPN6" s="2"/>
      <c r="OPO6" s="2"/>
      <c r="OPP6" s="2"/>
      <c r="OPQ6" s="2"/>
      <c r="OPR6" s="2"/>
      <c r="OPS6" s="2"/>
      <c r="OPT6" s="2"/>
      <c r="OPU6" s="2"/>
      <c r="OPV6" s="2"/>
      <c r="OPW6" s="2"/>
      <c r="OPX6" s="2"/>
      <c r="OPY6" s="2"/>
      <c r="OPZ6" s="2"/>
      <c r="OQA6" s="2"/>
      <c r="OQB6" s="2"/>
      <c r="OQC6" s="2"/>
      <c r="OQD6" s="2"/>
      <c r="OQE6" s="2"/>
      <c r="OQF6" s="2"/>
      <c r="OQG6" s="2"/>
      <c r="OQH6" s="2"/>
      <c r="OQI6" s="2"/>
      <c r="OQJ6" s="2"/>
      <c r="OQK6" s="2"/>
      <c r="OQL6" s="2"/>
      <c r="OQM6" s="2"/>
      <c r="OQN6" s="2"/>
      <c r="OQO6" s="2"/>
      <c r="OQP6" s="2"/>
      <c r="OQQ6" s="2"/>
      <c r="OQR6" s="2"/>
      <c r="OQS6" s="2"/>
      <c r="OQT6" s="2"/>
      <c r="OQU6" s="2"/>
      <c r="OQV6" s="2"/>
      <c r="OQW6" s="2"/>
      <c r="OQX6" s="2"/>
      <c r="OQY6" s="2"/>
      <c r="OQZ6" s="2"/>
      <c r="ORA6" s="2"/>
      <c r="ORB6" s="2"/>
      <c r="ORC6" s="2"/>
      <c r="ORD6" s="2"/>
      <c r="ORE6" s="2"/>
      <c r="ORF6" s="2"/>
      <c r="ORG6" s="2"/>
      <c r="ORH6" s="2"/>
      <c r="ORI6" s="2"/>
      <c r="ORJ6" s="2"/>
      <c r="ORK6" s="2"/>
      <c r="ORL6" s="2"/>
      <c r="ORM6" s="2"/>
      <c r="ORN6" s="2"/>
      <c r="ORO6" s="2"/>
      <c r="ORP6" s="2"/>
      <c r="ORQ6" s="2"/>
      <c r="ORR6" s="2"/>
      <c r="ORS6" s="2"/>
      <c r="ORT6" s="2"/>
      <c r="ORU6" s="2"/>
      <c r="ORV6" s="2"/>
      <c r="ORW6" s="2"/>
      <c r="ORX6" s="2"/>
      <c r="ORY6" s="2"/>
      <c r="ORZ6" s="2"/>
      <c r="OSA6" s="2"/>
      <c r="OSB6" s="2"/>
      <c r="OSC6" s="2"/>
      <c r="OSD6" s="2"/>
      <c r="OSE6" s="2"/>
      <c r="OSF6" s="2"/>
      <c r="OSG6" s="2"/>
      <c r="OSH6" s="2"/>
      <c r="OSI6" s="2"/>
      <c r="OSJ6" s="2"/>
      <c r="OSK6" s="2"/>
      <c r="OSL6" s="2"/>
      <c r="OSM6" s="2"/>
      <c r="OSN6" s="2"/>
      <c r="OSO6" s="2"/>
      <c r="OSP6" s="2"/>
      <c r="OSQ6" s="2"/>
      <c r="OSR6" s="2"/>
      <c r="OSS6" s="2"/>
      <c r="OST6" s="2"/>
      <c r="OSU6" s="2"/>
      <c r="OSV6" s="2"/>
      <c r="OSW6" s="2"/>
      <c r="OSX6" s="2"/>
      <c r="OSY6" s="2"/>
      <c r="OSZ6" s="2"/>
      <c r="OTA6" s="2"/>
      <c r="OTB6" s="2"/>
      <c r="OTC6" s="2"/>
      <c r="OTD6" s="2"/>
      <c r="OTE6" s="2"/>
      <c r="OTF6" s="2"/>
      <c r="OTG6" s="2"/>
      <c r="OTH6" s="2"/>
      <c r="OTI6" s="2"/>
      <c r="OTJ6" s="2"/>
      <c r="OTK6" s="2"/>
      <c r="OTL6" s="2"/>
      <c r="OTM6" s="2"/>
      <c r="OTN6" s="2"/>
      <c r="OTO6" s="2"/>
      <c r="OTP6" s="2"/>
      <c r="OTQ6" s="2"/>
      <c r="OTR6" s="2"/>
      <c r="OTS6" s="2"/>
      <c r="OTT6" s="2"/>
      <c r="OTU6" s="2"/>
      <c r="OTV6" s="2"/>
      <c r="OTW6" s="2"/>
      <c r="OTX6" s="2"/>
      <c r="OTY6" s="2"/>
      <c r="OTZ6" s="2"/>
      <c r="OUA6" s="2"/>
      <c r="OUB6" s="2"/>
      <c r="OUC6" s="2"/>
      <c r="OUD6" s="2"/>
      <c r="OUE6" s="2"/>
      <c r="OUF6" s="2"/>
      <c r="OUG6" s="2"/>
      <c r="OUH6" s="2"/>
      <c r="OUI6" s="2"/>
      <c r="OUJ6" s="2"/>
      <c r="OUK6" s="2"/>
      <c r="OUL6" s="2"/>
      <c r="OUM6" s="2"/>
      <c r="OUN6" s="2"/>
      <c r="OUO6" s="2"/>
      <c r="OUP6" s="2"/>
      <c r="OUQ6" s="2"/>
      <c r="OUR6" s="2"/>
      <c r="OUS6" s="2"/>
      <c r="OUT6" s="2"/>
      <c r="OUU6" s="2"/>
      <c r="OUV6" s="2"/>
      <c r="OUW6" s="2"/>
      <c r="OUX6" s="2"/>
      <c r="OUY6" s="2"/>
      <c r="OUZ6" s="2"/>
      <c r="OVA6" s="2"/>
      <c r="OVB6" s="2"/>
      <c r="OVC6" s="2"/>
      <c r="OVD6" s="2"/>
      <c r="OVE6" s="2"/>
      <c r="OVF6" s="2"/>
      <c r="OVG6" s="2"/>
      <c r="OVH6" s="2"/>
      <c r="OVI6" s="2"/>
      <c r="OVJ6" s="2"/>
      <c r="OVK6" s="2"/>
      <c r="OVL6" s="2"/>
      <c r="OVM6" s="2"/>
      <c r="OVN6" s="2"/>
      <c r="OVO6" s="2"/>
      <c r="OVP6" s="2"/>
      <c r="OVQ6" s="2"/>
      <c r="OVR6" s="2"/>
      <c r="OVS6" s="2"/>
      <c r="OVT6" s="2"/>
      <c r="OVU6" s="2"/>
      <c r="OVV6" s="2"/>
      <c r="OVW6" s="2"/>
      <c r="OVX6" s="2"/>
      <c r="OVY6" s="2"/>
      <c r="OVZ6" s="2"/>
      <c r="OWA6" s="2"/>
      <c r="OWB6" s="2"/>
      <c r="OWC6" s="2"/>
      <c r="OWD6" s="2"/>
      <c r="OWE6" s="2"/>
      <c r="OWF6" s="2"/>
      <c r="OWG6" s="2"/>
      <c r="OWH6" s="2"/>
      <c r="OWI6" s="2"/>
      <c r="OWJ6" s="2"/>
      <c r="OWK6" s="2"/>
      <c r="OWL6" s="2"/>
      <c r="OWM6" s="2"/>
      <c r="OWN6" s="2"/>
      <c r="OWO6" s="2"/>
      <c r="OWP6" s="2"/>
      <c r="OWQ6" s="2"/>
      <c r="OWR6" s="2"/>
      <c r="OWS6" s="2"/>
      <c r="OWT6" s="2"/>
      <c r="OWU6" s="2"/>
      <c r="OWV6" s="2"/>
      <c r="OWW6" s="2"/>
      <c r="OWX6" s="2"/>
      <c r="OWY6" s="2"/>
      <c r="OWZ6" s="2"/>
      <c r="OXA6" s="2"/>
      <c r="OXB6" s="2"/>
      <c r="OXC6" s="2"/>
      <c r="OXD6" s="2"/>
      <c r="OXE6" s="2"/>
      <c r="OXF6" s="2"/>
      <c r="OXG6" s="2"/>
      <c r="OXH6" s="2"/>
      <c r="OXI6" s="2"/>
      <c r="OXJ6" s="2"/>
      <c r="OXK6" s="2"/>
      <c r="OXL6" s="2"/>
      <c r="OXM6" s="2"/>
      <c r="OXN6" s="2"/>
      <c r="OXO6" s="2"/>
      <c r="OXP6" s="2"/>
      <c r="OXQ6" s="2"/>
      <c r="OXR6" s="2"/>
      <c r="OXS6" s="2"/>
      <c r="OXT6" s="2"/>
      <c r="OXU6" s="2"/>
      <c r="OXV6" s="2"/>
      <c r="OXW6" s="2"/>
      <c r="OXX6" s="2"/>
      <c r="OXY6" s="2"/>
      <c r="OXZ6" s="2"/>
      <c r="OYA6" s="2"/>
      <c r="OYB6" s="2"/>
      <c r="OYC6" s="2"/>
      <c r="OYD6" s="2"/>
      <c r="OYE6" s="2"/>
      <c r="OYF6" s="2"/>
      <c r="OYG6" s="2"/>
      <c r="OYH6" s="2"/>
      <c r="OYI6" s="2"/>
      <c r="OYJ6" s="2"/>
      <c r="OYK6" s="2"/>
      <c r="OYL6" s="2"/>
      <c r="OYM6" s="2"/>
      <c r="OYN6" s="2"/>
      <c r="OYO6" s="2"/>
      <c r="OYP6" s="2"/>
      <c r="OYQ6" s="2"/>
      <c r="OYR6" s="2"/>
      <c r="OYS6" s="2"/>
      <c r="OYT6" s="2"/>
      <c r="OYU6" s="2"/>
      <c r="OYV6" s="2"/>
      <c r="OYW6" s="2"/>
      <c r="OYX6" s="2"/>
      <c r="OYY6" s="2"/>
      <c r="OYZ6" s="2"/>
      <c r="OZA6" s="2"/>
      <c r="OZB6" s="2"/>
      <c r="OZC6" s="2"/>
      <c r="OZD6" s="2"/>
      <c r="OZE6" s="2"/>
      <c r="OZF6" s="2"/>
      <c r="OZG6" s="2"/>
      <c r="OZH6" s="2"/>
      <c r="OZI6" s="2"/>
      <c r="OZJ6" s="2"/>
      <c r="OZK6" s="2"/>
      <c r="OZL6" s="2"/>
      <c r="OZM6" s="2"/>
      <c r="OZN6" s="2"/>
      <c r="OZO6" s="2"/>
      <c r="OZP6" s="2"/>
      <c r="OZQ6" s="2"/>
      <c r="OZR6" s="2"/>
      <c r="OZS6" s="2"/>
      <c r="OZT6" s="2"/>
      <c r="OZU6" s="2"/>
      <c r="OZV6" s="2"/>
      <c r="OZW6" s="2"/>
      <c r="OZX6" s="2"/>
      <c r="OZY6" s="2"/>
      <c r="OZZ6" s="2"/>
      <c r="PAA6" s="2"/>
      <c r="PAB6" s="2"/>
      <c r="PAC6" s="2"/>
      <c r="PAD6" s="2"/>
      <c r="PAE6" s="2"/>
      <c r="PAF6" s="2"/>
      <c r="PAG6" s="2"/>
      <c r="PAH6" s="2"/>
      <c r="PAI6" s="2"/>
      <c r="PAJ6" s="2"/>
      <c r="PAK6" s="2"/>
      <c r="PAL6" s="2"/>
      <c r="PAM6" s="2"/>
      <c r="PAN6" s="2"/>
      <c r="PAO6" s="2"/>
      <c r="PAP6" s="2"/>
      <c r="PAQ6" s="2"/>
      <c r="PAR6" s="2"/>
      <c r="PAS6" s="2"/>
      <c r="PAT6" s="2"/>
      <c r="PAU6" s="2"/>
      <c r="PAV6" s="2"/>
      <c r="PAW6" s="2"/>
      <c r="PAX6" s="2"/>
      <c r="PAY6" s="2"/>
      <c r="PAZ6" s="2"/>
      <c r="PBA6" s="2"/>
      <c r="PBB6" s="2"/>
      <c r="PBC6" s="2"/>
      <c r="PBD6" s="2"/>
      <c r="PBE6" s="2"/>
      <c r="PBF6" s="2"/>
      <c r="PBG6" s="2"/>
      <c r="PBH6" s="2"/>
      <c r="PBI6" s="2"/>
      <c r="PBJ6" s="2"/>
      <c r="PBK6" s="2"/>
      <c r="PBL6" s="2"/>
      <c r="PBM6" s="2"/>
      <c r="PBN6" s="2"/>
      <c r="PBO6" s="2"/>
      <c r="PBP6" s="2"/>
      <c r="PBQ6" s="2"/>
      <c r="PBR6" s="2"/>
      <c r="PBS6" s="2"/>
      <c r="PBT6" s="2"/>
      <c r="PBU6" s="2"/>
      <c r="PBV6" s="2"/>
      <c r="PBW6" s="2"/>
      <c r="PBX6" s="2"/>
      <c r="PBY6" s="2"/>
      <c r="PBZ6" s="2"/>
      <c r="PCA6" s="2"/>
      <c r="PCB6" s="2"/>
      <c r="PCC6" s="2"/>
      <c r="PCD6" s="2"/>
      <c r="PCE6" s="2"/>
      <c r="PCF6" s="2"/>
      <c r="PCG6" s="2"/>
      <c r="PCH6" s="2"/>
      <c r="PCI6" s="2"/>
      <c r="PCJ6" s="2"/>
      <c r="PCK6" s="2"/>
      <c r="PCL6" s="2"/>
      <c r="PCM6" s="2"/>
      <c r="PCN6" s="2"/>
      <c r="PCO6" s="2"/>
      <c r="PCP6" s="2"/>
      <c r="PCQ6" s="2"/>
      <c r="PCR6" s="2"/>
      <c r="PCS6" s="2"/>
      <c r="PCT6" s="2"/>
      <c r="PCU6" s="2"/>
      <c r="PCV6" s="2"/>
      <c r="PCW6" s="2"/>
      <c r="PCX6" s="2"/>
      <c r="PCY6" s="2"/>
      <c r="PCZ6" s="2"/>
      <c r="PDA6" s="2"/>
      <c r="PDB6" s="2"/>
      <c r="PDC6" s="2"/>
      <c r="PDD6" s="2"/>
      <c r="PDE6" s="2"/>
      <c r="PDF6" s="2"/>
      <c r="PDG6" s="2"/>
      <c r="PDH6" s="2"/>
      <c r="PDI6" s="2"/>
      <c r="PDJ6" s="2"/>
      <c r="PDK6" s="2"/>
      <c r="PDL6" s="2"/>
      <c r="PDM6" s="2"/>
      <c r="PDN6" s="2"/>
      <c r="PDO6" s="2"/>
      <c r="PDP6" s="2"/>
      <c r="PDQ6" s="2"/>
      <c r="PDR6" s="2"/>
      <c r="PDS6" s="2"/>
      <c r="PDT6" s="2"/>
      <c r="PDU6" s="2"/>
      <c r="PDV6" s="2"/>
      <c r="PDW6" s="2"/>
      <c r="PDX6" s="2"/>
      <c r="PDY6" s="2"/>
      <c r="PDZ6" s="2"/>
      <c r="PEA6" s="2"/>
      <c r="PEB6" s="2"/>
      <c r="PEC6" s="2"/>
      <c r="PED6" s="2"/>
      <c r="PEE6" s="2"/>
      <c r="PEF6" s="2"/>
      <c r="PEG6" s="2"/>
      <c r="PEH6" s="2"/>
      <c r="PEI6" s="2"/>
      <c r="PEJ6" s="2"/>
      <c r="PEK6" s="2"/>
      <c r="PEL6" s="2"/>
      <c r="PEM6" s="2"/>
      <c r="PEN6" s="2"/>
      <c r="PEO6" s="2"/>
      <c r="PEP6" s="2"/>
      <c r="PEQ6" s="2"/>
      <c r="PER6" s="2"/>
      <c r="PES6" s="2"/>
      <c r="PET6" s="2"/>
      <c r="PEU6" s="2"/>
      <c r="PEV6" s="2"/>
      <c r="PEW6" s="2"/>
      <c r="PEX6" s="2"/>
      <c r="PEY6" s="2"/>
      <c r="PEZ6" s="2"/>
      <c r="PFA6" s="2"/>
      <c r="PFB6" s="2"/>
      <c r="PFC6" s="2"/>
      <c r="PFD6" s="2"/>
      <c r="PFE6" s="2"/>
      <c r="PFF6" s="2"/>
      <c r="PFG6" s="2"/>
      <c r="PFH6" s="2"/>
      <c r="PFI6" s="2"/>
      <c r="PFJ6" s="2"/>
      <c r="PFK6" s="2"/>
      <c r="PFL6" s="2"/>
      <c r="PFM6" s="2"/>
      <c r="PFN6" s="2"/>
      <c r="PFO6" s="2"/>
      <c r="PFP6" s="2"/>
      <c r="PFQ6" s="2"/>
      <c r="PFR6" s="2"/>
      <c r="PFS6" s="2"/>
      <c r="PFT6" s="2"/>
      <c r="PFU6" s="2"/>
      <c r="PFV6" s="2"/>
      <c r="PFW6" s="2"/>
      <c r="PFX6" s="2"/>
      <c r="PFY6" s="2"/>
      <c r="PFZ6" s="2"/>
      <c r="PGA6" s="2"/>
      <c r="PGB6" s="2"/>
      <c r="PGC6" s="2"/>
      <c r="PGD6" s="2"/>
      <c r="PGE6" s="2"/>
      <c r="PGF6" s="2"/>
      <c r="PGG6" s="2"/>
      <c r="PGH6" s="2"/>
      <c r="PGI6" s="2"/>
      <c r="PGJ6" s="2"/>
      <c r="PGK6" s="2"/>
      <c r="PGL6" s="2"/>
      <c r="PGM6" s="2"/>
      <c r="PGN6" s="2"/>
      <c r="PGO6" s="2"/>
      <c r="PGP6" s="2"/>
      <c r="PGQ6" s="2"/>
      <c r="PGR6" s="2"/>
      <c r="PGS6" s="2"/>
      <c r="PGT6" s="2"/>
      <c r="PGU6" s="2"/>
      <c r="PGV6" s="2"/>
      <c r="PGW6" s="2"/>
      <c r="PGX6" s="2"/>
      <c r="PGY6" s="2"/>
      <c r="PGZ6" s="2"/>
      <c r="PHA6" s="2"/>
      <c r="PHB6" s="2"/>
      <c r="PHC6" s="2"/>
      <c r="PHD6" s="2"/>
      <c r="PHE6" s="2"/>
      <c r="PHF6" s="2"/>
      <c r="PHG6" s="2"/>
      <c r="PHH6" s="2"/>
      <c r="PHI6" s="2"/>
      <c r="PHJ6" s="2"/>
      <c r="PHK6" s="2"/>
      <c r="PHL6" s="2"/>
      <c r="PHM6" s="2"/>
      <c r="PHN6" s="2"/>
      <c r="PHO6" s="2"/>
      <c r="PHP6" s="2"/>
      <c r="PHQ6" s="2"/>
      <c r="PHR6" s="2"/>
      <c r="PHS6" s="2"/>
      <c r="PHT6" s="2"/>
      <c r="PHU6" s="2"/>
      <c r="PHV6" s="2"/>
      <c r="PHW6" s="2"/>
      <c r="PHX6" s="2"/>
      <c r="PHY6" s="2"/>
      <c r="PHZ6" s="2"/>
      <c r="PIA6" s="2"/>
      <c r="PIB6" s="2"/>
      <c r="PIC6" s="2"/>
      <c r="PID6" s="2"/>
      <c r="PIE6" s="2"/>
      <c r="PIF6" s="2"/>
      <c r="PIG6" s="2"/>
      <c r="PIH6" s="2"/>
      <c r="PII6" s="2"/>
      <c r="PIJ6" s="2"/>
      <c r="PIK6" s="2"/>
      <c r="PIL6" s="2"/>
      <c r="PIM6" s="2"/>
      <c r="PIN6" s="2"/>
      <c r="PIO6" s="2"/>
      <c r="PIP6" s="2"/>
      <c r="PIQ6" s="2"/>
      <c r="PIR6" s="2"/>
      <c r="PIS6" s="2"/>
      <c r="PIT6" s="2"/>
      <c r="PIU6" s="2"/>
      <c r="PIV6" s="2"/>
      <c r="PIW6" s="2"/>
      <c r="PIX6" s="2"/>
      <c r="PIY6" s="2"/>
      <c r="PIZ6" s="2"/>
      <c r="PJA6" s="2"/>
      <c r="PJB6" s="2"/>
      <c r="PJC6" s="2"/>
      <c r="PJD6" s="2"/>
      <c r="PJE6" s="2"/>
      <c r="PJF6" s="2"/>
      <c r="PJG6" s="2"/>
      <c r="PJH6" s="2"/>
      <c r="PJI6" s="2"/>
      <c r="PJJ6" s="2"/>
      <c r="PJK6" s="2"/>
      <c r="PJL6" s="2"/>
      <c r="PJM6" s="2"/>
      <c r="PJN6" s="2"/>
      <c r="PJO6" s="2"/>
      <c r="PJP6" s="2"/>
      <c r="PJQ6" s="2"/>
      <c r="PJR6" s="2"/>
      <c r="PJS6" s="2"/>
      <c r="PJT6" s="2"/>
      <c r="PJU6" s="2"/>
      <c r="PJV6" s="2"/>
      <c r="PJW6" s="2"/>
      <c r="PJX6" s="2"/>
      <c r="PJY6" s="2"/>
      <c r="PJZ6" s="2"/>
      <c r="PKA6" s="2"/>
      <c r="PKB6" s="2"/>
      <c r="PKC6" s="2"/>
      <c r="PKD6" s="2"/>
      <c r="PKE6" s="2"/>
      <c r="PKF6" s="2"/>
      <c r="PKG6" s="2"/>
      <c r="PKH6" s="2"/>
      <c r="PKI6" s="2"/>
      <c r="PKJ6" s="2"/>
      <c r="PKK6" s="2"/>
      <c r="PKL6" s="2"/>
      <c r="PKM6" s="2"/>
      <c r="PKN6" s="2"/>
      <c r="PKO6" s="2"/>
      <c r="PKP6" s="2"/>
      <c r="PKQ6" s="2"/>
      <c r="PKR6" s="2"/>
      <c r="PKS6" s="2"/>
      <c r="PKT6" s="2"/>
      <c r="PKU6" s="2"/>
      <c r="PKV6" s="2"/>
      <c r="PKW6" s="2"/>
      <c r="PKX6" s="2"/>
      <c r="PKY6" s="2"/>
      <c r="PKZ6" s="2"/>
      <c r="PLA6" s="2"/>
      <c r="PLB6" s="2"/>
      <c r="PLC6" s="2"/>
      <c r="PLD6" s="2"/>
      <c r="PLE6" s="2"/>
      <c r="PLF6" s="2"/>
      <c r="PLG6" s="2"/>
      <c r="PLH6" s="2"/>
      <c r="PLI6" s="2"/>
      <c r="PLJ6" s="2"/>
      <c r="PLK6" s="2"/>
      <c r="PLL6" s="2"/>
      <c r="PLM6" s="2"/>
      <c r="PLN6" s="2"/>
      <c r="PLO6" s="2"/>
      <c r="PLP6" s="2"/>
      <c r="PLQ6" s="2"/>
      <c r="PLR6" s="2"/>
      <c r="PLS6" s="2"/>
      <c r="PLT6" s="2"/>
      <c r="PLU6" s="2"/>
      <c r="PLV6" s="2"/>
      <c r="PLW6" s="2"/>
      <c r="PLX6" s="2"/>
      <c r="PLY6" s="2"/>
      <c r="PLZ6" s="2"/>
      <c r="PMA6" s="2"/>
      <c r="PMB6" s="2"/>
      <c r="PMC6" s="2"/>
      <c r="PMD6" s="2"/>
      <c r="PME6" s="2"/>
      <c r="PMF6" s="2"/>
      <c r="PMG6" s="2"/>
      <c r="PMH6" s="2"/>
      <c r="PMI6" s="2"/>
      <c r="PMJ6" s="2"/>
      <c r="PMK6" s="2"/>
      <c r="PML6" s="2"/>
      <c r="PMM6" s="2"/>
      <c r="PMN6" s="2"/>
      <c r="PMO6" s="2"/>
      <c r="PMP6" s="2"/>
      <c r="PMQ6" s="2"/>
      <c r="PMR6" s="2"/>
      <c r="PMS6" s="2"/>
      <c r="PMT6" s="2"/>
      <c r="PMU6" s="2"/>
      <c r="PMV6" s="2"/>
      <c r="PMW6" s="2"/>
      <c r="PMX6" s="2"/>
      <c r="PMY6" s="2"/>
      <c r="PMZ6" s="2"/>
      <c r="PNA6" s="2"/>
      <c r="PNB6" s="2"/>
      <c r="PNC6" s="2"/>
      <c r="PND6" s="2"/>
      <c r="PNE6" s="2"/>
      <c r="PNF6" s="2"/>
      <c r="PNG6" s="2"/>
      <c r="PNH6" s="2"/>
      <c r="PNI6" s="2"/>
      <c r="PNJ6" s="2"/>
      <c r="PNK6" s="2"/>
      <c r="PNL6" s="2"/>
      <c r="PNM6" s="2"/>
      <c r="PNN6" s="2"/>
      <c r="PNO6" s="2"/>
      <c r="PNP6" s="2"/>
      <c r="PNQ6" s="2"/>
      <c r="PNR6" s="2"/>
      <c r="PNS6" s="2"/>
      <c r="PNT6" s="2"/>
      <c r="PNU6" s="2"/>
      <c r="PNV6" s="2"/>
      <c r="PNW6" s="2"/>
      <c r="PNX6" s="2"/>
      <c r="PNY6" s="2"/>
      <c r="PNZ6" s="2"/>
      <c r="POA6" s="2"/>
      <c r="POB6" s="2"/>
      <c r="POC6" s="2"/>
      <c r="POD6" s="2"/>
      <c r="POE6" s="2"/>
      <c r="POF6" s="2"/>
      <c r="POG6" s="2"/>
      <c r="POH6" s="2"/>
      <c r="POI6" s="2"/>
      <c r="POJ6" s="2"/>
      <c r="POK6" s="2"/>
      <c r="POL6" s="2"/>
      <c r="POM6" s="2"/>
      <c r="PON6" s="2"/>
      <c r="POO6" s="2"/>
      <c r="POP6" s="2"/>
      <c r="POQ6" s="2"/>
      <c r="POR6" s="2"/>
      <c r="POS6" s="2"/>
      <c r="POT6" s="2"/>
      <c r="POU6" s="2"/>
      <c r="POV6" s="2"/>
      <c r="POW6" s="2"/>
      <c r="POX6" s="2"/>
      <c r="POY6" s="2"/>
      <c r="POZ6" s="2"/>
      <c r="PPA6" s="2"/>
      <c r="PPB6" s="2"/>
      <c r="PPC6" s="2"/>
      <c r="PPD6" s="2"/>
      <c r="PPE6" s="2"/>
      <c r="PPF6" s="2"/>
      <c r="PPG6" s="2"/>
      <c r="PPH6" s="2"/>
      <c r="PPI6" s="2"/>
      <c r="PPJ6" s="2"/>
      <c r="PPK6" s="2"/>
      <c r="PPL6" s="2"/>
      <c r="PPM6" s="2"/>
      <c r="PPN6" s="2"/>
      <c r="PPO6" s="2"/>
      <c r="PPP6" s="2"/>
      <c r="PPQ6" s="2"/>
      <c r="PPR6" s="2"/>
      <c r="PPS6" s="2"/>
      <c r="PPT6" s="2"/>
      <c r="PPU6" s="2"/>
      <c r="PPV6" s="2"/>
      <c r="PPW6" s="2"/>
      <c r="PPX6" s="2"/>
      <c r="PPY6" s="2"/>
      <c r="PPZ6" s="2"/>
      <c r="PQA6" s="2"/>
      <c r="PQB6" s="2"/>
      <c r="PQC6" s="2"/>
      <c r="PQD6" s="2"/>
      <c r="PQE6" s="2"/>
      <c r="PQF6" s="2"/>
      <c r="PQG6" s="2"/>
      <c r="PQH6" s="2"/>
      <c r="PQI6" s="2"/>
      <c r="PQJ6" s="2"/>
      <c r="PQK6" s="2"/>
      <c r="PQL6" s="2"/>
      <c r="PQM6" s="2"/>
      <c r="PQN6" s="2"/>
      <c r="PQO6" s="2"/>
      <c r="PQP6" s="2"/>
      <c r="PQQ6" s="2"/>
      <c r="PQR6" s="2"/>
      <c r="PQS6" s="2"/>
      <c r="PQT6" s="2"/>
      <c r="PQU6" s="2"/>
      <c r="PQV6" s="2"/>
      <c r="PQW6" s="2"/>
      <c r="PQX6" s="2"/>
      <c r="PQY6" s="2"/>
      <c r="PQZ6" s="2"/>
      <c r="PRA6" s="2"/>
      <c r="PRB6" s="2"/>
      <c r="PRC6" s="2"/>
      <c r="PRD6" s="2"/>
      <c r="PRE6" s="2"/>
      <c r="PRF6" s="2"/>
      <c r="PRG6" s="2"/>
      <c r="PRH6" s="2"/>
      <c r="PRI6" s="2"/>
      <c r="PRJ6" s="2"/>
      <c r="PRK6" s="2"/>
      <c r="PRL6" s="2"/>
      <c r="PRM6" s="2"/>
      <c r="PRN6" s="2"/>
      <c r="PRO6" s="2"/>
      <c r="PRP6" s="2"/>
      <c r="PRQ6" s="2"/>
      <c r="PRR6" s="2"/>
      <c r="PRS6" s="2"/>
      <c r="PRT6" s="2"/>
      <c r="PRU6" s="2"/>
      <c r="PRV6" s="2"/>
      <c r="PRW6" s="2"/>
      <c r="PRX6" s="2"/>
      <c r="PRY6" s="2"/>
      <c r="PRZ6" s="2"/>
      <c r="PSA6" s="2"/>
      <c r="PSB6" s="2"/>
      <c r="PSC6" s="2"/>
      <c r="PSD6" s="2"/>
      <c r="PSE6" s="2"/>
      <c r="PSF6" s="2"/>
      <c r="PSG6" s="2"/>
      <c r="PSH6" s="2"/>
      <c r="PSI6" s="2"/>
      <c r="PSJ6" s="2"/>
      <c r="PSK6" s="2"/>
      <c r="PSL6" s="2"/>
      <c r="PSM6" s="2"/>
      <c r="PSN6" s="2"/>
      <c r="PSO6" s="2"/>
      <c r="PSP6" s="2"/>
      <c r="PSQ6" s="2"/>
      <c r="PSR6" s="2"/>
      <c r="PSS6" s="2"/>
      <c r="PST6" s="2"/>
      <c r="PSU6" s="2"/>
      <c r="PSV6" s="2"/>
      <c r="PSW6" s="2"/>
      <c r="PSX6" s="2"/>
      <c r="PSY6" s="2"/>
      <c r="PSZ6" s="2"/>
      <c r="PTA6" s="2"/>
      <c r="PTB6" s="2"/>
      <c r="PTC6" s="2"/>
      <c r="PTD6" s="2"/>
      <c r="PTE6" s="2"/>
      <c r="PTF6" s="2"/>
      <c r="PTG6" s="2"/>
      <c r="PTH6" s="2"/>
      <c r="PTI6" s="2"/>
      <c r="PTJ6" s="2"/>
      <c r="PTK6" s="2"/>
      <c r="PTL6" s="2"/>
      <c r="PTM6" s="2"/>
      <c r="PTN6" s="2"/>
      <c r="PTO6" s="2"/>
      <c r="PTP6" s="2"/>
      <c r="PTQ6" s="2"/>
      <c r="PTR6" s="2"/>
      <c r="PTS6" s="2"/>
      <c r="PTT6" s="2"/>
      <c r="PTU6" s="2"/>
      <c r="PTV6" s="2"/>
      <c r="PTW6" s="2"/>
      <c r="PTX6" s="2"/>
      <c r="PTY6" s="2"/>
      <c r="PTZ6" s="2"/>
      <c r="PUA6" s="2"/>
      <c r="PUB6" s="2"/>
      <c r="PUC6" s="2"/>
      <c r="PUD6" s="2"/>
      <c r="PUE6" s="2"/>
      <c r="PUF6" s="2"/>
      <c r="PUG6" s="2"/>
      <c r="PUH6" s="2"/>
      <c r="PUI6" s="2"/>
      <c r="PUJ6" s="2"/>
      <c r="PUK6" s="2"/>
      <c r="PUL6" s="2"/>
      <c r="PUM6" s="2"/>
      <c r="PUN6" s="2"/>
      <c r="PUO6" s="2"/>
      <c r="PUP6" s="2"/>
      <c r="PUQ6" s="2"/>
      <c r="PUR6" s="2"/>
      <c r="PUS6" s="2"/>
      <c r="PUT6" s="2"/>
      <c r="PUU6" s="2"/>
      <c r="PUV6" s="2"/>
      <c r="PUW6" s="2"/>
      <c r="PUX6" s="2"/>
      <c r="PUY6" s="2"/>
      <c r="PUZ6" s="2"/>
      <c r="PVA6" s="2"/>
      <c r="PVB6" s="2"/>
      <c r="PVC6" s="2"/>
      <c r="PVD6" s="2"/>
      <c r="PVE6" s="2"/>
      <c r="PVF6" s="2"/>
      <c r="PVG6" s="2"/>
      <c r="PVH6" s="2"/>
      <c r="PVI6" s="2"/>
      <c r="PVJ6" s="2"/>
      <c r="PVK6" s="2"/>
      <c r="PVL6" s="2"/>
      <c r="PVM6" s="2"/>
      <c r="PVN6" s="2"/>
      <c r="PVO6" s="2"/>
      <c r="PVP6" s="2"/>
      <c r="PVQ6" s="2"/>
      <c r="PVR6" s="2"/>
      <c r="PVS6" s="2"/>
      <c r="PVT6" s="2"/>
      <c r="PVU6" s="2"/>
      <c r="PVV6" s="2"/>
      <c r="PVW6" s="2"/>
      <c r="PVX6" s="2"/>
      <c r="PVY6" s="2"/>
      <c r="PVZ6" s="2"/>
      <c r="PWA6" s="2"/>
      <c r="PWB6" s="2"/>
      <c r="PWC6" s="2"/>
      <c r="PWD6" s="2"/>
      <c r="PWE6" s="2"/>
      <c r="PWF6" s="2"/>
      <c r="PWG6" s="2"/>
      <c r="PWH6" s="2"/>
      <c r="PWI6" s="2"/>
      <c r="PWJ6" s="2"/>
      <c r="PWK6" s="2"/>
      <c r="PWL6" s="2"/>
      <c r="PWM6" s="2"/>
      <c r="PWN6" s="2"/>
      <c r="PWO6" s="2"/>
      <c r="PWP6" s="2"/>
      <c r="PWQ6" s="2"/>
      <c r="PWR6" s="2"/>
      <c r="PWS6" s="2"/>
      <c r="PWT6" s="2"/>
      <c r="PWU6" s="2"/>
      <c r="PWV6" s="2"/>
      <c r="PWW6" s="2"/>
      <c r="PWX6" s="2"/>
      <c r="PWY6" s="2"/>
      <c r="PWZ6" s="2"/>
      <c r="PXA6" s="2"/>
      <c r="PXB6" s="2"/>
      <c r="PXC6" s="2"/>
      <c r="PXD6" s="2"/>
      <c r="PXE6" s="2"/>
      <c r="PXF6" s="2"/>
      <c r="PXG6" s="2"/>
      <c r="PXH6" s="2"/>
      <c r="PXI6" s="2"/>
      <c r="PXJ6" s="2"/>
      <c r="PXK6" s="2"/>
      <c r="PXL6" s="2"/>
      <c r="PXM6" s="2"/>
      <c r="PXN6" s="2"/>
      <c r="PXO6" s="2"/>
      <c r="PXP6" s="2"/>
      <c r="PXQ6" s="2"/>
      <c r="PXR6" s="2"/>
      <c r="PXS6" s="2"/>
      <c r="PXT6" s="2"/>
      <c r="PXU6" s="2"/>
      <c r="PXV6" s="2"/>
      <c r="PXW6" s="2"/>
      <c r="PXX6" s="2"/>
      <c r="PXY6" s="2"/>
      <c r="PXZ6" s="2"/>
      <c r="PYA6" s="2"/>
      <c r="PYB6" s="2"/>
      <c r="PYC6" s="2"/>
      <c r="PYD6" s="2"/>
      <c r="PYE6" s="2"/>
      <c r="PYF6" s="2"/>
      <c r="PYG6" s="2"/>
      <c r="PYH6" s="2"/>
      <c r="PYI6" s="2"/>
      <c r="PYJ6" s="2"/>
      <c r="PYK6" s="2"/>
      <c r="PYL6" s="2"/>
      <c r="PYM6" s="2"/>
      <c r="PYN6" s="2"/>
      <c r="PYO6" s="2"/>
      <c r="PYP6" s="2"/>
      <c r="PYQ6" s="2"/>
      <c r="PYR6" s="2"/>
      <c r="PYS6" s="2"/>
      <c r="PYT6" s="2"/>
      <c r="PYU6" s="2"/>
      <c r="PYV6" s="2"/>
      <c r="PYW6" s="2"/>
      <c r="PYX6" s="2"/>
      <c r="PYY6" s="2"/>
      <c r="PYZ6" s="2"/>
      <c r="PZA6" s="2"/>
      <c r="PZB6" s="2"/>
      <c r="PZC6" s="2"/>
      <c r="PZD6" s="2"/>
      <c r="PZE6" s="2"/>
      <c r="PZF6" s="2"/>
      <c r="PZG6" s="2"/>
      <c r="PZH6" s="2"/>
      <c r="PZI6" s="2"/>
      <c r="PZJ6" s="2"/>
      <c r="PZK6" s="2"/>
      <c r="PZL6" s="2"/>
      <c r="PZM6" s="2"/>
      <c r="PZN6" s="2"/>
      <c r="PZO6" s="2"/>
      <c r="PZP6" s="2"/>
      <c r="PZQ6" s="2"/>
      <c r="PZR6" s="2"/>
      <c r="PZS6" s="2"/>
      <c r="PZT6" s="2"/>
      <c r="PZU6" s="2"/>
      <c r="PZV6" s="2"/>
      <c r="PZW6" s="2"/>
      <c r="PZX6" s="2"/>
      <c r="PZY6" s="2"/>
      <c r="PZZ6" s="2"/>
      <c r="QAA6" s="2"/>
      <c r="QAB6" s="2"/>
      <c r="QAC6" s="2"/>
      <c r="QAD6" s="2"/>
      <c r="QAE6" s="2"/>
      <c r="QAF6" s="2"/>
      <c r="QAG6" s="2"/>
      <c r="QAH6" s="2"/>
      <c r="QAI6" s="2"/>
      <c r="QAJ6" s="2"/>
      <c r="QAK6" s="2"/>
      <c r="QAL6" s="2"/>
      <c r="QAM6" s="2"/>
      <c r="QAN6" s="2"/>
      <c r="QAO6" s="2"/>
      <c r="QAP6" s="2"/>
      <c r="QAQ6" s="2"/>
      <c r="QAR6" s="2"/>
      <c r="QAS6" s="2"/>
      <c r="QAT6" s="2"/>
      <c r="QAU6" s="2"/>
      <c r="QAV6" s="2"/>
      <c r="QAW6" s="2"/>
      <c r="QAX6" s="2"/>
      <c r="QAY6" s="2"/>
      <c r="QAZ6" s="2"/>
      <c r="QBA6" s="2"/>
      <c r="QBB6" s="2"/>
      <c r="QBC6" s="2"/>
      <c r="QBD6" s="2"/>
      <c r="QBE6" s="2"/>
      <c r="QBF6" s="2"/>
      <c r="QBG6" s="2"/>
      <c r="QBH6" s="2"/>
      <c r="QBI6" s="2"/>
      <c r="QBJ6" s="2"/>
      <c r="QBK6" s="2"/>
      <c r="QBL6" s="2"/>
      <c r="QBM6" s="2"/>
      <c r="QBN6" s="2"/>
      <c r="QBO6" s="2"/>
      <c r="QBP6" s="2"/>
      <c r="QBQ6" s="2"/>
      <c r="QBR6" s="2"/>
      <c r="QBS6" s="2"/>
      <c r="QBT6" s="2"/>
      <c r="QBU6" s="2"/>
      <c r="QBV6" s="2"/>
      <c r="QBW6" s="2"/>
      <c r="QBX6" s="2"/>
      <c r="QBY6" s="2"/>
      <c r="QBZ6" s="2"/>
      <c r="QCA6" s="2"/>
      <c r="QCB6" s="2"/>
      <c r="QCC6" s="2"/>
      <c r="QCD6" s="2"/>
      <c r="QCE6" s="2"/>
      <c r="QCF6" s="2"/>
      <c r="QCG6" s="2"/>
      <c r="QCH6" s="2"/>
      <c r="QCI6" s="2"/>
      <c r="QCJ6" s="2"/>
      <c r="QCK6" s="2"/>
      <c r="QCL6" s="2"/>
      <c r="QCM6" s="2"/>
      <c r="QCN6" s="2"/>
      <c r="QCO6" s="2"/>
      <c r="QCP6" s="2"/>
      <c r="QCQ6" s="2"/>
      <c r="QCR6" s="2"/>
      <c r="QCS6" s="2"/>
      <c r="QCT6" s="2"/>
      <c r="QCU6" s="2"/>
      <c r="QCV6" s="2"/>
      <c r="QCW6" s="2"/>
      <c r="QCX6" s="2"/>
      <c r="QCY6" s="2"/>
      <c r="QCZ6" s="2"/>
      <c r="QDA6" s="2"/>
      <c r="QDB6" s="2"/>
      <c r="QDC6" s="2"/>
      <c r="QDD6" s="2"/>
      <c r="QDE6" s="2"/>
      <c r="QDF6" s="2"/>
      <c r="QDG6" s="2"/>
      <c r="QDH6" s="2"/>
      <c r="QDI6" s="2"/>
      <c r="QDJ6" s="2"/>
      <c r="QDK6" s="2"/>
      <c r="QDL6" s="2"/>
      <c r="QDM6" s="2"/>
      <c r="QDN6" s="2"/>
      <c r="QDO6" s="2"/>
      <c r="QDP6" s="2"/>
      <c r="QDQ6" s="2"/>
      <c r="QDR6" s="2"/>
      <c r="QDS6" s="2"/>
      <c r="QDT6" s="2"/>
      <c r="QDU6" s="2"/>
      <c r="QDV6" s="2"/>
      <c r="QDW6" s="2"/>
      <c r="QDX6" s="2"/>
      <c r="QDY6" s="2"/>
      <c r="QDZ6" s="2"/>
      <c r="QEA6" s="2"/>
      <c r="QEB6" s="2"/>
      <c r="QEC6" s="2"/>
      <c r="QED6" s="2"/>
      <c r="QEE6" s="2"/>
      <c r="QEF6" s="2"/>
      <c r="QEG6" s="2"/>
      <c r="QEH6" s="2"/>
      <c r="QEI6" s="2"/>
      <c r="QEJ6" s="2"/>
      <c r="QEK6" s="2"/>
      <c r="QEL6" s="2"/>
      <c r="QEM6" s="2"/>
      <c r="QEN6" s="2"/>
      <c r="QEO6" s="2"/>
      <c r="QEP6" s="2"/>
      <c r="QEQ6" s="2"/>
      <c r="QER6" s="2"/>
      <c r="QES6" s="2"/>
      <c r="QET6" s="2"/>
      <c r="QEU6" s="2"/>
      <c r="QEV6" s="2"/>
      <c r="QEW6" s="2"/>
      <c r="QEX6" s="2"/>
      <c r="QEY6" s="2"/>
      <c r="QEZ6" s="2"/>
      <c r="QFA6" s="2"/>
      <c r="QFB6" s="2"/>
      <c r="QFC6" s="2"/>
      <c r="QFD6" s="2"/>
      <c r="QFE6" s="2"/>
      <c r="QFF6" s="2"/>
      <c r="QFG6" s="2"/>
      <c r="QFH6" s="2"/>
      <c r="QFI6" s="2"/>
      <c r="QFJ6" s="2"/>
      <c r="QFK6" s="2"/>
      <c r="QFL6" s="2"/>
      <c r="QFM6" s="2"/>
      <c r="QFN6" s="2"/>
      <c r="QFO6" s="2"/>
      <c r="QFP6" s="2"/>
      <c r="QFQ6" s="2"/>
      <c r="QFR6" s="2"/>
      <c r="QFS6" s="2"/>
      <c r="QFT6" s="2"/>
      <c r="QFU6" s="2"/>
      <c r="QFV6" s="2"/>
      <c r="QFW6" s="2"/>
      <c r="QFX6" s="2"/>
      <c r="QFY6" s="2"/>
      <c r="QFZ6" s="2"/>
      <c r="QGA6" s="2"/>
      <c r="QGB6" s="2"/>
      <c r="QGC6" s="2"/>
      <c r="QGD6" s="2"/>
      <c r="QGE6" s="2"/>
      <c r="QGF6" s="2"/>
      <c r="QGG6" s="2"/>
      <c r="QGH6" s="2"/>
      <c r="QGI6" s="2"/>
      <c r="QGJ6" s="2"/>
      <c r="QGK6" s="2"/>
      <c r="QGL6" s="2"/>
      <c r="QGM6" s="2"/>
      <c r="QGN6" s="2"/>
      <c r="QGO6" s="2"/>
      <c r="QGP6" s="2"/>
      <c r="QGQ6" s="2"/>
      <c r="QGR6" s="2"/>
      <c r="QGS6" s="2"/>
      <c r="QGT6" s="2"/>
      <c r="QGU6" s="2"/>
      <c r="QGV6" s="2"/>
      <c r="QGW6" s="2"/>
      <c r="QGX6" s="2"/>
      <c r="QGY6" s="2"/>
      <c r="QGZ6" s="2"/>
      <c r="QHA6" s="2"/>
      <c r="QHB6" s="2"/>
      <c r="QHC6" s="2"/>
      <c r="QHD6" s="2"/>
      <c r="QHE6" s="2"/>
      <c r="QHF6" s="2"/>
      <c r="QHG6" s="2"/>
      <c r="QHH6" s="2"/>
      <c r="QHI6" s="2"/>
      <c r="QHJ6" s="2"/>
      <c r="QHK6" s="2"/>
      <c r="QHL6" s="2"/>
      <c r="QHM6" s="2"/>
      <c r="QHN6" s="2"/>
      <c r="QHO6" s="2"/>
      <c r="QHP6" s="2"/>
      <c r="QHQ6" s="2"/>
      <c r="QHR6" s="2"/>
      <c r="QHS6" s="2"/>
      <c r="QHT6" s="2"/>
      <c r="QHU6" s="2"/>
      <c r="QHV6" s="2"/>
      <c r="QHW6" s="2"/>
      <c r="QHX6" s="2"/>
      <c r="QHY6" s="2"/>
      <c r="QHZ6" s="2"/>
      <c r="QIA6" s="2"/>
      <c r="QIB6" s="2"/>
      <c r="QIC6" s="2"/>
      <c r="QID6" s="2"/>
      <c r="QIE6" s="2"/>
      <c r="QIF6" s="2"/>
      <c r="QIG6" s="2"/>
      <c r="QIH6" s="2"/>
      <c r="QII6" s="2"/>
      <c r="QIJ6" s="2"/>
      <c r="QIK6" s="2"/>
      <c r="QIL6" s="2"/>
      <c r="QIM6" s="2"/>
      <c r="QIN6" s="2"/>
      <c r="QIO6" s="2"/>
      <c r="QIP6" s="2"/>
      <c r="QIQ6" s="2"/>
      <c r="QIR6" s="2"/>
      <c r="QIS6" s="2"/>
      <c r="QIT6" s="2"/>
      <c r="QIU6" s="2"/>
      <c r="QIV6" s="2"/>
      <c r="QIW6" s="2"/>
      <c r="QIX6" s="2"/>
      <c r="QIY6" s="2"/>
      <c r="QIZ6" s="2"/>
      <c r="QJA6" s="2"/>
      <c r="QJB6" s="2"/>
      <c r="QJC6" s="2"/>
      <c r="QJD6" s="2"/>
      <c r="QJE6" s="2"/>
      <c r="QJF6" s="2"/>
      <c r="QJG6" s="2"/>
      <c r="QJH6" s="2"/>
      <c r="QJI6" s="2"/>
      <c r="QJJ6" s="2"/>
      <c r="QJK6" s="2"/>
      <c r="QJL6" s="2"/>
      <c r="QJM6" s="2"/>
      <c r="QJN6" s="2"/>
      <c r="QJO6" s="2"/>
      <c r="QJP6" s="2"/>
      <c r="QJQ6" s="2"/>
      <c r="QJR6" s="2"/>
      <c r="QJS6" s="2"/>
      <c r="QJT6" s="2"/>
      <c r="QJU6" s="2"/>
      <c r="QJV6" s="2"/>
      <c r="QJW6" s="2"/>
      <c r="QJX6" s="2"/>
      <c r="QJY6" s="2"/>
      <c r="QJZ6" s="2"/>
      <c r="QKA6" s="2"/>
      <c r="QKB6" s="2"/>
      <c r="QKC6" s="2"/>
      <c r="QKD6" s="2"/>
      <c r="QKE6" s="2"/>
      <c r="QKF6" s="2"/>
      <c r="QKG6" s="2"/>
      <c r="QKH6" s="2"/>
      <c r="QKI6" s="2"/>
      <c r="QKJ6" s="2"/>
      <c r="QKK6" s="2"/>
      <c r="QKL6" s="2"/>
      <c r="QKM6" s="2"/>
      <c r="QKN6" s="2"/>
      <c r="QKO6" s="2"/>
      <c r="QKP6" s="2"/>
      <c r="QKQ6" s="2"/>
      <c r="QKR6" s="2"/>
      <c r="QKS6" s="2"/>
      <c r="QKT6" s="2"/>
      <c r="QKU6" s="2"/>
      <c r="QKV6" s="2"/>
      <c r="QKW6" s="2"/>
      <c r="QKX6" s="2"/>
      <c r="QKY6" s="2"/>
      <c r="QKZ6" s="2"/>
      <c r="QLA6" s="2"/>
      <c r="QLB6" s="2"/>
      <c r="QLC6" s="2"/>
      <c r="QLD6" s="2"/>
      <c r="QLE6" s="2"/>
      <c r="QLF6" s="2"/>
      <c r="QLG6" s="2"/>
      <c r="QLH6" s="2"/>
      <c r="QLI6" s="2"/>
      <c r="QLJ6" s="2"/>
      <c r="QLK6" s="2"/>
      <c r="QLL6" s="2"/>
      <c r="QLM6" s="2"/>
      <c r="QLN6" s="2"/>
      <c r="QLO6" s="2"/>
      <c r="QLP6" s="2"/>
      <c r="QLQ6" s="2"/>
      <c r="QLR6" s="2"/>
      <c r="QLS6" s="2"/>
      <c r="QLT6" s="2"/>
      <c r="QLU6" s="2"/>
      <c r="QLV6" s="2"/>
      <c r="QLW6" s="2"/>
      <c r="QLX6" s="2"/>
      <c r="QLY6" s="2"/>
      <c r="QLZ6" s="2"/>
      <c r="QMA6" s="2"/>
      <c r="QMB6" s="2"/>
      <c r="QMC6" s="2"/>
      <c r="QMD6" s="2"/>
      <c r="QME6" s="2"/>
      <c r="QMF6" s="2"/>
      <c r="QMG6" s="2"/>
      <c r="QMH6" s="2"/>
      <c r="QMI6" s="2"/>
      <c r="QMJ6" s="2"/>
      <c r="QMK6" s="2"/>
      <c r="QML6" s="2"/>
      <c r="QMM6" s="2"/>
      <c r="QMN6" s="2"/>
      <c r="QMO6" s="2"/>
      <c r="QMP6" s="2"/>
      <c r="QMQ6" s="2"/>
      <c r="QMR6" s="2"/>
      <c r="QMS6" s="2"/>
      <c r="QMT6" s="2"/>
      <c r="QMU6" s="2"/>
      <c r="QMV6" s="2"/>
      <c r="QMW6" s="2"/>
      <c r="QMX6" s="2"/>
      <c r="QMY6" s="2"/>
      <c r="QMZ6" s="2"/>
      <c r="QNA6" s="2"/>
      <c r="QNB6" s="2"/>
      <c r="QNC6" s="2"/>
      <c r="QND6" s="2"/>
      <c r="QNE6" s="2"/>
      <c r="QNF6" s="2"/>
      <c r="QNG6" s="2"/>
      <c r="QNH6" s="2"/>
      <c r="QNI6" s="2"/>
      <c r="QNJ6" s="2"/>
      <c r="QNK6" s="2"/>
      <c r="QNL6" s="2"/>
      <c r="QNM6" s="2"/>
      <c r="QNN6" s="2"/>
      <c r="QNO6" s="2"/>
      <c r="QNP6" s="2"/>
      <c r="QNQ6" s="2"/>
      <c r="QNR6" s="2"/>
      <c r="QNS6" s="2"/>
      <c r="QNT6" s="2"/>
      <c r="QNU6" s="2"/>
      <c r="QNV6" s="2"/>
      <c r="QNW6" s="2"/>
      <c r="QNX6" s="2"/>
      <c r="QNY6" s="2"/>
      <c r="QNZ6" s="2"/>
      <c r="QOA6" s="2"/>
      <c r="QOB6" s="2"/>
      <c r="QOC6" s="2"/>
      <c r="QOD6" s="2"/>
      <c r="QOE6" s="2"/>
      <c r="QOF6" s="2"/>
      <c r="QOG6" s="2"/>
      <c r="QOH6" s="2"/>
      <c r="QOI6" s="2"/>
      <c r="QOJ6" s="2"/>
      <c r="QOK6" s="2"/>
      <c r="QOL6" s="2"/>
      <c r="QOM6" s="2"/>
      <c r="QON6" s="2"/>
      <c r="QOO6" s="2"/>
      <c r="QOP6" s="2"/>
      <c r="QOQ6" s="2"/>
      <c r="QOR6" s="2"/>
      <c r="QOS6" s="2"/>
      <c r="QOT6" s="2"/>
      <c r="QOU6" s="2"/>
      <c r="QOV6" s="2"/>
      <c r="QOW6" s="2"/>
      <c r="QOX6" s="2"/>
      <c r="QOY6" s="2"/>
      <c r="QOZ6" s="2"/>
      <c r="QPA6" s="2"/>
      <c r="QPB6" s="2"/>
      <c r="QPC6" s="2"/>
      <c r="QPD6" s="2"/>
      <c r="QPE6" s="2"/>
      <c r="QPF6" s="2"/>
      <c r="QPG6" s="2"/>
      <c r="QPH6" s="2"/>
      <c r="QPI6" s="2"/>
      <c r="QPJ6" s="2"/>
      <c r="QPK6" s="2"/>
      <c r="QPL6" s="2"/>
      <c r="QPM6" s="2"/>
      <c r="QPN6" s="2"/>
      <c r="QPO6" s="2"/>
      <c r="QPP6" s="2"/>
      <c r="QPQ6" s="2"/>
      <c r="QPR6" s="2"/>
      <c r="QPS6" s="2"/>
      <c r="QPT6" s="2"/>
      <c r="QPU6" s="2"/>
      <c r="QPV6" s="2"/>
      <c r="QPW6" s="2"/>
      <c r="QPX6" s="2"/>
      <c r="QPY6" s="2"/>
      <c r="QPZ6" s="2"/>
      <c r="QQA6" s="2"/>
      <c r="QQB6" s="2"/>
      <c r="QQC6" s="2"/>
      <c r="QQD6" s="2"/>
      <c r="QQE6" s="2"/>
      <c r="QQF6" s="2"/>
      <c r="QQG6" s="2"/>
      <c r="QQH6" s="2"/>
      <c r="QQI6" s="2"/>
      <c r="QQJ6" s="2"/>
      <c r="QQK6" s="2"/>
      <c r="QQL6" s="2"/>
      <c r="QQM6" s="2"/>
      <c r="QQN6" s="2"/>
      <c r="QQO6" s="2"/>
      <c r="QQP6" s="2"/>
      <c r="QQQ6" s="2"/>
      <c r="QQR6" s="2"/>
      <c r="QQS6" s="2"/>
      <c r="QQT6" s="2"/>
      <c r="QQU6" s="2"/>
      <c r="QQV6" s="2"/>
      <c r="QQW6" s="2"/>
      <c r="QQX6" s="2"/>
      <c r="QQY6" s="2"/>
      <c r="QQZ6" s="2"/>
      <c r="QRA6" s="2"/>
      <c r="QRB6" s="2"/>
      <c r="QRC6" s="2"/>
      <c r="QRD6" s="2"/>
      <c r="QRE6" s="2"/>
      <c r="QRF6" s="2"/>
      <c r="QRG6" s="2"/>
      <c r="QRH6" s="2"/>
      <c r="QRI6" s="2"/>
      <c r="QRJ6" s="2"/>
      <c r="QRK6" s="2"/>
      <c r="QRL6" s="2"/>
      <c r="QRM6" s="2"/>
      <c r="QRN6" s="2"/>
      <c r="QRO6" s="2"/>
      <c r="QRP6" s="2"/>
      <c r="QRQ6" s="2"/>
      <c r="QRR6" s="2"/>
      <c r="QRS6" s="2"/>
      <c r="QRT6" s="2"/>
      <c r="QRU6" s="2"/>
      <c r="QRV6" s="2"/>
      <c r="QRW6" s="2"/>
      <c r="QRX6" s="2"/>
      <c r="QRY6" s="2"/>
      <c r="QRZ6" s="2"/>
      <c r="QSA6" s="2"/>
      <c r="QSB6" s="2"/>
      <c r="QSC6" s="2"/>
      <c r="QSD6" s="2"/>
      <c r="QSE6" s="2"/>
      <c r="QSF6" s="2"/>
      <c r="QSG6" s="2"/>
      <c r="QSH6" s="2"/>
      <c r="QSI6" s="2"/>
      <c r="QSJ6" s="2"/>
      <c r="QSK6" s="2"/>
      <c r="QSL6" s="2"/>
      <c r="QSM6" s="2"/>
      <c r="QSN6" s="2"/>
      <c r="QSO6" s="2"/>
      <c r="QSP6" s="2"/>
      <c r="QSQ6" s="2"/>
      <c r="QSR6" s="2"/>
      <c r="QSS6" s="2"/>
      <c r="QST6" s="2"/>
      <c r="QSU6" s="2"/>
      <c r="QSV6" s="2"/>
      <c r="QSW6" s="2"/>
      <c r="QSX6" s="2"/>
      <c r="QSY6" s="2"/>
      <c r="QSZ6" s="2"/>
      <c r="QTA6" s="2"/>
      <c r="QTB6" s="2"/>
      <c r="QTC6" s="2"/>
      <c r="QTD6" s="2"/>
      <c r="QTE6" s="2"/>
      <c r="QTF6" s="2"/>
      <c r="QTG6" s="2"/>
      <c r="QTH6" s="2"/>
      <c r="QTI6" s="2"/>
      <c r="QTJ6" s="2"/>
      <c r="QTK6" s="2"/>
      <c r="QTL6" s="2"/>
      <c r="QTM6" s="2"/>
      <c r="QTN6" s="2"/>
      <c r="QTO6" s="2"/>
      <c r="QTP6" s="2"/>
      <c r="QTQ6" s="2"/>
      <c r="QTR6" s="2"/>
      <c r="QTS6" s="2"/>
      <c r="QTT6" s="2"/>
      <c r="QTU6" s="2"/>
      <c r="QTV6" s="2"/>
      <c r="QTW6" s="2"/>
      <c r="QTX6" s="2"/>
      <c r="QTY6" s="2"/>
      <c r="QTZ6" s="2"/>
      <c r="QUA6" s="2"/>
      <c r="QUB6" s="2"/>
      <c r="QUC6" s="2"/>
      <c r="QUD6" s="2"/>
      <c r="QUE6" s="2"/>
      <c r="QUF6" s="2"/>
      <c r="QUG6" s="2"/>
      <c r="QUH6" s="2"/>
      <c r="QUI6" s="2"/>
      <c r="QUJ6" s="2"/>
      <c r="QUK6" s="2"/>
      <c r="QUL6" s="2"/>
      <c r="QUM6" s="2"/>
      <c r="QUN6" s="2"/>
      <c r="QUO6" s="2"/>
      <c r="QUP6" s="2"/>
      <c r="QUQ6" s="2"/>
      <c r="QUR6" s="2"/>
      <c r="QUS6" s="2"/>
      <c r="QUT6" s="2"/>
      <c r="QUU6" s="2"/>
      <c r="QUV6" s="2"/>
      <c r="QUW6" s="2"/>
      <c r="QUX6" s="2"/>
      <c r="QUY6" s="2"/>
      <c r="QUZ6" s="2"/>
      <c r="QVA6" s="2"/>
      <c r="QVB6" s="2"/>
      <c r="QVC6" s="2"/>
      <c r="QVD6" s="2"/>
      <c r="QVE6" s="2"/>
      <c r="QVF6" s="2"/>
      <c r="QVG6" s="2"/>
      <c r="QVH6" s="2"/>
      <c r="QVI6" s="2"/>
      <c r="QVJ6" s="2"/>
      <c r="QVK6" s="2"/>
      <c r="QVL6" s="2"/>
      <c r="QVM6" s="2"/>
      <c r="QVN6" s="2"/>
      <c r="QVO6" s="2"/>
      <c r="QVP6" s="2"/>
      <c r="QVQ6" s="2"/>
      <c r="QVR6" s="2"/>
      <c r="QVS6" s="2"/>
      <c r="QVT6" s="2"/>
      <c r="QVU6" s="2"/>
      <c r="QVV6" s="2"/>
      <c r="QVW6" s="2"/>
      <c r="QVX6" s="2"/>
      <c r="QVY6" s="2"/>
      <c r="QVZ6" s="2"/>
      <c r="QWA6" s="2"/>
      <c r="QWB6" s="2"/>
      <c r="QWC6" s="2"/>
      <c r="QWD6" s="2"/>
      <c r="QWE6" s="2"/>
      <c r="QWF6" s="2"/>
      <c r="QWG6" s="2"/>
      <c r="QWH6" s="2"/>
      <c r="QWI6" s="2"/>
      <c r="QWJ6" s="2"/>
      <c r="QWK6" s="2"/>
      <c r="QWL6" s="2"/>
      <c r="QWM6" s="2"/>
      <c r="QWN6" s="2"/>
      <c r="QWO6" s="2"/>
      <c r="QWP6" s="2"/>
      <c r="QWQ6" s="2"/>
      <c r="QWR6" s="2"/>
      <c r="QWS6" s="2"/>
      <c r="QWT6" s="2"/>
      <c r="QWU6" s="2"/>
      <c r="QWV6" s="2"/>
      <c r="QWW6" s="2"/>
      <c r="QWX6" s="2"/>
      <c r="QWY6" s="2"/>
      <c r="QWZ6" s="2"/>
      <c r="QXA6" s="2"/>
      <c r="QXB6" s="2"/>
      <c r="QXC6" s="2"/>
      <c r="QXD6" s="2"/>
      <c r="QXE6" s="2"/>
      <c r="QXF6" s="2"/>
      <c r="QXG6" s="2"/>
      <c r="QXH6" s="2"/>
      <c r="QXI6" s="2"/>
      <c r="QXJ6" s="2"/>
      <c r="QXK6" s="2"/>
      <c r="QXL6" s="2"/>
      <c r="QXM6" s="2"/>
      <c r="QXN6" s="2"/>
      <c r="QXO6" s="2"/>
      <c r="QXP6" s="2"/>
      <c r="QXQ6" s="2"/>
      <c r="QXR6" s="2"/>
      <c r="QXS6" s="2"/>
      <c r="QXT6" s="2"/>
      <c r="QXU6" s="2"/>
      <c r="QXV6" s="2"/>
      <c r="QXW6" s="2"/>
      <c r="QXX6" s="2"/>
      <c r="QXY6" s="2"/>
      <c r="QXZ6" s="2"/>
      <c r="QYA6" s="2"/>
      <c r="QYB6" s="2"/>
      <c r="QYC6" s="2"/>
      <c r="QYD6" s="2"/>
      <c r="QYE6" s="2"/>
      <c r="QYF6" s="2"/>
      <c r="QYG6" s="2"/>
      <c r="QYH6" s="2"/>
      <c r="QYI6" s="2"/>
      <c r="QYJ6" s="2"/>
      <c r="QYK6" s="2"/>
      <c r="QYL6" s="2"/>
      <c r="QYM6" s="2"/>
      <c r="QYN6" s="2"/>
      <c r="QYO6" s="2"/>
      <c r="QYP6" s="2"/>
      <c r="QYQ6" s="2"/>
      <c r="QYR6" s="2"/>
      <c r="QYS6" s="2"/>
      <c r="QYT6" s="2"/>
      <c r="QYU6" s="2"/>
      <c r="QYV6" s="2"/>
      <c r="QYW6" s="2"/>
      <c r="QYX6" s="2"/>
      <c r="QYY6" s="2"/>
      <c r="QYZ6" s="2"/>
      <c r="QZA6" s="2"/>
      <c r="QZB6" s="2"/>
      <c r="QZC6" s="2"/>
      <c r="QZD6" s="2"/>
      <c r="QZE6" s="2"/>
      <c r="QZF6" s="2"/>
      <c r="QZG6" s="2"/>
      <c r="QZH6" s="2"/>
      <c r="QZI6" s="2"/>
      <c r="QZJ6" s="2"/>
      <c r="QZK6" s="2"/>
      <c r="QZL6" s="2"/>
      <c r="QZM6" s="2"/>
      <c r="QZN6" s="2"/>
      <c r="QZO6" s="2"/>
      <c r="QZP6" s="2"/>
      <c r="QZQ6" s="2"/>
      <c r="QZR6" s="2"/>
      <c r="QZS6" s="2"/>
      <c r="QZT6" s="2"/>
      <c r="QZU6" s="2"/>
      <c r="QZV6" s="2"/>
      <c r="QZW6" s="2"/>
      <c r="QZX6" s="2"/>
      <c r="QZY6" s="2"/>
      <c r="QZZ6" s="2"/>
      <c r="RAA6" s="2"/>
      <c r="RAB6" s="2"/>
      <c r="RAC6" s="2"/>
      <c r="RAD6" s="2"/>
      <c r="RAE6" s="2"/>
      <c r="RAF6" s="2"/>
      <c r="RAG6" s="2"/>
      <c r="RAH6" s="2"/>
      <c r="RAI6" s="2"/>
      <c r="RAJ6" s="2"/>
      <c r="RAK6" s="2"/>
      <c r="RAL6" s="2"/>
      <c r="RAM6" s="2"/>
      <c r="RAN6" s="2"/>
      <c r="RAO6" s="2"/>
      <c r="RAP6" s="2"/>
      <c r="RAQ6" s="2"/>
      <c r="RAR6" s="2"/>
      <c r="RAS6" s="2"/>
      <c r="RAT6" s="2"/>
      <c r="RAU6" s="2"/>
      <c r="RAV6" s="2"/>
      <c r="RAW6" s="2"/>
      <c r="RAX6" s="2"/>
      <c r="RAY6" s="2"/>
      <c r="RAZ6" s="2"/>
      <c r="RBA6" s="2"/>
      <c r="RBB6" s="2"/>
      <c r="RBC6" s="2"/>
      <c r="RBD6" s="2"/>
      <c r="RBE6" s="2"/>
      <c r="RBF6" s="2"/>
      <c r="RBG6" s="2"/>
      <c r="RBH6" s="2"/>
      <c r="RBI6" s="2"/>
      <c r="RBJ6" s="2"/>
      <c r="RBK6" s="2"/>
      <c r="RBL6" s="2"/>
      <c r="RBM6" s="2"/>
      <c r="RBN6" s="2"/>
      <c r="RBO6" s="2"/>
      <c r="RBP6" s="2"/>
      <c r="RBQ6" s="2"/>
      <c r="RBR6" s="2"/>
      <c r="RBS6" s="2"/>
      <c r="RBT6" s="2"/>
      <c r="RBU6" s="2"/>
      <c r="RBV6" s="2"/>
      <c r="RBW6" s="2"/>
      <c r="RBX6" s="2"/>
      <c r="RBY6" s="2"/>
      <c r="RBZ6" s="2"/>
      <c r="RCA6" s="2"/>
      <c r="RCB6" s="2"/>
      <c r="RCC6" s="2"/>
      <c r="RCD6" s="2"/>
      <c r="RCE6" s="2"/>
      <c r="RCF6" s="2"/>
      <c r="RCG6" s="2"/>
      <c r="RCH6" s="2"/>
      <c r="RCI6" s="2"/>
      <c r="RCJ6" s="2"/>
      <c r="RCK6" s="2"/>
      <c r="RCL6" s="2"/>
      <c r="RCM6" s="2"/>
      <c r="RCN6" s="2"/>
      <c r="RCO6" s="2"/>
      <c r="RCP6" s="2"/>
      <c r="RCQ6" s="2"/>
      <c r="RCR6" s="2"/>
      <c r="RCS6" s="2"/>
      <c r="RCT6" s="2"/>
      <c r="RCU6" s="2"/>
      <c r="RCV6" s="2"/>
      <c r="RCW6" s="2"/>
      <c r="RCX6" s="2"/>
      <c r="RCY6" s="2"/>
      <c r="RCZ6" s="2"/>
      <c r="RDA6" s="2"/>
      <c r="RDB6" s="2"/>
      <c r="RDC6" s="2"/>
      <c r="RDD6" s="2"/>
      <c r="RDE6" s="2"/>
      <c r="RDF6" s="2"/>
      <c r="RDG6" s="2"/>
      <c r="RDH6" s="2"/>
      <c r="RDI6" s="2"/>
      <c r="RDJ6" s="2"/>
      <c r="RDK6" s="2"/>
      <c r="RDL6" s="2"/>
      <c r="RDM6" s="2"/>
      <c r="RDN6" s="2"/>
      <c r="RDO6" s="2"/>
      <c r="RDP6" s="2"/>
      <c r="RDQ6" s="2"/>
      <c r="RDR6" s="2"/>
      <c r="RDS6" s="2"/>
      <c r="RDT6" s="2"/>
      <c r="RDU6" s="2"/>
      <c r="RDV6" s="2"/>
      <c r="RDW6" s="2"/>
      <c r="RDX6" s="2"/>
      <c r="RDY6" s="2"/>
      <c r="RDZ6" s="2"/>
      <c r="REA6" s="2"/>
      <c r="REB6" s="2"/>
      <c r="REC6" s="2"/>
      <c r="RED6" s="2"/>
      <c r="REE6" s="2"/>
      <c r="REF6" s="2"/>
      <c r="REG6" s="2"/>
      <c r="REH6" s="2"/>
      <c r="REI6" s="2"/>
      <c r="REJ6" s="2"/>
      <c r="REK6" s="2"/>
      <c r="REL6" s="2"/>
      <c r="REM6" s="2"/>
      <c r="REN6" s="2"/>
      <c r="REO6" s="2"/>
      <c r="REP6" s="2"/>
      <c r="REQ6" s="2"/>
      <c r="RER6" s="2"/>
      <c r="RES6" s="2"/>
      <c r="RET6" s="2"/>
      <c r="REU6" s="2"/>
      <c r="REV6" s="2"/>
      <c r="REW6" s="2"/>
      <c r="REX6" s="2"/>
      <c r="REY6" s="2"/>
      <c r="REZ6" s="2"/>
      <c r="RFA6" s="2"/>
      <c r="RFB6" s="2"/>
      <c r="RFC6" s="2"/>
      <c r="RFD6" s="2"/>
      <c r="RFE6" s="2"/>
      <c r="RFF6" s="2"/>
      <c r="RFG6" s="2"/>
      <c r="RFH6" s="2"/>
      <c r="RFI6" s="2"/>
      <c r="RFJ6" s="2"/>
      <c r="RFK6" s="2"/>
      <c r="RFL6" s="2"/>
      <c r="RFM6" s="2"/>
      <c r="RFN6" s="2"/>
      <c r="RFO6" s="2"/>
      <c r="RFP6" s="2"/>
      <c r="RFQ6" s="2"/>
      <c r="RFR6" s="2"/>
      <c r="RFS6" s="2"/>
      <c r="RFT6" s="2"/>
      <c r="RFU6" s="2"/>
      <c r="RFV6" s="2"/>
      <c r="RFW6" s="2"/>
      <c r="RFX6" s="2"/>
      <c r="RFY6" s="2"/>
      <c r="RFZ6" s="2"/>
      <c r="RGA6" s="2"/>
      <c r="RGB6" s="2"/>
      <c r="RGC6" s="2"/>
      <c r="RGD6" s="2"/>
      <c r="RGE6" s="2"/>
      <c r="RGF6" s="2"/>
      <c r="RGG6" s="2"/>
      <c r="RGH6" s="2"/>
      <c r="RGI6" s="2"/>
      <c r="RGJ6" s="2"/>
      <c r="RGK6" s="2"/>
      <c r="RGL6" s="2"/>
      <c r="RGM6" s="2"/>
      <c r="RGN6" s="2"/>
      <c r="RGO6" s="2"/>
      <c r="RGP6" s="2"/>
      <c r="RGQ6" s="2"/>
      <c r="RGR6" s="2"/>
      <c r="RGS6" s="2"/>
      <c r="RGT6" s="2"/>
      <c r="RGU6" s="2"/>
      <c r="RGV6" s="2"/>
      <c r="RGW6" s="2"/>
      <c r="RGX6" s="2"/>
      <c r="RGY6" s="2"/>
      <c r="RGZ6" s="2"/>
      <c r="RHA6" s="2"/>
      <c r="RHB6" s="2"/>
      <c r="RHC6" s="2"/>
      <c r="RHD6" s="2"/>
      <c r="RHE6" s="2"/>
      <c r="RHF6" s="2"/>
      <c r="RHG6" s="2"/>
      <c r="RHH6" s="2"/>
      <c r="RHI6" s="2"/>
      <c r="RHJ6" s="2"/>
      <c r="RHK6" s="2"/>
      <c r="RHL6" s="2"/>
      <c r="RHM6" s="2"/>
      <c r="RHN6" s="2"/>
      <c r="RHO6" s="2"/>
      <c r="RHP6" s="2"/>
      <c r="RHQ6" s="2"/>
      <c r="RHR6" s="2"/>
      <c r="RHS6" s="2"/>
      <c r="RHT6" s="2"/>
      <c r="RHU6" s="2"/>
      <c r="RHV6" s="2"/>
      <c r="RHW6" s="2"/>
      <c r="RHX6" s="2"/>
      <c r="RHY6" s="2"/>
      <c r="RHZ6" s="2"/>
      <c r="RIA6" s="2"/>
      <c r="RIB6" s="2"/>
      <c r="RIC6" s="2"/>
      <c r="RID6" s="2"/>
      <c r="RIE6" s="2"/>
      <c r="RIF6" s="2"/>
      <c r="RIG6" s="2"/>
      <c r="RIH6" s="2"/>
      <c r="RII6" s="2"/>
      <c r="RIJ6" s="2"/>
      <c r="RIK6" s="2"/>
      <c r="RIL6" s="2"/>
      <c r="RIM6" s="2"/>
      <c r="RIN6" s="2"/>
      <c r="RIO6" s="2"/>
      <c r="RIP6" s="2"/>
      <c r="RIQ6" s="2"/>
      <c r="RIR6" s="2"/>
      <c r="RIS6" s="2"/>
      <c r="RIT6" s="2"/>
      <c r="RIU6" s="2"/>
      <c r="RIV6" s="2"/>
      <c r="RIW6" s="2"/>
      <c r="RIX6" s="2"/>
      <c r="RIY6" s="2"/>
      <c r="RIZ6" s="2"/>
      <c r="RJA6" s="2"/>
      <c r="RJB6" s="2"/>
      <c r="RJC6" s="2"/>
      <c r="RJD6" s="2"/>
      <c r="RJE6" s="2"/>
      <c r="RJF6" s="2"/>
      <c r="RJG6" s="2"/>
      <c r="RJH6" s="2"/>
      <c r="RJI6" s="2"/>
      <c r="RJJ6" s="2"/>
      <c r="RJK6" s="2"/>
      <c r="RJL6" s="2"/>
      <c r="RJM6" s="2"/>
      <c r="RJN6" s="2"/>
      <c r="RJO6" s="2"/>
      <c r="RJP6" s="2"/>
      <c r="RJQ6" s="2"/>
      <c r="RJR6" s="2"/>
      <c r="RJS6" s="2"/>
      <c r="RJT6" s="2"/>
      <c r="RJU6" s="2"/>
      <c r="RJV6" s="2"/>
      <c r="RJW6" s="2"/>
      <c r="RJX6" s="2"/>
      <c r="RJY6" s="2"/>
      <c r="RJZ6" s="2"/>
      <c r="RKA6" s="2"/>
      <c r="RKB6" s="2"/>
      <c r="RKC6" s="2"/>
      <c r="RKD6" s="2"/>
      <c r="RKE6" s="2"/>
      <c r="RKF6" s="2"/>
      <c r="RKG6" s="2"/>
      <c r="RKH6" s="2"/>
      <c r="RKI6" s="2"/>
      <c r="RKJ6" s="2"/>
      <c r="RKK6" s="2"/>
      <c r="RKL6" s="2"/>
      <c r="RKM6" s="2"/>
      <c r="RKN6" s="2"/>
      <c r="RKO6" s="2"/>
      <c r="RKP6" s="2"/>
      <c r="RKQ6" s="2"/>
      <c r="RKR6" s="2"/>
      <c r="RKS6" s="2"/>
      <c r="RKT6" s="2"/>
      <c r="RKU6" s="2"/>
      <c r="RKV6" s="2"/>
      <c r="RKW6" s="2"/>
      <c r="RKX6" s="2"/>
      <c r="RKY6" s="2"/>
      <c r="RKZ6" s="2"/>
      <c r="RLA6" s="2"/>
      <c r="RLB6" s="2"/>
      <c r="RLC6" s="2"/>
      <c r="RLD6" s="2"/>
      <c r="RLE6" s="2"/>
      <c r="RLF6" s="2"/>
      <c r="RLG6" s="2"/>
      <c r="RLH6" s="2"/>
      <c r="RLI6" s="2"/>
      <c r="RLJ6" s="2"/>
      <c r="RLK6" s="2"/>
      <c r="RLL6" s="2"/>
      <c r="RLM6" s="2"/>
      <c r="RLN6" s="2"/>
      <c r="RLO6" s="2"/>
      <c r="RLP6" s="2"/>
      <c r="RLQ6" s="2"/>
      <c r="RLR6" s="2"/>
      <c r="RLS6" s="2"/>
      <c r="RLT6" s="2"/>
      <c r="RLU6" s="2"/>
      <c r="RLV6" s="2"/>
      <c r="RLW6" s="2"/>
      <c r="RLX6" s="2"/>
      <c r="RLY6" s="2"/>
      <c r="RLZ6" s="2"/>
      <c r="RMA6" s="2"/>
      <c r="RMB6" s="2"/>
      <c r="RMC6" s="2"/>
      <c r="RMD6" s="2"/>
      <c r="RME6" s="2"/>
      <c r="RMF6" s="2"/>
      <c r="RMG6" s="2"/>
      <c r="RMH6" s="2"/>
      <c r="RMI6" s="2"/>
      <c r="RMJ6" s="2"/>
      <c r="RMK6" s="2"/>
      <c r="RML6" s="2"/>
      <c r="RMM6" s="2"/>
      <c r="RMN6" s="2"/>
      <c r="RMO6" s="2"/>
      <c r="RMP6" s="2"/>
      <c r="RMQ6" s="2"/>
      <c r="RMR6" s="2"/>
      <c r="RMS6" s="2"/>
      <c r="RMT6" s="2"/>
      <c r="RMU6" s="2"/>
      <c r="RMV6" s="2"/>
      <c r="RMW6" s="2"/>
      <c r="RMX6" s="2"/>
      <c r="RMY6" s="2"/>
      <c r="RMZ6" s="2"/>
      <c r="RNA6" s="2"/>
      <c r="RNB6" s="2"/>
      <c r="RNC6" s="2"/>
      <c r="RND6" s="2"/>
      <c r="RNE6" s="2"/>
      <c r="RNF6" s="2"/>
      <c r="RNG6" s="2"/>
      <c r="RNH6" s="2"/>
      <c r="RNI6" s="2"/>
      <c r="RNJ6" s="2"/>
      <c r="RNK6" s="2"/>
      <c r="RNL6" s="2"/>
      <c r="RNM6" s="2"/>
      <c r="RNN6" s="2"/>
      <c r="RNO6" s="2"/>
      <c r="RNP6" s="2"/>
      <c r="RNQ6" s="2"/>
      <c r="RNR6" s="2"/>
      <c r="RNS6" s="2"/>
      <c r="RNT6" s="2"/>
      <c r="RNU6" s="2"/>
      <c r="RNV6" s="2"/>
      <c r="RNW6" s="2"/>
      <c r="RNX6" s="2"/>
      <c r="RNY6" s="2"/>
      <c r="RNZ6" s="2"/>
      <c r="ROA6" s="2"/>
      <c r="ROB6" s="2"/>
      <c r="ROC6" s="2"/>
      <c r="ROD6" s="2"/>
      <c r="ROE6" s="2"/>
      <c r="ROF6" s="2"/>
      <c r="ROG6" s="2"/>
      <c r="ROH6" s="2"/>
      <c r="ROI6" s="2"/>
      <c r="ROJ6" s="2"/>
      <c r="ROK6" s="2"/>
      <c r="ROL6" s="2"/>
      <c r="ROM6" s="2"/>
      <c r="RON6" s="2"/>
      <c r="ROO6" s="2"/>
      <c r="ROP6" s="2"/>
      <c r="ROQ6" s="2"/>
      <c r="ROR6" s="2"/>
      <c r="ROS6" s="2"/>
      <c r="ROT6" s="2"/>
      <c r="ROU6" s="2"/>
      <c r="ROV6" s="2"/>
      <c r="ROW6" s="2"/>
      <c r="ROX6" s="2"/>
      <c r="ROY6" s="2"/>
      <c r="ROZ6" s="2"/>
      <c r="RPA6" s="2"/>
      <c r="RPB6" s="2"/>
      <c r="RPC6" s="2"/>
      <c r="RPD6" s="2"/>
      <c r="RPE6" s="2"/>
      <c r="RPF6" s="2"/>
      <c r="RPG6" s="2"/>
      <c r="RPH6" s="2"/>
      <c r="RPI6" s="2"/>
      <c r="RPJ6" s="2"/>
      <c r="RPK6" s="2"/>
      <c r="RPL6" s="2"/>
      <c r="RPM6" s="2"/>
      <c r="RPN6" s="2"/>
      <c r="RPO6" s="2"/>
      <c r="RPP6" s="2"/>
      <c r="RPQ6" s="2"/>
      <c r="RPR6" s="2"/>
      <c r="RPS6" s="2"/>
      <c r="RPT6" s="2"/>
      <c r="RPU6" s="2"/>
      <c r="RPV6" s="2"/>
      <c r="RPW6" s="2"/>
      <c r="RPX6" s="2"/>
      <c r="RPY6" s="2"/>
      <c r="RPZ6" s="2"/>
      <c r="RQA6" s="2"/>
      <c r="RQB6" s="2"/>
      <c r="RQC6" s="2"/>
      <c r="RQD6" s="2"/>
      <c r="RQE6" s="2"/>
      <c r="RQF6" s="2"/>
      <c r="RQG6" s="2"/>
      <c r="RQH6" s="2"/>
      <c r="RQI6" s="2"/>
      <c r="RQJ6" s="2"/>
      <c r="RQK6" s="2"/>
      <c r="RQL6" s="2"/>
      <c r="RQM6" s="2"/>
      <c r="RQN6" s="2"/>
      <c r="RQO6" s="2"/>
      <c r="RQP6" s="2"/>
      <c r="RQQ6" s="2"/>
      <c r="RQR6" s="2"/>
      <c r="RQS6" s="2"/>
      <c r="RQT6" s="2"/>
      <c r="RQU6" s="2"/>
      <c r="RQV6" s="2"/>
      <c r="RQW6" s="2"/>
      <c r="RQX6" s="2"/>
      <c r="RQY6" s="2"/>
      <c r="RQZ6" s="2"/>
      <c r="RRA6" s="2"/>
      <c r="RRB6" s="2"/>
      <c r="RRC6" s="2"/>
      <c r="RRD6" s="2"/>
      <c r="RRE6" s="2"/>
      <c r="RRF6" s="2"/>
      <c r="RRG6" s="2"/>
      <c r="RRH6" s="2"/>
      <c r="RRI6" s="2"/>
      <c r="RRJ6" s="2"/>
      <c r="RRK6" s="2"/>
      <c r="RRL6" s="2"/>
      <c r="RRM6" s="2"/>
      <c r="RRN6" s="2"/>
      <c r="RRO6" s="2"/>
      <c r="RRP6" s="2"/>
      <c r="RRQ6" s="2"/>
      <c r="RRR6" s="2"/>
      <c r="RRS6" s="2"/>
      <c r="RRT6" s="2"/>
      <c r="RRU6" s="2"/>
      <c r="RRV6" s="2"/>
      <c r="RRW6" s="2"/>
      <c r="RRX6" s="2"/>
      <c r="RRY6" s="2"/>
      <c r="RRZ6" s="2"/>
      <c r="RSA6" s="2"/>
      <c r="RSB6" s="2"/>
      <c r="RSC6" s="2"/>
      <c r="RSD6" s="2"/>
      <c r="RSE6" s="2"/>
      <c r="RSF6" s="2"/>
      <c r="RSG6" s="2"/>
      <c r="RSH6" s="2"/>
      <c r="RSI6" s="2"/>
      <c r="RSJ6" s="2"/>
      <c r="RSK6" s="2"/>
      <c r="RSL6" s="2"/>
      <c r="RSM6" s="2"/>
      <c r="RSN6" s="2"/>
      <c r="RSO6" s="2"/>
      <c r="RSP6" s="2"/>
      <c r="RSQ6" s="2"/>
      <c r="RSR6" s="2"/>
      <c r="RSS6" s="2"/>
      <c r="RST6" s="2"/>
      <c r="RSU6" s="2"/>
      <c r="RSV6" s="2"/>
      <c r="RSW6" s="2"/>
      <c r="RSX6" s="2"/>
      <c r="RSY6" s="2"/>
      <c r="RSZ6" s="2"/>
      <c r="RTA6" s="2"/>
      <c r="RTB6" s="2"/>
      <c r="RTC6" s="2"/>
      <c r="RTD6" s="2"/>
      <c r="RTE6" s="2"/>
      <c r="RTF6" s="2"/>
      <c r="RTG6" s="2"/>
      <c r="RTH6" s="2"/>
      <c r="RTI6" s="2"/>
      <c r="RTJ6" s="2"/>
      <c r="RTK6" s="2"/>
      <c r="RTL6" s="2"/>
      <c r="RTM6" s="2"/>
      <c r="RTN6" s="2"/>
      <c r="RTO6" s="2"/>
      <c r="RTP6" s="2"/>
      <c r="RTQ6" s="2"/>
      <c r="RTR6" s="2"/>
      <c r="RTS6" s="2"/>
      <c r="RTT6" s="2"/>
      <c r="RTU6" s="2"/>
      <c r="RTV6" s="2"/>
      <c r="RTW6" s="2"/>
      <c r="RTX6" s="2"/>
      <c r="RTY6" s="2"/>
      <c r="RTZ6" s="2"/>
      <c r="RUA6" s="2"/>
      <c r="RUB6" s="2"/>
      <c r="RUC6" s="2"/>
      <c r="RUD6" s="2"/>
      <c r="RUE6" s="2"/>
      <c r="RUF6" s="2"/>
      <c r="RUG6" s="2"/>
      <c r="RUH6" s="2"/>
      <c r="RUI6" s="2"/>
      <c r="RUJ6" s="2"/>
      <c r="RUK6" s="2"/>
      <c r="RUL6" s="2"/>
      <c r="RUM6" s="2"/>
      <c r="RUN6" s="2"/>
      <c r="RUO6" s="2"/>
      <c r="RUP6" s="2"/>
      <c r="RUQ6" s="2"/>
      <c r="RUR6" s="2"/>
      <c r="RUS6" s="2"/>
      <c r="RUT6" s="2"/>
      <c r="RUU6" s="2"/>
      <c r="RUV6" s="2"/>
      <c r="RUW6" s="2"/>
      <c r="RUX6" s="2"/>
      <c r="RUY6" s="2"/>
      <c r="RUZ6" s="2"/>
      <c r="RVA6" s="2"/>
      <c r="RVB6" s="2"/>
      <c r="RVC6" s="2"/>
      <c r="RVD6" s="2"/>
      <c r="RVE6" s="2"/>
      <c r="RVF6" s="2"/>
      <c r="RVG6" s="2"/>
      <c r="RVH6" s="2"/>
      <c r="RVI6" s="2"/>
      <c r="RVJ6" s="2"/>
      <c r="RVK6" s="2"/>
      <c r="RVL6" s="2"/>
      <c r="RVM6" s="2"/>
      <c r="RVN6" s="2"/>
      <c r="RVO6" s="2"/>
      <c r="RVP6" s="2"/>
      <c r="RVQ6" s="2"/>
      <c r="RVR6" s="2"/>
      <c r="RVS6" s="2"/>
      <c r="RVT6" s="2"/>
      <c r="RVU6" s="2"/>
      <c r="RVV6" s="2"/>
      <c r="RVW6" s="2"/>
      <c r="RVX6" s="2"/>
      <c r="RVY6" s="2"/>
      <c r="RVZ6" s="2"/>
      <c r="RWA6" s="2"/>
      <c r="RWB6" s="2"/>
      <c r="RWC6" s="2"/>
      <c r="RWD6" s="2"/>
      <c r="RWE6" s="2"/>
      <c r="RWF6" s="2"/>
      <c r="RWG6" s="2"/>
      <c r="RWH6" s="2"/>
      <c r="RWI6" s="2"/>
      <c r="RWJ6" s="2"/>
      <c r="RWK6" s="2"/>
      <c r="RWL6" s="2"/>
      <c r="RWM6" s="2"/>
      <c r="RWN6" s="2"/>
      <c r="RWO6" s="2"/>
      <c r="RWP6" s="2"/>
      <c r="RWQ6" s="2"/>
      <c r="RWR6" s="2"/>
      <c r="RWS6" s="2"/>
      <c r="RWT6" s="2"/>
      <c r="RWU6" s="2"/>
      <c r="RWV6" s="2"/>
      <c r="RWW6" s="2"/>
      <c r="RWX6" s="2"/>
      <c r="RWY6" s="2"/>
      <c r="RWZ6" s="2"/>
      <c r="RXA6" s="2"/>
      <c r="RXB6" s="2"/>
      <c r="RXC6" s="2"/>
      <c r="RXD6" s="2"/>
      <c r="RXE6" s="2"/>
      <c r="RXF6" s="2"/>
      <c r="RXG6" s="2"/>
      <c r="RXH6" s="2"/>
      <c r="RXI6" s="2"/>
      <c r="RXJ6" s="2"/>
      <c r="RXK6" s="2"/>
      <c r="RXL6" s="2"/>
      <c r="RXM6" s="2"/>
      <c r="RXN6" s="2"/>
      <c r="RXO6" s="2"/>
      <c r="RXP6" s="2"/>
      <c r="RXQ6" s="2"/>
      <c r="RXR6" s="2"/>
      <c r="RXS6" s="2"/>
      <c r="RXT6" s="2"/>
      <c r="RXU6" s="2"/>
      <c r="RXV6" s="2"/>
      <c r="RXW6" s="2"/>
      <c r="RXX6" s="2"/>
      <c r="RXY6" s="2"/>
      <c r="RXZ6" s="2"/>
      <c r="RYA6" s="2"/>
      <c r="RYB6" s="2"/>
      <c r="RYC6" s="2"/>
      <c r="RYD6" s="2"/>
      <c r="RYE6" s="2"/>
      <c r="RYF6" s="2"/>
      <c r="RYG6" s="2"/>
      <c r="RYH6" s="2"/>
      <c r="RYI6" s="2"/>
      <c r="RYJ6" s="2"/>
      <c r="RYK6" s="2"/>
      <c r="RYL6" s="2"/>
      <c r="RYM6" s="2"/>
      <c r="RYN6" s="2"/>
      <c r="RYO6" s="2"/>
      <c r="RYP6" s="2"/>
      <c r="RYQ6" s="2"/>
      <c r="RYR6" s="2"/>
      <c r="RYS6" s="2"/>
      <c r="RYT6" s="2"/>
      <c r="RYU6" s="2"/>
      <c r="RYV6" s="2"/>
      <c r="RYW6" s="2"/>
      <c r="RYX6" s="2"/>
      <c r="RYY6" s="2"/>
      <c r="RYZ6" s="2"/>
      <c r="RZA6" s="2"/>
      <c r="RZB6" s="2"/>
      <c r="RZC6" s="2"/>
      <c r="RZD6" s="2"/>
      <c r="RZE6" s="2"/>
      <c r="RZF6" s="2"/>
      <c r="RZG6" s="2"/>
      <c r="RZH6" s="2"/>
      <c r="RZI6" s="2"/>
      <c r="RZJ6" s="2"/>
      <c r="RZK6" s="2"/>
      <c r="RZL6" s="2"/>
      <c r="RZM6" s="2"/>
      <c r="RZN6" s="2"/>
      <c r="RZO6" s="2"/>
      <c r="RZP6" s="2"/>
      <c r="RZQ6" s="2"/>
      <c r="RZR6" s="2"/>
      <c r="RZS6" s="2"/>
      <c r="RZT6" s="2"/>
      <c r="RZU6" s="2"/>
      <c r="RZV6" s="2"/>
      <c r="RZW6" s="2"/>
      <c r="RZX6" s="2"/>
      <c r="RZY6" s="2"/>
      <c r="RZZ6" s="2"/>
      <c r="SAA6" s="2"/>
      <c r="SAB6" s="2"/>
      <c r="SAC6" s="2"/>
      <c r="SAD6" s="2"/>
      <c r="SAE6" s="2"/>
      <c r="SAF6" s="2"/>
      <c r="SAG6" s="2"/>
      <c r="SAH6" s="2"/>
      <c r="SAI6" s="2"/>
      <c r="SAJ6" s="2"/>
      <c r="SAK6" s="2"/>
      <c r="SAL6" s="2"/>
      <c r="SAM6" s="2"/>
      <c r="SAN6" s="2"/>
      <c r="SAO6" s="2"/>
      <c r="SAP6" s="2"/>
      <c r="SAQ6" s="2"/>
      <c r="SAR6" s="2"/>
      <c r="SAS6" s="2"/>
      <c r="SAT6" s="2"/>
      <c r="SAU6" s="2"/>
      <c r="SAV6" s="2"/>
      <c r="SAW6" s="2"/>
      <c r="SAX6" s="2"/>
      <c r="SAY6" s="2"/>
      <c r="SAZ6" s="2"/>
      <c r="SBA6" s="2"/>
      <c r="SBB6" s="2"/>
      <c r="SBC6" s="2"/>
      <c r="SBD6" s="2"/>
      <c r="SBE6" s="2"/>
      <c r="SBF6" s="2"/>
      <c r="SBG6" s="2"/>
      <c r="SBH6" s="2"/>
      <c r="SBI6" s="2"/>
      <c r="SBJ6" s="2"/>
      <c r="SBK6" s="2"/>
      <c r="SBL6" s="2"/>
      <c r="SBM6" s="2"/>
      <c r="SBN6" s="2"/>
      <c r="SBO6" s="2"/>
      <c r="SBP6" s="2"/>
      <c r="SBQ6" s="2"/>
      <c r="SBR6" s="2"/>
      <c r="SBS6" s="2"/>
      <c r="SBT6" s="2"/>
      <c r="SBU6" s="2"/>
      <c r="SBV6" s="2"/>
      <c r="SBW6" s="2"/>
      <c r="SBX6" s="2"/>
      <c r="SBY6" s="2"/>
      <c r="SBZ6" s="2"/>
      <c r="SCA6" s="2"/>
      <c r="SCB6" s="2"/>
      <c r="SCC6" s="2"/>
      <c r="SCD6" s="2"/>
      <c r="SCE6" s="2"/>
      <c r="SCF6" s="2"/>
      <c r="SCG6" s="2"/>
      <c r="SCH6" s="2"/>
      <c r="SCI6" s="2"/>
      <c r="SCJ6" s="2"/>
      <c r="SCK6" s="2"/>
      <c r="SCL6" s="2"/>
      <c r="SCM6" s="2"/>
      <c r="SCN6" s="2"/>
      <c r="SCO6" s="2"/>
      <c r="SCP6" s="2"/>
      <c r="SCQ6" s="2"/>
      <c r="SCR6" s="2"/>
      <c r="SCS6" s="2"/>
      <c r="SCT6" s="2"/>
      <c r="SCU6" s="2"/>
      <c r="SCV6" s="2"/>
      <c r="SCW6" s="2"/>
      <c r="SCX6" s="2"/>
      <c r="SCY6" s="2"/>
      <c r="SCZ6" s="2"/>
      <c r="SDA6" s="2"/>
      <c r="SDB6" s="2"/>
      <c r="SDC6" s="2"/>
      <c r="SDD6" s="2"/>
      <c r="SDE6" s="2"/>
      <c r="SDF6" s="2"/>
      <c r="SDG6" s="2"/>
      <c r="SDH6" s="2"/>
      <c r="SDI6" s="2"/>
      <c r="SDJ6" s="2"/>
      <c r="SDK6" s="2"/>
      <c r="SDL6" s="2"/>
      <c r="SDM6" s="2"/>
      <c r="SDN6" s="2"/>
      <c r="SDO6" s="2"/>
      <c r="SDP6" s="2"/>
      <c r="SDQ6" s="2"/>
      <c r="SDR6" s="2"/>
      <c r="SDS6" s="2"/>
      <c r="SDT6" s="2"/>
      <c r="SDU6" s="2"/>
      <c r="SDV6" s="2"/>
      <c r="SDW6" s="2"/>
      <c r="SDX6" s="2"/>
      <c r="SDY6" s="2"/>
      <c r="SDZ6" s="2"/>
      <c r="SEA6" s="2"/>
      <c r="SEB6" s="2"/>
      <c r="SEC6" s="2"/>
      <c r="SED6" s="2"/>
      <c r="SEE6" s="2"/>
      <c r="SEF6" s="2"/>
      <c r="SEG6" s="2"/>
      <c r="SEH6" s="2"/>
      <c r="SEI6" s="2"/>
      <c r="SEJ6" s="2"/>
      <c r="SEK6" s="2"/>
      <c r="SEL6" s="2"/>
      <c r="SEM6" s="2"/>
      <c r="SEN6" s="2"/>
      <c r="SEO6" s="2"/>
      <c r="SEP6" s="2"/>
      <c r="SEQ6" s="2"/>
      <c r="SER6" s="2"/>
      <c r="SES6" s="2"/>
      <c r="SET6" s="2"/>
      <c r="SEU6" s="2"/>
      <c r="SEV6" s="2"/>
      <c r="SEW6" s="2"/>
      <c r="SEX6" s="2"/>
      <c r="SEY6" s="2"/>
      <c r="SEZ6" s="2"/>
      <c r="SFA6" s="2"/>
      <c r="SFB6" s="2"/>
      <c r="SFC6" s="2"/>
      <c r="SFD6" s="2"/>
      <c r="SFE6" s="2"/>
      <c r="SFF6" s="2"/>
      <c r="SFG6" s="2"/>
      <c r="SFH6" s="2"/>
      <c r="SFI6" s="2"/>
      <c r="SFJ6" s="2"/>
      <c r="SFK6" s="2"/>
      <c r="SFL6" s="2"/>
      <c r="SFM6" s="2"/>
      <c r="SFN6" s="2"/>
      <c r="SFO6" s="2"/>
      <c r="SFP6" s="2"/>
      <c r="SFQ6" s="2"/>
      <c r="SFR6" s="2"/>
      <c r="SFS6" s="2"/>
      <c r="SFT6" s="2"/>
      <c r="SFU6" s="2"/>
      <c r="SFV6" s="2"/>
      <c r="SFW6" s="2"/>
      <c r="SFX6" s="2"/>
      <c r="SFY6" s="2"/>
      <c r="SFZ6" s="2"/>
      <c r="SGA6" s="2"/>
      <c r="SGB6" s="2"/>
      <c r="SGC6" s="2"/>
      <c r="SGD6" s="2"/>
      <c r="SGE6" s="2"/>
      <c r="SGF6" s="2"/>
      <c r="SGG6" s="2"/>
      <c r="SGH6" s="2"/>
      <c r="SGI6" s="2"/>
      <c r="SGJ6" s="2"/>
      <c r="SGK6" s="2"/>
      <c r="SGL6" s="2"/>
      <c r="SGM6" s="2"/>
      <c r="SGN6" s="2"/>
      <c r="SGO6" s="2"/>
      <c r="SGP6" s="2"/>
      <c r="SGQ6" s="2"/>
      <c r="SGR6" s="2"/>
      <c r="SGS6" s="2"/>
      <c r="SGT6" s="2"/>
      <c r="SGU6" s="2"/>
      <c r="SGV6" s="2"/>
      <c r="SGW6" s="2"/>
      <c r="SGX6" s="2"/>
      <c r="SGY6" s="2"/>
      <c r="SGZ6" s="2"/>
      <c r="SHA6" s="2"/>
      <c r="SHB6" s="2"/>
      <c r="SHC6" s="2"/>
      <c r="SHD6" s="2"/>
      <c r="SHE6" s="2"/>
      <c r="SHF6" s="2"/>
      <c r="SHG6" s="2"/>
      <c r="SHH6" s="2"/>
      <c r="SHI6" s="2"/>
      <c r="SHJ6" s="2"/>
      <c r="SHK6" s="2"/>
      <c r="SHL6" s="2"/>
      <c r="SHM6" s="2"/>
      <c r="SHN6" s="2"/>
      <c r="SHO6" s="2"/>
      <c r="SHP6" s="2"/>
      <c r="SHQ6" s="2"/>
      <c r="SHR6" s="2"/>
      <c r="SHS6" s="2"/>
      <c r="SHT6" s="2"/>
      <c r="SHU6" s="2"/>
      <c r="SHV6" s="2"/>
      <c r="SHW6" s="2"/>
      <c r="SHX6" s="2"/>
      <c r="SHY6" s="2"/>
      <c r="SHZ6" s="2"/>
      <c r="SIA6" s="2"/>
      <c r="SIB6" s="2"/>
      <c r="SIC6" s="2"/>
      <c r="SID6" s="2"/>
      <c r="SIE6" s="2"/>
      <c r="SIF6" s="2"/>
      <c r="SIG6" s="2"/>
      <c r="SIH6" s="2"/>
      <c r="SII6" s="2"/>
      <c r="SIJ6" s="2"/>
      <c r="SIK6" s="2"/>
      <c r="SIL6" s="2"/>
      <c r="SIM6" s="2"/>
      <c r="SIN6" s="2"/>
      <c r="SIO6" s="2"/>
      <c r="SIP6" s="2"/>
      <c r="SIQ6" s="2"/>
      <c r="SIR6" s="2"/>
      <c r="SIS6" s="2"/>
      <c r="SIT6" s="2"/>
      <c r="SIU6" s="2"/>
      <c r="SIV6" s="2"/>
      <c r="SIW6" s="2"/>
      <c r="SIX6" s="2"/>
      <c r="SIY6" s="2"/>
      <c r="SIZ6" s="2"/>
      <c r="SJA6" s="2"/>
      <c r="SJB6" s="2"/>
      <c r="SJC6" s="2"/>
      <c r="SJD6" s="2"/>
      <c r="SJE6" s="2"/>
      <c r="SJF6" s="2"/>
      <c r="SJG6" s="2"/>
      <c r="SJH6" s="2"/>
      <c r="SJI6" s="2"/>
      <c r="SJJ6" s="2"/>
      <c r="SJK6" s="2"/>
      <c r="SJL6" s="2"/>
      <c r="SJM6" s="2"/>
      <c r="SJN6" s="2"/>
      <c r="SJO6" s="2"/>
      <c r="SJP6" s="2"/>
      <c r="SJQ6" s="2"/>
      <c r="SJR6" s="2"/>
      <c r="SJS6" s="2"/>
      <c r="SJT6" s="2"/>
      <c r="SJU6" s="2"/>
      <c r="SJV6" s="2"/>
      <c r="SJW6" s="2"/>
      <c r="SJX6" s="2"/>
      <c r="SJY6" s="2"/>
      <c r="SJZ6" s="2"/>
      <c r="SKA6" s="2"/>
      <c r="SKB6" s="2"/>
      <c r="SKC6" s="2"/>
      <c r="SKD6" s="2"/>
      <c r="SKE6" s="2"/>
      <c r="SKF6" s="2"/>
      <c r="SKG6" s="2"/>
      <c r="SKH6" s="2"/>
      <c r="SKI6" s="2"/>
      <c r="SKJ6" s="2"/>
      <c r="SKK6" s="2"/>
      <c r="SKL6" s="2"/>
      <c r="SKM6" s="2"/>
      <c r="SKN6" s="2"/>
      <c r="SKO6" s="2"/>
      <c r="SKP6" s="2"/>
      <c r="SKQ6" s="2"/>
      <c r="SKR6" s="2"/>
      <c r="SKS6" s="2"/>
      <c r="SKT6" s="2"/>
      <c r="SKU6" s="2"/>
      <c r="SKV6" s="2"/>
      <c r="SKW6" s="2"/>
      <c r="SKX6" s="2"/>
      <c r="SKY6" s="2"/>
      <c r="SKZ6" s="2"/>
      <c r="SLA6" s="2"/>
      <c r="SLB6" s="2"/>
      <c r="SLC6" s="2"/>
      <c r="SLD6" s="2"/>
      <c r="SLE6" s="2"/>
      <c r="SLF6" s="2"/>
      <c r="SLG6" s="2"/>
      <c r="SLH6" s="2"/>
      <c r="SLI6" s="2"/>
      <c r="SLJ6" s="2"/>
      <c r="SLK6" s="2"/>
      <c r="SLL6" s="2"/>
      <c r="SLM6" s="2"/>
      <c r="SLN6" s="2"/>
      <c r="SLO6" s="2"/>
      <c r="SLP6" s="2"/>
      <c r="SLQ6" s="2"/>
      <c r="SLR6" s="2"/>
      <c r="SLS6" s="2"/>
      <c r="SLT6" s="2"/>
      <c r="SLU6" s="2"/>
      <c r="SLV6" s="2"/>
      <c r="SLW6" s="2"/>
      <c r="SLX6" s="2"/>
      <c r="SLY6" s="2"/>
      <c r="SLZ6" s="2"/>
      <c r="SMA6" s="2"/>
      <c r="SMB6" s="2"/>
      <c r="SMC6" s="2"/>
      <c r="SMD6" s="2"/>
      <c r="SME6" s="2"/>
      <c r="SMF6" s="2"/>
      <c r="SMG6" s="2"/>
      <c r="SMH6" s="2"/>
      <c r="SMI6" s="2"/>
      <c r="SMJ6" s="2"/>
      <c r="SMK6" s="2"/>
      <c r="SML6" s="2"/>
      <c r="SMM6" s="2"/>
      <c r="SMN6" s="2"/>
      <c r="SMO6" s="2"/>
      <c r="SMP6" s="2"/>
      <c r="SMQ6" s="2"/>
      <c r="SMR6" s="2"/>
      <c r="SMS6" s="2"/>
      <c r="SMT6" s="2"/>
      <c r="SMU6" s="2"/>
      <c r="SMV6" s="2"/>
      <c r="SMW6" s="2"/>
      <c r="SMX6" s="2"/>
      <c r="SMY6" s="2"/>
      <c r="SMZ6" s="2"/>
      <c r="SNA6" s="2"/>
      <c r="SNB6" s="2"/>
      <c r="SNC6" s="2"/>
      <c r="SND6" s="2"/>
      <c r="SNE6" s="2"/>
      <c r="SNF6" s="2"/>
      <c r="SNG6" s="2"/>
      <c r="SNH6" s="2"/>
      <c r="SNI6" s="2"/>
      <c r="SNJ6" s="2"/>
      <c r="SNK6" s="2"/>
      <c r="SNL6" s="2"/>
      <c r="SNM6" s="2"/>
      <c r="SNN6" s="2"/>
      <c r="SNO6" s="2"/>
      <c r="SNP6" s="2"/>
      <c r="SNQ6" s="2"/>
      <c r="SNR6" s="2"/>
      <c r="SNS6" s="2"/>
      <c r="SNT6" s="2"/>
      <c r="SNU6" s="2"/>
      <c r="SNV6" s="2"/>
      <c r="SNW6" s="2"/>
      <c r="SNX6" s="2"/>
      <c r="SNY6" s="2"/>
      <c r="SNZ6" s="2"/>
      <c r="SOA6" s="2"/>
      <c r="SOB6" s="2"/>
      <c r="SOC6" s="2"/>
      <c r="SOD6" s="2"/>
      <c r="SOE6" s="2"/>
      <c r="SOF6" s="2"/>
      <c r="SOG6" s="2"/>
      <c r="SOH6" s="2"/>
      <c r="SOI6" s="2"/>
      <c r="SOJ6" s="2"/>
      <c r="SOK6" s="2"/>
      <c r="SOL6" s="2"/>
      <c r="SOM6" s="2"/>
      <c r="SON6" s="2"/>
      <c r="SOO6" s="2"/>
      <c r="SOP6" s="2"/>
      <c r="SOQ6" s="2"/>
      <c r="SOR6" s="2"/>
      <c r="SOS6" s="2"/>
      <c r="SOT6" s="2"/>
      <c r="SOU6" s="2"/>
      <c r="SOV6" s="2"/>
      <c r="SOW6" s="2"/>
      <c r="SOX6" s="2"/>
      <c r="SOY6" s="2"/>
      <c r="SOZ6" s="2"/>
      <c r="SPA6" s="2"/>
      <c r="SPB6" s="2"/>
      <c r="SPC6" s="2"/>
      <c r="SPD6" s="2"/>
      <c r="SPE6" s="2"/>
      <c r="SPF6" s="2"/>
      <c r="SPG6" s="2"/>
      <c r="SPH6" s="2"/>
      <c r="SPI6" s="2"/>
      <c r="SPJ6" s="2"/>
      <c r="SPK6" s="2"/>
      <c r="SPL6" s="2"/>
      <c r="SPM6" s="2"/>
      <c r="SPN6" s="2"/>
      <c r="SPO6" s="2"/>
      <c r="SPP6" s="2"/>
      <c r="SPQ6" s="2"/>
      <c r="SPR6" s="2"/>
      <c r="SPS6" s="2"/>
      <c r="SPT6" s="2"/>
      <c r="SPU6" s="2"/>
      <c r="SPV6" s="2"/>
      <c r="SPW6" s="2"/>
      <c r="SPX6" s="2"/>
      <c r="SPY6" s="2"/>
      <c r="SPZ6" s="2"/>
      <c r="SQA6" s="2"/>
      <c r="SQB6" s="2"/>
      <c r="SQC6" s="2"/>
      <c r="SQD6" s="2"/>
      <c r="SQE6" s="2"/>
      <c r="SQF6" s="2"/>
      <c r="SQG6" s="2"/>
      <c r="SQH6" s="2"/>
      <c r="SQI6" s="2"/>
      <c r="SQJ6" s="2"/>
      <c r="SQK6" s="2"/>
      <c r="SQL6" s="2"/>
      <c r="SQM6" s="2"/>
      <c r="SQN6" s="2"/>
      <c r="SQO6" s="2"/>
      <c r="SQP6" s="2"/>
      <c r="SQQ6" s="2"/>
      <c r="SQR6" s="2"/>
      <c r="SQS6" s="2"/>
      <c r="SQT6" s="2"/>
      <c r="SQU6" s="2"/>
      <c r="SQV6" s="2"/>
      <c r="SQW6" s="2"/>
      <c r="SQX6" s="2"/>
      <c r="SQY6" s="2"/>
      <c r="SQZ6" s="2"/>
      <c r="SRA6" s="2"/>
      <c r="SRB6" s="2"/>
      <c r="SRC6" s="2"/>
      <c r="SRD6" s="2"/>
      <c r="SRE6" s="2"/>
      <c r="SRF6" s="2"/>
      <c r="SRG6" s="2"/>
      <c r="SRH6" s="2"/>
      <c r="SRI6" s="2"/>
      <c r="SRJ6" s="2"/>
      <c r="SRK6" s="2"/>
      <c r="SRL6" s="2"/>
      <c r="SRM6" s="2"/>
      <c r="SRN6" s="2"/>
      <c r="SRO6" s="2"/>
      <c r="SRP6" s="2"/>
      <c r="SRQ6" s="2"/>
      <c r="SRR6" s="2"/>
      <c r="SRS6" s="2"/>
      <c r="SRT6" s="2"/>
      <c r="SRU6" s="2"/>
      <c r="SRV6" s="2"/>
      <c r="SRW6" s="2"/>
      <c r="SRX6" s="2"/>
      <c r="SRY6" s="2"/>
      <c r="SRZ6" s="2"/>
      <c r="SSA6" s="2"/>
      <c r="SSB6" s="2"/>
      <c r="SSC6" s="2"/>
      <c r="SSD6" s="2"/>
      <c r="SSE6" s="2"/>
      <c r="SSF6" s="2"/>
      <c r="SSG6" s="2"/>
      <c r="SSH6" s="2"/>
      <c r="SSI6" s="2"/>
      <c r="SSJ6" s="2"/>
      <c r="SSK6" s="2"/>
      <c r="SSL6" s="2"/>
      <c r="SSM6" s="2"/>
      <c r="SSN6" s="2"/>
      <c r="SSO6" s="2"/>
      <c r="SSP6" s="2"/>
      <c r="SSQ6" s="2"/>
      <c r="SSR6" s="2"/>
      <c r="SSS6" s="2"/>
      <c r="SST6" s="2"/>
      <c r="SSU6" s="2"/>
      <c r="SSV6" s="2"/>
      <c r="SSW6" s="2"/>
      <c r="SSX6" s="2"/>
      <c r="SSY6" s="2"/>
      <c r="SSZ6" s="2"/>
      <c r="STA6" s="2"/>
      <c r="STB6" s="2"/>
      <c r="STC6" s="2"/>
      <c r="STD6" s="2"/>
      <c r="STE6" s="2"/>
      <c r="STF6" s="2"/>
      <c r="STG6" s="2"/>
      <c r="STH6" s="2"/>
      <c r="STI6" s="2"/>
      <c r="STJ6" s="2"/>
      <c r="STK6" s="2"/>
      <c r="STL6" s="2"/>
      <c r="STM6" s="2"/>
      <c r="STN6" s="2"/>
      <c r="STO6" s="2"/>
      <c r="STP6" s="2"/>
      <c r="STQ6" s="2"/>
      <c r="STR6" s="2"/>
      <c r="STS6" s="2"/>
      <c r="STT6" s="2"/>
      <c r="STU6" s="2"/>
      <c r="STV6" s="2"/>
      <c r="STW6" s="2"/>
      <c r="STX6" s="2"/>
      <c r="STY6" s="2"/>
      <c r="STZ6" s="2"/>
      <c r="SUA6" s="2"/>
      <c r="SUB6" s="2"/>
      <c r="SUC6" s="2"/>
      <c r="SUD6" s="2"/>
      <c r="SUE6" s="2"/>
      <c r="SUF6" s="2"/>
      <c r="SUG6" s="2"/>
      <c r="SUH6" s="2"/>
      <c r="SUI6" s="2"/>
      <c r="SUJ6" s="2"/>
      <c r="SUK6" s="2"/>
      <c r="SUL6" s="2"/>
      <c r="SUM6" s="2"/>
      <c r="SUN6" s="2"/>
      <c r="SUO6" s="2"/>
      <c r="SUP6" s="2"/>
      <c r="SUQ6" s="2"/>
      <c r="SUR6" s="2"/>
      <c r="SUS6" s="2"/>
      <c r="SUT6" s="2"/>
      <c r="SUU6" s="2"/>
      <c r="SUV6" s="2"/>
      <c r="SUW6" s="2"/>
      <c r="SUX6" s="2"/>
      <c r="SUY6" s="2"/>
      <c r="SUZ6" s="2"/>
      <c r="SVA6" s="2"/>
      <c r="SVB6" s="2"/>
      <c r="SVC6" s="2"/>
      <c r="SVD6" s="2"/>
      <c r="SVE6" s="2"/>
      <c r="SVF6" s="2"/>
      <c r="SVG6" s="2"/>
      <c r="SVH6" s="2"/>
      <c r="SVI6" s="2"/>
      <c r="SVJ6" s="2"/>
      <c r="SVK6" s="2"/>
      <c r="SVL6" s="2"/>
      <c r="SVM6" s="2"/>
      <c r="SVN6" s="2"/>
      <c r="SVO6" s="2"/>
      <c r="SVP6" s="2"/>
      <c r="SVQ6" s="2"/>
      <c r="SVR6" s="2"/>
      <c r="SVS6" s="2"/>
      <c r="SVT6" s="2"/>
      <c r="SVU6" s="2"/>
      <c r="SVV6" s="2"/>
      <c r="SVW6" s="2"/>
      <c r="SVX6" s="2"/>
      <c r="SVY6" s="2"/>
      <c r="SVZ6" s="2"/>
      <c r="SWA6" s="2"/>
      <c r="SWB6" s="2"/>
      <c r="SWC6" s="2"/>
      <c r="SWD6" s="2"/>
      <c r="SWE6" s="2"/>
      <c r="SWF6" s="2"/>
      <c r="SWG6" s="2"/>
      <c r="SWH6" s="2"/>
      <c r="SWI6" s="2"/>
      <c r="SWJ6" s="2"/>
      <c r="SWK6" s="2"/>
      <c r="SWL6" s="2"/>
      <c r="SWM6" s="2"/>
      <c r="SWN6" s="2"/>
      <c r="SWO6" s="2"/>
      <c r="SWP6" s="2"/>
      <c r="SWQ6" s="2"/>
      <c r="SWR6" s="2"/>
      <c r="SWS6" s="2"/>
      <c r="SWT6" s="2"/>
      <c r="SWU6" s="2"/>
      <c r="SWV6" s="2"/>
      <c r="SWW6" s="2"/>
      <c r="SWX6" s="2"/>
      <c r="SWY6" s="2"/>
      <c r="SWZ6" s="2"/>
      <c r="SXA6" s="2"/>
      <c r="SXB6" s="2"/>
      <c r="SXC6" s="2"/>
      <c r="SXD6" s="2"/>
      <c r="SXE6" s="2"/>
      <c r="SXF6" s="2"/>
      <c r="SXG6" s="2"/>
      <c r="SXH6" s="2"/>
      <c r="SXI6" s="2"/>
      <c r="SXJ6" s="2"/>
      <c r="SXK6" s="2"/>
      <c r="SXL6" s="2"/>
      <c r="SXM6" s="2"/>
      <c r="SXN6" s="2"/>
      <c r="SXO6" s="2"/>
      <c r="SXP6" s="2"/>
      <c r="SXQ6" s="2"/>
      <c r="SXR6" s="2"/>
      <c r="SXS6" s="2"/>
      <c r="SXT6" s="2"/>
      <c r="SXU6" s="2"/>
      <c r="SXV6" s="2"/>
      <c r="SXW6" s="2"/>
      <c r="SXX6" s="2"/>
      <c r="SXY6" s="2"/>
      <c r="SXZ6" s="2"/>
      <c r="SYA6" s="2"/>
      <c r="SYB6" s="2"/>
      <c r="SYC6" s="2"/>
      <c r="SYD6" s="2"/>
      <c r="SYE6" s="2"/>
      <c r="SYF6" s="2"/>
      <c r="SYG6" s="2"/>
      <c r="SYH6" s="2"/>
      <c r="SYI6" s="2"/>
      <c r="SYJ6" s="2"/>
      <c r="SYK6" s="2"/>
      <c r="SYL6" s="2"/>
      <c r="SYM6" s="2"/>
      <c r="SYN6" s="2"/>
      <c r="SYO6" s="2"/>
      <c r="SYP6" s="2"/>
      <c r="SYQ6" s="2"/>
      <c r="SYR6" s="2"/>
      <c r="SYS6" s="2"/>
      <c r="SYT6" s="2"/>
      <c r="SYU6" s="2"/>
      <c r="SYV6" s="2"/>
      <c r="SYW6" s="2"/>
      <c r="SYX6" s="2"/>
      <c r="SYY6" s="2"/>
      <c r="SYZ6" s="2"/>
      <c r="SZA6" s="2"/>
      <c r="SZB6" s="2"/>
      <c r="SZC6" s="2"/>
      <c r="SZD6" s="2"/>
      <c r="SZE6" s="2"/>
      <c r="SZF6" s="2"/>
      <c r="SZG6" s="2"/>
      <c r="SZH6" s="2"/>
      <c r="SZI6" s="2"/>
      <c r="SZJ6" s="2"/>
      <c r="SZK6" s="2"/>
      <c r="SZL6" s="2"/>
      <c r="SZM6" s="2"/>
      <c r="SZN6" s="2"/>
      <c r="SZO6" s="2"/>
      <c r="SZP6" s="2"/>
      <c r="SZQ6" s="2"/>
      <c r="SZR6" s="2"/>
      <c r="SZS6" s="2"/>
      <c r="SZT6" s="2"/>
      <c r="SZU6" s="2"/>
      <c r="SZV6" s="2"/>
      <c r="SZW6" s="2"/>
      <c r="SZX6" s="2"/>
      <c r="SZY6" s="2"/>
      <c r="SZZ6" s="2"/>
      <c r="TAA6" s="2"/>
      <c r="TAB6" s="2"/>
      <c r="TAC6" s="2"/>
      <c r="TAD6" s="2"/>
      <c r="TAE6" s="2"/>
      <c r="TAF6" s="2"/>
      <c r="TAG6" s="2"/>
      <c r="TAH6" s="2"/>
      <c r="TAI6" s="2"/>
      <c r="TAJ6" s="2"/>
      <c r="TAK6" s="2"/>
      <c r="TAL6" s="2"/>
      <c r="TAM6" s="2"/>
      <c r="TAN6" s="2"/>
      <c r="TAO6" s="2"/>
      <c r="TAP6" s="2"/>
      <c r="TAQ6" s="2"/>
      <c r="TAR6" s="2"/>
      <c r="TAS6" s="2"/>
      <c r="TAT6" s="2"/>
      <c r="TAU6" s="2"/>
      <c r="TAV6" s="2"/>
      <c r="TAW6" s="2"/>
      <c r="TAX6" s="2"/>
      <c r="TAY6" s="2"/>
      <c r="TAZ6" s="2"/>
      <c r="TBA6" s="2"/>
      <c r="TBB6" s="2"/>
      <c r="TBC6" s="2"/>
      <c r="TBD6" s="2"/>
      <c r="TBE6" s="2"/>
      <c r="TBF6" s="2"/>
      <c r="TBG6" s="2"/>
      <c r="TBH6" s="2"/>
      <c r="TBI6" s="2"/>
      <c r="TBJ6" s="2"/>
      <c r="TBK6" s="2"/>
      <c r="TBL6" s="2"/>
      <c r="TBM6" s="2"/>
      <c r="TBN6" s="2"/>
      <c r="TBO6" s="2"/>
      <c r="TBP6" s="2"/>
      <c r="TBQ6" s="2"/>
      <c r="TBR6" s="2"/>
      <c r="TBS6" s="2"/>
      <c r="TBT6" s="2"/>
      <c r="TBU6" s="2"/>
      <c r="TBV6" s="2"/>
      <c r="TBW6" s="2"/>
      <c r="TBX6" s="2"/>
      <c r="TBY6" s="2"/>
      <c r="TBZ6" s="2"/>
      <c r="TCA6" s="2"/>
      <c r="TCB6" s="2"/>
      <c r="TCC6" s="2"/>
      <c r="TCD6" s="2"/>
      <c r="TCE6" s="2"/>
      <c r="TCF6" s="2"/>
      <c r="TCG6" s="2"/>
      <c r="TCH6" s="2"/>
      <c r="TCI6" s="2"/>
      <c r="TCJ6" s="2"/>
      <c r="TCK6" s="2"/>
      <c r="TCL6" s="2"/>
      <c r="TCM6" s="2"/>
      <c r="TCN6" s="2"/>
      <c r="TCO6" s="2"/>
      <c r="TCP6" s="2"/>
      <c r="TCQ6" s="2"/>
      <c r="TCR6" s="2"/>
      <c r="TCS6" s="2"/>
      <c r="TCT6" s="2"/>
      <c r="TCU6" s="2"/>
      <c r="TCV6" s="2"/>
      <c r="TCW6" s="2"/>
      <c r="TCX6" s="2"/>
      <c r="TCY6" s="2"/>
      <c r="TCZ6" s="2"/>
      <c r="TDA6" s="2"/>
      <c r="TDB6" s="2"/>
      <c r="TDC6" s="2"/>
      <c r="TDD6" s="2"/>
      <c r="TDE6" s="2"/>
      <c r="TDF6" s="2"/>
      <c r="TDG6" s="2"/>
      <c r="TDH6" s="2"/>
      <c r="TDI6" s="2"/>
      <c r="TDJ6" s="2"/>
      <c r="TDK6" s="2"/>
      <c r="TDL6" s="2"/>
      <c r="TDM6" s="2"/>
      <c r="TDN6" s="2"/>
      <c r="TDO6" s="2"/>
      <c r="TDP6" s="2"/>
      <c r="TDQ6" s="2"/>
      <c r="TDR6" s="2"/>
      <c r="TDS6" s="2"/>
      <c r="TDT6" s="2"/>
      <c r="TDU6" s="2"/>
      <c r="TDV6" s="2"/>
      <c r="TDW6" s="2"/>
      <c r="TDX6" s="2"/>
      <c r="TDY6" s="2"/>
      <c r="TDZ6" s="2"/>
      <c r="TEA6" s="2"/>
      <c r="TEB6" s="2"/>
      <c r="TEC6" s="2"/>
      <c r="TED6" s="2"/>
      <c r="TEE6" s="2"/>
      <c r="TEF6" s="2"/>
      <c r="TEG6" s="2"/>
      <c r="TEH6" s="2"/>
      <c r="TEI6" s="2"/>
      <c r="TEJ6" s="2"/>
      <c r="TEK6" s="2"/>
      <c r="TEL6" s="2"/>
      <c r="TEM6" s="2"/>
      <c r="TEN6" s="2"/>
      <c r="TEO6" s="2"/>
      <c r="TEP6" s="2"/>
      <c r="TEQ6" s="2"/>
      <c r="TER6" s="2"/>
      <c r="TES6" s="2"/>
      <c r="TET6" s="2"/>
      <c r="TEU6" s="2"/>
      <c r="TEV6" s="2"/>
      <c r="TEW6" s="2"/>
      <c r="TEX6" s="2"/>
      <c r="TEY6" s="2"/>
      <c r="TEZ6" s="2"/>
      <c r="TFA6" s="2"/>
      <c r="TFB6" s="2"/>
      <c r="TFC6" s="2"/>
      <c r="TFD6" s="2"/>
      <c r="TFE6" s="2"/>
      <c r="TFF6" s="2"/>
      <c r="TFG6" s="2"/>
      <c r="TFH6" s="2"/>
      <c r="TFI6" s="2"/>
      <c r="TFJ6" s="2"/>
      <c r="TFK6" s="2"/>
      <c r="TFL6" s="2"/>
      <c r="TFM6" s="2"/>
      <c r="TFN6" s="2"/>
      <c r="TFO6" s="2"/>
      <c r="TFP6" s="2"/>
      <c r="TFQ6" s="2"/>
      <c r="TFR6" s="2"/>
      <c r="TFS6" s="2"/>
      <c r="TFT6" s="2"/>
      <c r="TFU6" s="2"/>
      <c r="TFV6" s="2"/>
      <c r="TFW6" s="2"/>
      <c r="TFX6" s="2"/>
      <c r="TFY6" s="2"/>
      <c r="TFZ6" s="2"/>
      <c r="TGA6" s="2"/>
      <c r="TGB6" s="2"/>
      <c r="TGC6" s="2"/>
      <c r="TGD6" s="2"/>
      <c r="TGE6" s="2"/>
      <c r="TGF6" s="2"/>
      <c r="TGG6" s="2"/>
      <c r="TGH6" s="2"/>
      <c r="TGI6" s="2"/>
      <c r="TGJ6" s="2"/>
      <c r="TGK6" s="2"/>
      <c r="TGL6" s="2"/>
      <c r="TGM6" s="2"/>
      <c r="TGN6" s="2"/>
      <c r="TGO6" s="2"/>
      <c r="TGP6" s="2"/>
      <c r="TGQ6" s="2"/>
      <c r="TGR6" s="2"/>
      <c r="TGS6" s="2"/>
      <c r="TGT6" s="2"/>
      <c r="TGU6" s="2"/>
      <c r="TGV6" s="2"/>
      <c r="TGW6" s="2"/>
      <c r="TGX6" s="2"/>
      <c r="TGY6" s="2"/>
      <c r="TGZ6" s="2"/>
      <c r="THA6" s="2"/>
      <c r="THB6" s="2"/>
      <c r="THC6" s="2"/>
      <c r="THD6" s="2"/>
      <c r="THE6" s="2"/>
      <c r="THF6" s="2"/>
      <c r="THG6" s="2"/>
      <c r="THH6" s="2"/>
      <c r="THI6" s="2"/>
      <c r="THJ6" s="2"/>
      <c r="THK6" s="2"/>
      <c r="THL6" s="2"/>
      <c r="THM6" s="2"/>
      <c r="THN6" s="2"/>
      <c r="THO6" s="2"/>
      <c r="THP6" s="2"/>
      <c r="THQ6" s="2"/>
      <c r="THR6" s="2"/>
      <c r="THS6" s="2"/>
      <c r="THT6" s="2"/>
      <c r="THU6" s="2"/>
      <c r="THV6" s="2"/>
      <c r="THW6" s="2"/>
      <c r="THX6" s="2"/>
      <c r="THY6" s="2"/>
      <c r="THZ6" s="2"/>
      <c r="TIA6" s="2"/>
      <c r="TIB6" s="2"/>
      <c r="TIC6" s="2"/>
      <c r="TID6" s="2"/>
      <c r="TIE6" s="2"/>
      <c r="TIF6" s="2"/>
      <c r="TIG6" s="2"/>
      <c r="TIH6" s="2"/>
      <c r="TII6" s="2"/>
      <c r="TIJ6" s="2"/>
      <c r="TIK6" s="2"/>
      <c r="TIL6" s="2"/>
      <c r="TIM6" s="2"/>
      <c r="TIN6" s="2"/>
      <c r="TIO6" s="2"/>
      <c r="TIP6" s="2"/>
      <c r="TIQ6" s="2"/>
      <c r="TIR6" s="2"/>
      <c r="TIS6" s="2"/>
      <c r="TIT6" s="2"/>
      <c r="TIU6" s="2"/>
      <c r="TIV6" s="2"/>
      <c r="TIW6" s="2"/>
      <c r="TIX6" s="2"/>
      <c r="TIY6" s="2"/>
      <c r="TIZ6" s="2"/>
      <c r="TJA6" s="2"/>
      <c r="TJB6" s="2"/>
      <c r="TJC6" s="2"/>
      <c r="TJD6" s="2"/>
      <c r="TJE6" s="2"/>
      <c r="TJF6" s="2"/>
      <c r="TJG6" s="2"/>
      <c r="TJH6" s="2"/>
      <c r="TJI6" s="2"/>
      <c r="TJJ6" s="2"/>
      <c r="TJK6" s="2"/>
      <c r="TJL6" s="2"/>
      <c r="TJM6" s="2"/>
      <c r="TJN6" s="2"/>
      <c r="TJO6" s="2"/>
      <c r="TJP6" s="2"/>
      <c r="TJQ6" s="2"/>
      <c r="TJR6" s="2"/>
      <c r="TJS6" s="2"/>
      <c r="TJT6" s="2"/>
      <c r="TJU6" s="2"/>
      <c r="TJV6" s="2"/>
      <c r="TJW6" s="2"/>
      <c r="TJX6" s="2"/>
      <c r="TJY6" s="2"/>
      <c r="TJZ6" s="2"/>
      <c r="TKA6" s="2"/>
      <c r="TKB6" s="2"/>
      <c r="TKC6" s="2"/>
      <c r="TKD6" s="2"/>
      <c r="TKE6" s="2"/>
      <c r="TKF6" s="2"/>
      <c r="TKG6" s="2"/>
      <c r="TKH6" s="2"/>
      <c r="TKI6" s="2"/>
      <c r="TKJ6" s="2"/>
      <c r="TKK6" s="2"/>
      <c r="TKL6" s="2"/>
      <c r="TKM6" s="2"/>
      <c r="TKN6" s="2"/>
      <c r="TKO6" s="2"/>
      <c r="TKP6" s="2"/>
      <c r="TKQ6" s="2"/>
      <c r="TKR6" s="2"/>
      <c r="TKS6" s="2"/>
      <c r="TKT6" s="2"/>
      <c r="TKU6" s="2"/>
      <c r="TKV6" s="2"/>
      <c r="TKW6" s="2"/>
      <c r="TKX6" s="2"/>
      <c r="TKY6" s="2"/>
      <c r="TKZ6" s="2"/>
      <c r="TLA6" s="2"/>
      <c r="TLB6" s="2"/>
      <c r="TLC6" s="2"/>
      <c r="TLD6" s="2"/>
      <c r="TLE6" s="2"/>
      <c r="TLF6" s="2"/>
      <c r="TLG6" s="2"/>
      <c r="TLH6" s="2"/>
      <c r="TLI6" s="2"/>
      <c r="TLJ6" s="2"/>
      <c r="TLK6" s="2"/>
      <c r="TLL6" s="2"/>
      <c r="TLM6" s="2"/>
      <c r="TLN6" s="2"/>
      <c r="TLO6" s="2"/>
      <c r="TLP6" s="2"/>
      <c r="TLQ6" s="2"/>
      <c r="TLR6" s="2"/>
      <c r="TLS6" s="2"/>
      <c r="TLT6" s="2"/>
      <c r="TLU6" s="2"/>
      <c r="TLV6" s="2"/>
      <c r="TLW6" s="2"/>
      <c r="TLX6" s="2"/>
      <c r="TLY6" s="2"/>
      <c r="TLZ6" s="2"/>
      <c r="TMA6" s="2"/>
      <c r="TMB6" s="2"/>
      <c r="TMC6" s="2"/>
      <c r="TMD6" s="2"/>
      <c r="TME6" s="2"/>
      <c r="TMF6" s="2"/>
      <c r="TMG6" s="2"/>
      <c r="TMH6" s="2"/>
      <c r="TMI6" s="2"/>
      <c r="TMJ6" s="2"/>
      <c r="TMK6" s="2"/>
      <c r="TML6" s="2"/>
      <c r="TMM6" s="2"/>
      <c r="TMN6" s="2"/>
      <c r="TMO6" s="2"/>
      <c r="TMP6" s="2"/>
      <c r="TMQ6" s="2"/>
      <c r="TMR6" s="2"/>
      <c r="TMS6" s="2"/>
      <c r="TMT6" s="2"/>
      <c r="TMU6" s="2"/>
      <c r="TMV6" s="2"/>
      <c r="TMW6" s="2"/>
      <c r="TMX6" s="2"/>
      <c r="TMY6" s="2"/>
      <c r="TMZ6" s="2"/>
      <c r="TNA6" s="2"/>
      <c r="TNB6" s="2"/>
      <c r="TNC6" s="2"/>
      <c r="TND6" s="2"/>
      <c r="TNE6" s="2"/>
      <c r="TNF6" s="2"/>
      <c r="TNG6" s="2"/>
      <c r="TNH6" s="2"/>
      <c r="TNI6" s="2"/>
      <c r="TNJ6" s="2"/>
      <c r="TNK6" s="2"/>
      <c r="TNL6" s="2"/>
      <c r="TNM6" s="2"/>
      <c r="TNN6" s="2"/>
      <c r="TNO6" s="2"/>
      <c r="TNP6" s="2"/>
      <c r="TNQ6" s="2"/>
      <c r="TNR6" s="2"/>
      <c r="TNS6" s="2"/>
      <c r="TNT6" s="2"/>
      <c r="TNU6" s="2"/>
      <c r="TNV6" s="2"/>
      <c r="TNW6" s="2"/>
      <c r="TNX6" s="2"/>
      <c r="TNY6" s="2"/>
      <c r="TNZ6" s="2"/>
      <c r="TOA6" s="2"/>
      <c r="TOB6" s="2"/>
      <c r="TOC6" s="2"/>
      <c r="TOD6" s="2"/>
      <c r="TOE6" s="2"/>
      <c r="TOF6" s="2"/>
      <c r="TOG6" s="2"/>
      <c r="TOH6" s="2"/>
      <c r="TOI6" s="2"/>
      <c r="TOJ6" s="2"/>
      <c r="TOK6" s="2"/>
      <c r="TOL6" s="2"/>
      <c r="TOM6" s="2"/>
      <c r="TON6" s="2"/>
      <c r="TOO6" s="2"/>
      <c r="TOP6" s="2"/>
      <c r="TOQ6" s="2"/>
      <c r="TOR6" s="2"/>
      <c r="TOS6" s="2"/>
      <c r="TOT6" s="2"/>
      <c r="TOU6" s="2"/>
      <c r="TOV6" s="2"/>
      <c r="TOW6" s="2"/>
      <c r="TOX6" s="2"/>
      <c r="TOY6" s="2"/>
      <c r="TOZ6" s="2"/>
      <c r="TPA6" s="2"/>
      <c r="TPB6" s="2"/>
      <c r="TPC6" s="2"/>
      <c r="TPD6" s="2"/>
      <c r="TPE6" s="2"/>
      <c r="TPF6" s="2"/>
      <c r="TPG6" s="2"/>
      <c r="TPH6" s="2"/>
      <c r="TPI6" s="2"/>
      <c r="TPJ6" s="2"/>
      <c r="TPK6" s="2"/>
      <c r="TPL6" s="2"/>
      <c r="TPM6" s="2"/>
      <c r="TPN6" s="2"/>
      <c r="TPO6" s="2"/>
      <c r="TPP6" s="2"/>
      <c r="TPQ6" s="2"/>
      <c r="TPR6" s="2"/>
      <c r="TPS6" s="2"/>
      <c r="TPT6" s="2"/>
      <c r="TPU6" s="2"/>
      <c r="TPV6" s="2"/>
      <c r="TPW6" s="2"/>
      <c r="TPX6" s="2"/>
      <c r="TPY6" s="2"/>
      <c r="TPZ6" s="2"/>
      <c r="TQA6" s="2"/>
      <c r="TQB6" s="2"/>
      <c r="TQC6" s="2"/>
      <c r="TQD6" s="2"/>
      <c r="TQE6" s="2"/>
      <c r="TQF6" s="2"/>
      <c r="TQG6" s="2"/>
      <c r="TQH6" s="2"/>
      <c r="TQI6" s="2"/>
      <c r="TQJ6" s="2"/>
      <c r="TQK6" s="2"/>
      <c r="TQL6" s="2"/>
      <c r="TQM6" s="2"/>
      <c r="TQN6" s="2"/>
      <c r="TQO6" s="2"/>
      <c r="TQP6" s="2"/>
      <c r="TQQ6" s="2"/>
      <c r="TQR6" s="2"/>
      <c r="TQS6" s="2"/>
      <c r="TQT6" s="2"/>
      <c r="TQU6" s="2"/>
      <c r="TQV6" s="2"/>
      <c r="TQW6" s="2"/>
      <c r="TQX6" s="2"/>
      <c r="TQY6" s="2"/>
      <c r="TQZ6" s="2"/>
      <c r="TRA6" s="2"/>
      <c r="TRB6" s="2"/>
      <c r="TRC6" s="2"/>
      <c r="TRD6" s="2"/>
      <c r="TRE6" s="2"/>
      <c r="TRF6" s="2"/>
      <c r="TRG6" s="2"/>
      <c r="TRH6" s="2"/>
      <c r="TRI6" s="2"/>
      <c r="TRJ6" s="2"/>
      <c r="TRK6" s="2"/>
      <c r="TRL6" s="2"/>
      <c r="TRM6" s="2"/>
      <c r="TRN6" s="2"/>
      <c r="TRO6" s="2"/>
      <c r="TRP6" s="2"/>
      <c r="TRQ6" s="2"/>
      <c r="TRR6" s="2"/>
      <c r="TRS6" s="2"/>
      <c r="TRT6" s="2"/>
      <c r="TRU6" s="2"/>
      <c r="TRV6" s="2"/>
      <c r="TRW6" s="2"/>
      <c r="TRX6" s="2"/>
      <c r="TRY6" s="2"/>
      <c r="TRZ6" s="2"/>
      <c r="TSA6" s="2"/>
      <c r="TSB6" s="2"/>
      <c r="TSC6" s="2"/>
      <c r="TSD6" s="2"/>
      <c r="TSE6" s="2"/>
      <c r="TSF6" s="2"/>
      <c r="TSG6" s="2"/>
      <c r="TSH6" s="2"/>
      <c r="TSI6" s="2"/>
      <c r="TSJ6" s="2"/>
      <c r="TSK6" s="2"/>
      <c r="TSL6" s="2"/>
      <c r="TSM6" s="2"/>
      <c r="TSN6" s="2"/>
      <c r="TSO6" s="2"/>
      <c r="TSP6" s="2"/>
      <c r="TSQ6" s="2"/>
      <c r="TSR6" s="2"/>
      <c r="TSS6" s="2"/>
      <c r="TST6" s="2"/>
      <c r="TSU6" s="2"/>
      <c r="TSV6" s="2"/>
      <c r="TSW6" s="2"/>
      <c r="TSX6" s="2"/>
      <c r="TSY6" s="2"/>
      <c r="TSZ6" s="2"/>
      <c r="TTA6" s="2"/>
      <c r="TTB6" s="2"/>
      <c r="TTC6" s="2"/>
      <c r="TTD6" s="2"/>
      <c r="TTE6" s="2"/>
      <c r="TTF6" s="2"/>
      <c r="TTG6" s="2"/>
      <c r="TTH6" s="2"/>
      <c r="TTI6" s="2"/>
      <c r="TTJ6" s="2"/>
      <c r="TTK6" s="2"/>
      <c r="TTL6" s="2"/>
      <c r="TTM6" s="2"/>
      <c r="TTN6" s="2"/>
      <c r="TTO6" s="2"/>
      <c r="TTP6" s="2"/>
      <c r="TTQ6" s="2"/>
      <c r="TTR6" s="2"/>
      <c r="TTS6" s="2"/>
      <c r="TTT6" s="2"/>
      <c r="TTU6" s="2"/>
      <c r="TTV6" s="2"/>
      <c r="TTW6" s="2"/>
      <c r="TTX6" s="2"/>
      <c r="TTY6" s="2"/>
      <c r="TTZ6" s="2"/>
      <c r="TUA6" s="2"/>
      <c r="TUB6" s="2"/>
      <c r="TUC6" s="2"/>
      <c r="TUD6" s="2"/>
      <c r="TUE6" s="2"/>
      <c r="TUF6" s="2"/>
      <c r="TUG6" s="2"/>
      <c r="TUH6" s="2"/>
      <c r="TUI6" s="2"/>
      <c r="TUJ6" s="2"/>
      <c r="TUK6" s="2"/>
      <c r="TUL6" s="2"/>
      <c r="TUM6" s="2"/>
      <c r="TUN6" s="2"/>
      <c r="TUO6" s="2"/>
      <c r="TUP6" s="2"/>
      <c r="TUQ6" s="2"/>
      <c r="TUR6" s="2"/>
      <c r="TUS6" s="2"/>
      <c r="TUT6" s="2"/>
      <c r="TUU6" s="2"/>
      <c r="TUV6" s="2"/>
      <c r="TUW6" s="2"/>
      <c r="TUX6" s="2"/>
      <c r="TUY6" s="2"/>
      <c r="TUZ6" s="2"/>
      <c r="TVA6" s="2"/>
      <c r="TVB6" s="2"/>
      <c r="TVC6" s="2"/>
      <c r="TVD6" s="2"/>
      <c r="TVE6" s="2"/>
      <c r="TVF6" s="2"/>
      <c r="TVG6" s="2"/>
      <c r="TVH6" s="2"/>
      <c r="TVI6" s="2"/>
      <c r="TVJ6" s="2"/>
      <c r="TVK6" s="2"/>
      <c r="TVL6" s="2"/>
      <c r="TVM6" s="2"/>
      <c r="TVN6" s="2"/>
      <c r="TVO6" s="2"/>
      <c r="TVP6" s="2"/>
      <c r="TVQ6" s="2"/>
      <c r="TVR6" s="2"/>
      <c r="TVS6" s="2"/>
      <c r="TVT6" s="2"/>
      <c r="TVU6" s="2"/>
      <c r="TVV6" s="2"/>
      <c r="TVW6" s="2"/>
      <c r="TVX6" s="2"/>
      <c r="TVY6" s="2"/>
      <c r="TVZ6" s="2"/>
      <c r="TWA6" s="2"/>
      <c r="TWB6" s="2"/>
      <c r="TWC6" s="2"/>
      <c r="TWD6" s="2"/>
      <c r="TWE6" s="2"/>
      <c r="TWF6" s="2"/>
      <c r="TWG6" s="2"/>
      <c r="TWH6" s="2"/>
      <c r="TWI6" s="2"/>
      <c r="TWJ6" s="2"/>
      <c r="TWK6" s="2"/>
      <c r="TWL6" s="2"/>
      <c r="TWM6" s="2"/>
      <c r="TWN6" s="2"/>
      <c r="TWO6" s="2"/>
      <c r="TWP6" s="2"/>
      <c r="TWQ6" s="2"/>
      <c r="TWR6" s="2"/>
      <c r="TWS6" s="2"/>
      <c r="TWT6" s="2"/>
      <c r="TWU6" s="2"/>
      <c r="TWV6" s="2"/>
      <c r="TWW6" s="2"/>
      <c r="TWX6" s="2"/>
      <c r="TWY6" s="2"/>
      <c r="TWZ6" s="2"/>
      <c r="TXA6" s="2"/>
      <c r="TXB6" s="2"/>
      <c r="TXC6" s="2"/>
      <c r="TXD6" s="2"/>
      <c r="TXE6" s="2"/>
      <c r="TXF6" s="2"/>
      <c r="TXG6" s="2"/>
      <c r="TXH6" s="2"/>
      <c r="TXI6" s="2"/>
      <c r="TXJ6" s="2"/>
      <c r="TXK6" s="2"/>
      <c r="TXL6" s="2"/>
      <c r="TXM6" s="2"/>
      <c r="TXN6" s="2"/>
      <c r="TXO6" s="2"/>
      <c r="TXP6" s="2"/>
      <c r="TXQ6" s="2"/>
      <c r="TXR6" s="2"/>
      <c r="TXS6" s="2"/>
      <c r="TXT6" s="2"/>
      <c r="TXU6" s="2"/>
      <c r="TXV6" s="2"/>
      <c r="TXW6" s="2"/>
      <c r="TXX6" s="2"/>
      <c r="TXY6" s="2"/>
      <c r="TXZ6" s="2"/>
      <c r="TYA6" s="2"/>
      <c r="TYB6" s="2"/>
      <c r="TYC6" s="2"/>
      <c r="TYD6" s="2"/>
      <c r="TYE6" s="2"/>
      <c r="TYF6" s="2"/>
      <c r="TYG6" s="2"/>
      <c r="TYH6" s="2"/>
      <c r="TYI6" s="2"/>
      <c r="TYJ6" s="2"/>
      <c r="TYK6" s="2"/>
      <c r="TYL6" s="2"/>
      <c r="TYM6" s="2"/>
      <c r="TYN6" s="2"/>
      <c r="TYO6" s="2"/>
      <c r="TYP6" s="2"/>
      <c r="TYQ6" s="2"/>
      <c r="TYR6" s="2"/>
      <c r="TYS6" s="2"/>
      <c r="TYT6" s="2"/>
      <c r="TYU6" s="2"/>
      <c r="TYV6" s="2"/>
      <c r="TYW6" s="2"/>
      <c r="TYX6" s="2"/>
      <c r="TYY6" s="2"/>
      <c r="TYZ6" s="2"/>
      <c r="TZA6" s="2"/>
      <c r="TZB6" s="2"/>
      <c r="TZC6" s="2"/>
      <c r="TZD6" s="2"/>
      <c r="TZE6" s="2"/>
      <c r="TZF6" s="2"/>
      <c r="TZG6" s="2"/>
      <c r="TZH6" s="2"/>
      <c r="TZI6" s="2"/>
      <c r="TZJ6" s="2"/>
      <c r="TZK6" s="2"/>
      <c r="TZL6" s="2"/>
      <c r="TZM6" s="2"/>
      <c r="TZN6" s="2"/>
      <c r="TZO6" s="2"/>
      <c r="TZP6" s="2"/>
      <c r="TZQ6" s="2"/>
      <c r="TZR6" s="2"/>
      <c r="TZS6" s="2"/>
      <c r="TZT6" s="2"/>
      <c r="TZU6" s="2"/>
      <c r="TZV6" s="2"/>
      <c r="TZW6" s="2"/>
      <c r="TZX6" s="2"/>
      <c r="TZY6" s="2"/>
      <c r="TZZ6" s="2"/>
      <c r="UAA6" s="2"/>
      <c r="UAB6" s="2"/>
      <c r="UAC6" s="2"/>
      <c r="UAD6" s="2"/>
      <c r="UAE6" s="2"/>
      <c r="UAF6" s="2"/>
      <c r="UAG6" s="2"/>
      <c r="UAH6" s="2"/>
      <c r="UAI6" s="2"/>
      <c r="UAJ6" s="2"/>
      <c r="UAK6" s="2"/>
      <c r="UAL6" s="2"/>
      <c r="UAM6" s="2"/>
      <c r="UAN6" s="2"/>
      <c r="UAO6" s="2"/>
      <c r="UAP6" s="2"/>
      <c r="UAQ6" s="2"/>
      <c r="UAR6" s="2"/>
      <c r="UAS6" s="2"/>
      <c r="UAT6" s="2"/>
      <c r="UAU6" s="2"/>
      <c r="UAV6" s="2"/>
      <c r="UAW6" s="2"/>
      <c r="UAX6" s="2"/>
      <c r="UAY6" s="2"/>
      <c r="UAZ6" s="2"/>
      <c r="UBA6" s="2"/>
      <c r="UBB6" s="2"/>
      <c r="UBC6" s="2"/>
      <c r="UBD6" s="2"/>
      <c r="UBE6" s="2"/>
      <c r="UBF6" s="2"/>
      <c r="UBG6" s="2"/>
      <c r="UBH6" s="2"/>
      <c r="UBI6" s="2"/>
      <c r="UBJ6" s="2"/>
      <c r="UBK6" s="2"/>
      <c r="UBL6" s="2"/>
      <c r="UBM6" s="2"/>
      <c r="UBN6" s="2"/>
      <c r="UBO6" s="2"/>
      <c r="UBP6" s="2"/>
      <c r="UBQ6" s="2"/>
      <c r="UBR6" s="2"/>
      <c r="UBS6" s="2"/>
      <c r="UBT6" s="2"/>
      <c r="UBU6" s="2"/>
      <c r="UBV6" s="2"/>
      <c r="UBW6" s="2"/>
      <c r="UBX6" s="2"/>
      <c r="UBY6" s="2"/>
      <c r="UBZ6" s="2"/>
      <c r="UCA6" s="2"/>
      <c r="UCB6" s="2"/>
      <c r="UCC6" s="2"/>
      <c r="UCD6" s="2"/>
      <c r="UCE6" s="2"/>
      <c r="UCF6" s="2"/>
      <c r="UCG6" s="2"/>
      <c r="UCH6" s="2"/>
      <c r="UCI6" s="2"/>
      <c r="UCJ6" s="2"/>
      <c r="UCK6" s="2"/>
      <c r="UCL6" s="2"/>
      <c r="UCM6" s="2"/>
      <c r="UCN6" s="2"/>
      <c r="UCO6" s="2"/>
      <c r="UCP6" s="2"/>
      <c r="UCQ6" s="2"/>
      <c r="UCR6" s="2"/>
      <c r="UCS6" s="2"/>
      <c r="UCT6" s="2"/>
      <c r="UCU6" s="2"/>
      <c r="UCV6" s="2"/>
      <c r="UCW6" s="2"/>
      <c r="UCX6" s="2"/>
      <c r="UCY6" s="2"/>
      <c r="UCZ6" s="2"/>
      <c r="UDA6" s="2"/>
      <c r="UDB6" s="2"/>
      <c r="UDC6" s="2"/>
      <c r="UDD6" s="2"/>
      <c r="UDE6" s="2"/>
      <c r="UDF6" s="2"/>
      <c r="UDG6" s="2"/>
      <c r="UDH6" s="2"/>
      <c r="UDI6" s="2"/>
      <c r="UDJ6" s="2"/>
      <c r="UDK6" s="2"/>
      <c r="UDL6" s="2"/>
      <c r="UDM6" s="2"/>
      <c r="UDN6" s="2"/>
      <c r="UDO6" s="2"/>
      <c r="UDP6" s="2"/>
      <c r="UDQ6" s="2"/>
      <c r="UDR6" s="2"/>
      <c r="UDS6" s="2"/>
      <c r="UDT6" s="2"/>
      <c r="UDU6" s="2"/>
      <c r="UDV6" s="2"/>
      <c r="UDW6" s="2"/>
      <c r="UDX6" s="2"/>
      <c r="UDY6" s="2"/>
      <c r="UDZ6" s="2"/>
      <c r="UEA6" s="2"/>
      <c r="UEB6" s="2"/>
      <c r="UEC6" s="2"/>
      <c r="UED6" s="2"/>
      <c r="UEE6" s="2"/>
      <c r="UEF6" s="2"/>
      <c r="UEG6" s="2"/>
      <c r="UEH6" s="2"/>
      <c r="UEI6" s="2"/>
      <c r="UEJ6" s="2"/>
      <c r="UEK6" s="2"/>
      <c r="UEL6" s="2"/>
      <c r="UEM6" s="2"/>
      <c r="UEN6" s="2"/>
      <c r="UEO6" s="2"/>
      <c r="UEP6" s="2"/>
      <c r="UEQ6" s="2"/>
      <c r="UER6" s="2"/>
      <c r="UES6" s="2"/>
      <c r="UET6" s="2"/>
      <c r="UEU6" s="2"/>
      <c r="UEV6" s="2"/>
      <c r="UEW6" s="2"/>
      <c r="UEX6" s="2"/>
      <c r="UEY6" s="2"/>
      <c r="UEZ6" s="2"/>
      <c r="UFA6" s="2"/>
      <c r="UFB6" s="2"/>
      <c r="UFC6" s="2"/>
      <c r="UFD6" s="2"/>
      <c r="UFE6" s="2"/>
      <c r="UFF6" s="2"/>
      <c r="UFG6" s="2"/>
      <c r="UFH6" s="2"/>
      <c r="UFI6" s="2"/>
      <c r="UFJ6" s="2"/>
      <c r="UFK6" s="2"/>
      <c r="UFL6" s="2"/>
      <c r="UFM6" s="2"/>
      <c r="UFN6" s="2"/>
      <c r="UFO6" s="2"/>
      <c r="UFP6" s="2"/>
      <c r="UFQ6" s="2"/>
      <c r="UFR6" s="2"/>
      <c r="UFS6" s="2"/>
      <c r="UFT6" s="2"/>
      <c r="UFU6" s="2"/>
      <c r="UFV6" s="2"/>
      <c r="UFW6" s="2"/>
      <c r="UFX6" s="2"/>
      <c r="UFY6" s="2"/>
      <c r="UFZ6" s="2"/>
      <c r="UGA6" s="2"/>
      <c r="UGB6" s="2"/>
      <c r="UGC6" s="2"/>
      <c r="UGD6" s="2"/>
      <c r="UGE6" s="2"/>
      <c r="UGF6" s="2"/>
      <c r="UGG6" s="2"/>
      <c r="UGH6" s="2"/>
      <c r="UGI6" s="2"/>
      <c r="UGJ6" s="2"/>
      <c r="UGK6" s="2"/>
      <c r="UGL6" s="2"/>
      <c r="UGM6" s="2"/>
      <c r="UGN6" s="2"/>
      <c r="UGO6" s="2"/>
      <c r="UGP6" s="2"/>
      <c r="UGQ6" s="2"/>
      <c r="UGR6" s="2"/>
      <c r="UGS6" s="2"/>
      <c r="UGT6" s="2"/>
      <c r="UGU6" s="2"/>
      <c r="UGV6" s="2"/>
      <c r="UGW6" s="2"/>
      <c r="UGX6" s="2"/>
      <c r="UGY6" s="2"/>
      <c r="UGZ6" s="2"/>
      <c r="UHA6" s="2"/>
      <c r="UHB6" s="2"/>
      <c r="UHC6" s="2"/>
      <c r="UHD6" s="2"/>
      <c r="UHE6" s="2"/>
      <c r="UHF6" s="2"/>
      <c r="UHG6" s="2"/>
      <c r="UHH6" s="2"/>
      <c r="UHI6" s="2"/>
      <c r="UHJ6" s="2"/>
      <c r="UHK6" s="2"/>
      <c r="UHL6" s="2"/>
      <c r="UHM6" s="2"/>
      <c r="UHN6" s="2"/>
      <c r="UHO6" s="2"/>
      <c r="UHP6" s="2"/>
      <c r="UHQ6" s="2"/>
      <c r="UHR6" s="2"/>
      <c r="UHS6" s="2"/>
      <c r="UHT6" s="2"/>
      <c r="UHU6" s="2"/>
      <c r="UHV6" s="2"/>
      <c r="UHW6" s="2"/>
      <c r="UHX6" s="2"/>
      <c r="UHY6" s="2"/>
      <c r="UHZ6" s="2"/>
      <c r="UIA6" s="2"/>
      <c r="UIB6" s="2"/>
      <c r="UIC6" s="2"/>
      <c r="UID6" s="2"/>
      <c r="UIE6" s="2"/>
      <c r="UIF6" s="2"/>
      <c r="UIG6" s="2"/>
      <c r="UIH6" s="2"/>
      <c r="UII6" s="2"/>
      <c r="UIJ6" s="2"/>
      <c r="UIK6" s="2"/>
      <c r="UIL6" s="2"/>
      <c r="UIM6" s="2"/>
      <c r="UIN6" s="2"/>
      <c r="UIO6" s="2"/>
      <c r="UIP6" s="2"/>
      <c r="UIQ6" s="2"/>
      <c r="UIR6" s="2"/>
      <c r="UIS6" s="2"/>
      <c r="UIT6" s="2"/>
      <c r="UIU6" s="2"/>
      <c r="UIV6" s="2"/>
      <c r="UIW6" s="2"/>
      <c r="UIX6" s="2"/>
      <c r="UIY6" s="2"/>
      <c r="UIZ6" s="2"/>
      <c r="UJA6" s="2"/>
      <c r="UJB6" s="2"/>
      <c r="UJC6" s="2"/>
      <c r="UJD6" s="2"/>
      <c r="UJE6" s="2"/>
      <c r="UJF6" s="2"/>
      <c r="UJG6" s="2"/>
      <c r="UJH6" s="2"/>
      <c r="UJI6" s="2"/>
      <c r="UJJ6" s="2"/>
      <c r="UJK6" s="2"/>
      <c r="UJL6" s="2"/>
      <c r="UJM6" s="2"/>
      <c r="UJN6" s="2"/>
      <c r="UJO6" s="2"/>
      <c r="UJP6" s="2"/>
      <c r="UJQ6" s="2"/>
      <c r="UJR6" s="2"/>
      <c r="UJS6" s="2"/>
      <c r="UJT6" s="2"/>
      <c r="UJU6" s="2"/>
      <c r="UJV6" s="2"/>
      <c r="UJW6" s="2"/>
      <c r="UJX6" s="2"/>
      <c r="UJY6" s="2"/>
      <c r="UJZ6" s="2"/>
      <c r="UKA6" s="2"/>
      <c r="UKB6" s="2"/>
      <c r="UKC6" s="2"/>
      <c r="UKD6" s="2"/>
      <c r="UKE6" s="2"/>
      <c r="UKF6" s="2"/>
      <c r="UKG6" s="2"/>
      <c r="UKH6" s="2"/>
      <c r="UKI6" s="2"/>
      <c r="UKJ6" s="2"/>
      <c r="UKK6" s="2"/>
      <c r="UKL6" s="2"/>
      <c r="UKM6" s="2"/>
      <c r="UKN6" s="2"/>
      <c r="UKO6" s="2"/>
      <c r="UKP6" s="2"/>
      <c r="UKQ6" s="2"/>
      <c r="UKR6" s="2"/>
      <c r="UKS6" s="2"/>
      <c r="UKT6" s="2"/>
      <c r="UKU6" s="2"/>
      <c r="UKV6" s="2"/>
      <c r="UKW6" s="2"/>
      <c r="UKX6" s="2"/>
      <c r="UKY6" s="2"/>
      <c r="UKZ6" s="2"/>
      <c r="ULA6" s="2"/>
      <c r="ULB6" s="2"/>
      <c r="ULC6" s="2"/>
      <c r="ULD6" s="2"/>
      <c r="ULE6" s="2"/>
      <c r="ULF6" s="2"/>
      <c r="ULG6" s="2"/>
      <c r="ULH6" s="2"/>
      <c r="ULI6" s="2"/>
      <c r="ULJ6" s="2"/>
      <c r="ULK6" s="2"/>
      <c r="ULL6" s="2"/>
      <c r="ULM6" s="2"/>
      <c r="ULN6" s="2"/>
      <c r="ULO6" s="2"/>
      <c r="ULP6" s="2"/>
      <c r="ULQ6" s="2"/>
      <c r="ULR6" s="2"/>
      <c r="ULS6" s="2"/>
      <c r="ULT6" s="2"/>
      <c r="ULU6" s="2"/>
      <c r="ULV6" s="2"/>
      <c r="ULW6" s="2"/>
      <c r="ULX6" s="2"/>
      <c r="ULY6" s="2"/>
      <c r="ULZ6" s="2"/>
      <c r="UMA6" s="2"/>
      <c r="UMB6" s="2"/>
      <c r="UMC6" s="2"/>
      <c r="UMD6" s="2"/>
      <c r="UME6" s="2"/>
      <c r="UMF6" s="2"/>
      <c r="UMG6" s="2"/>
      <c r="UMH6" s="2"/>
      <c r="UMI6" s="2"/>
      <c r="UMJ6" s="2"/>
      <c r="UMK6" s="2"/>
      <c r="UML6" s="2"/>
      <c r="UMM6" s="2"/>
      <c r="UMN6" s="2"/>
      <c r="UMO6" s="2"/>
      <c r="UMP6" s="2"/>
      <c r="UMQ6" s="2"/>
      <c r="UMR6" s="2"/>
      <c r="UMS6" s="2"/>
      <c r="UMT6" s="2"/>
      <c r="UMU6" s="2"/>
      <c r="UMV6" s="2"/>
      <c r="UMW6" s="2"/>
      <c r="UMX6" s="2"/>
      <c r="UMY6" s="2"/>
      <c r="UMZ6" s="2"/>
      <c r="UNA6" s="2"/>
      <c r="UNB6" s="2"/>
      <c r="UNC6" s="2"/>
      <c r="UND6" s="2"/>
      <c r="UNE6" s="2"/>
      <c r="UNF6" s="2"/>
      <c r="UNG6" s="2"/>
      <c r="UNH6" s="2"/>
      <c r="UNI6" s="2"/>
      <c r="UNJ6" s="2"/>
      <c r="UNK6" s="2"/>
      <c r="UNL6" s="2"/>
      <c r="UNM6" s="2"/>
      <c r="UNN6" s="2"/>
      <c r="UNO6" s="2"/>
      <c r="UNP6" s="2"/>
      <c r="UNQ6" s="2"/>
      <c r="UNR6" s="2"/>
      <c r="UNS6" s="2"/>
      <c r="UNT6" s="2"/>
      <c r="UNU6" s="2"/>
      <c r="UNV6" s="2"/>
      <c r="UNW6" s="2"/>
      <c r="UNX6" s="2"/>
      <c r="UNY6" s="2"/>
      <c r="UNZ6" s="2"/>
      <c r="UOA6" s="2"/>
      <c r="UOB6" s="2"/>
      <c r="UOC6" s="2"/>
      <c r="UOD6" s="2"/>
      <c r="UOE6" s="2"/>
      <c r="UOF6" s="2"/>
      <c r="UOG6" s="2"/>
      <c r="UOH6" s="2"/>
      <c r="UOI6" s="2"/>
      <c r="UOJ6" s="2"/>
      <c r="UOK6" s="2"/>
      <c r="UOL6" s="2"/>
      <c r="UOM6" s="2"/>
      <c r="UON6" s="2"/>
      <c r="UOO6" s="2"/>
      <c r="UOP6" s="2"/>
      <c r="UOQ6" s="2"/>
      <c r="UOR6" s="2"/>
      <c r="UOS6" s="2"/>
      <c r="UOT6" s="2"/>
      <c r="UOU6" s="2"/>
      <c r="UOV6" s="2"/>
      <c r="UOW6" s="2"/>
      <c r="UOX6" s="2"/>
      <c r="UOY6" s="2"/>
      <c r="UOZ6" s="2"/>
      <c r="UPA6" s="2"/>
      <c r="UPB6" s="2"/>
      <c r="UPC6" s="2"/>
      <c r="UPD6" s="2"/>
      <c r="UPE6" s="2"/>
      <c r="UPF6" s="2"/>
      <c r="UPG6" s="2"/>
      <c r="UPH6" s="2"/>
      <c r="UPI6" s="2"/>
      <c r="UPJ6" s="2"/>
      <c r="UPK6" s="2"/>
      <c r="UPL6" s="2"/>
      <c r="UPM6" s="2"/>
      <c r="UPN6" s="2"/>
      <c r="UPO6" s="2"/>
      <c r="UPP6" s="2"/>
      <c r="UPQ6" s="2"/>
      <c r="UPR6" s="2"/>
      <c r="UPS6" s="2"/>
      <c r="UPT6" s="2"/>
      <c r="UPU6" s="2"/>
      <c r="UPV6" s="2"/>
      <c r="UPW6" s="2"/>
      <c r="UPX6" s="2"/>
      <c r="UPY6" s="2"/>
      <c r="UPZ6" s="2"/>
      <c r="UQA6" s="2"/>
      <c r="UQB6" s="2"/>
      <c r="UQC6" s="2"/>
      <c r="UQD6" s="2"/>
      <c r="UQE6" s="2"/>
      <c r="UQF6" s="2"/>
      <c r="UQG6" s="2"/>
      <c r="UQH6" s="2"/>
      <c r="UQI6" s="2"/>
      <c r="UQJ6" s="2"/>
      <c r="UQK6" s="2"/>
      <c r="UQL6" s="2"/>
      <c r="UQM6" s="2"/>
      <c r="UQN6" s="2"/>
      <c r="UQO6" s="2"/>
      <c r="UQP6" s="2"/>
      <c r="UQQ6" s="2"/>
      <c r="UQR6" s="2"/>
      <c r="UQS6" s="2"/>
      <c r="UQT6" s="2"/>
      <c r="UQU6" s="2"/>
      <c r="UQV6" s="2"/>
      <c r="UQW6" s="2"/>
      <c r="UQX6" s="2"/>
      <c r="UQY6" s="2"/>
      <c r="UQZ6" s="2"/>
      <c r="URA6" s="2"/>
      <c r="URB6" s="2"/>
      <c r="URC6" s="2"/>
      <c r="URD6" s="2"/>
      <c r="URE6" s="2"/>
      <c r="URF6" s="2"/>
      <c r="URG6" s="2"/>
      <c r="URH6" s="2"/>
      <c r="URI6" s="2"/>
      <c r="URJ6" s="2"/>
      <c r="URK6" s="2"/>
      <c r="URL6" s="2"/>
      <c r="URM6" s="2"/>
      <c r="URN6" s="2"/>
      <c r="URO6" s="2"/>
      <c r="URP6" s="2"/>
      <c r="URQ6" s="2"/>
      <c r="URR6" s="2"/>
      <c r="URS6" s="2"/>
      <c r="URT6" s="2"/>
      <c r="URU6" s="2"/>
      <c r="URV6" s="2"/>
      <c r="URW6" s="2"/>
      <c r="URX6" s="2"/>
      <c r="URY6" s="2"/>
      <c r="URZ6" s="2"/>
      <c r="USA6" s="2"/>
      <c r="USB6" s="2"/>
      <c r="USC6" s="2"/>
      <c r="USD6" s="2"/>
      <c r="USE6" s="2"/>
      <c r="USF6" s="2"/>
      <c r="USG6" s="2"/>
      <c r="USH6" s="2"/>
      <c r="USI6" s="2"/>
      <c r="USJ6" s="2"/>
      <c r="USK6" s="2"/>
      <c r="USL6" s="2"/>
      <c r="USM6" s="2"/>
      <c r="USN6" s="2"/>
      <c r="USO6" s="2"/>
      <c r="USP6" s="2"/>
      <c r="USQ6" s="2"/>
      <c r="USR6" s="2"/>
      <c r="USS6" s="2"/>
      <c r="UST6" s="2"/>
      <c r="USU6" s="2"/>
      <c r="USV6" s="2"/>
      <c r="USW6" s="2"/>
      <c r="USX6" s="2"/>
      <c r="USY6" s="2"/>
      <c r="USZ6" s="2"/>
      <c r="UTA6" s="2"/>
      <c r="UTB6" s="2"/>
      <c r="UTC6" s="2"/>
      <c r="UTD6" s="2"/>
      <c r="UTE6" s="2"/>
      <c r="UTF6" s="2"/>
      <c r="UTG6" s="2"/>
      <c r="UTH6" s="2"/>
      <c r="UTI6" s="2"/>
      <c r="UTJ6" s="2"/>
      <c r="UTK6" s="2"/>
      <c r="UTL6" s="2"/>
      <c r="UTM6" s="2"/>
      <c r="UTN6" s="2"/>
      <c r="UTO6" s="2"/>
      <c r="UTP6" s="2"/>
      <c r="UTQ6" s="2"/>
      <c r="UTR6" s="2"/>
      <c r="UTS6" s="2"/>
      <c r="UTT6" s="2"/>
      <c r="UTU6" s="2"/>
      <c r="UTV6" s="2"/>
      <c r="UTW6" s="2"/>
      <c r="UTX6" s="2"/>
      <c r="UTY6" s="2"/>
      <c r="UTZ6" s="2"/>
      <c r="UUA6" s="2"/>
      <c r="UUB6" s="2"/>
      <c r="UUC6" s="2"/>
      <c r="UUD6" s="2"/>
      <c r="UUE6" s="2"/>
      <c r="UUF6" s="2"/>
      <c r="UUG6" s="2"/>
      <c r="UUH6" s="2"/>
      <c r="UUI6" s="2"/>
      <c r="UUJ6" s="2"/>
      <c r="UUK6" s="2"/>
      <c r="UUL6" s="2"/>
      <c r="UUM6" s="2"/>
      <c r="UUN6" s="2"/>
      <c r="UUO6" s="2"/>
      <c r="UUP6" s="2"/>
      <c r="UUQ6" s="2"/>
      <c r="UUR6" s="2"/>
      <c r="UUS6" s="2"/>
      <c r="UUT6" s="2"/>
      <c r="UUU6" s="2"/>
      <c r="UUV6" s="2"/>
      <c r="UUW6" s="2"/>
      <c r="UUX6" s="2"/>
      <c r="UUY6" s="2"/>
      <c r="UUZ6" s="2"/>
      <c r="UVA6" s="2"/>
      <c r="UVB6" s="2"/>
      <c r="UVC6" s="2"/>
      <c r="UVD6" s="2"/>
      <c r="UVE6" s="2"/>
      <c r="UVF6" s="2"/>
      <c r="UVG6" s="2"/>
      <c r="UVH6" s="2"/>
      <c r="UVI6" s="2"/>
      <c r="UVJ6" s="2"/>
      <c r="UVK6" s="2"/>
      <c r="UVL6" s="2"/>
      <c r="UVM6" s="2"/>
      <c r="UVN6" s="2"/>
      <c r="UVO6" s="2"/>
      <c r="UVP6" s="2"/>
      <c r="UVQ6" s="2"/>
      <c r="UVR6" s="2"/>
      <c r="UVS6" s="2"/>
      <c r="UVT6" s="2"/>
      <c r="UVU6" s="2"/>
      <c r="UVV6" s="2"/>
      <c r="UVW6" s="2"/>
      <c r="UVX6" s="2"/>
      <c r="UVY6" s="2"/>
      <c r="UVZ6" s="2"/>
      <c r="UWA6" s="2"/>
      <c r="UWB6" s="2"/>
      <c r="UWC6" s="2"/>
      <c r="UWD6" s="2"/>
      <c r="UWE6" s="2"/>
      <c r="UWF6" s="2"/>
      <c r="UWG6" s="2"/>
      <c r="UWH6" s="2"/>
      <c r="UWI6" s="2"/>
      <c r="UWJ6" s="2"/>
      <c r="UWK6" s="2"/>
      <c r="UWL6" s="2"/>
      <c r="UWM6" s="2"/>
      <c r="UWN6" s="2"/>
      <c r="UWO6" s="2"/>
      <c r="UWP6" s="2"/>
      <c r="UWQ6" s="2"/>
      <c r="UWR6" s="2"/>
      <c r="UWS6" s="2"/>
      <c r="UWT6" s="2"/>
      <c r="UWU6" s="2"/>
      <c r="UWV6" s="2"/>
      <c r="UWW6" s="2"/>
      <c r="UWX6" s="2"/>
      <c r="UWY6" s="2"/>
      <c r="UWZ6" s="2"/>
      <c r="UXA6" s="2"/>
      <c r="UXB6" s="2"/>
      <c r="UXC6" s="2"/>
      <c r="UXD6" s="2"/>
      <c r="UXE6" s="2"/>
      <c r="UXF6" s="2"/>
      <c r="UXG6" s="2"/>
      <c r="UXH6" s="2"/>
      <c r="UXI6" s="2"/>
      <c r="UXJ6" s="2"/>
      <c r="UXK6" s="2"/>
      <c r="UXL6" s="2"/>
      <c r="UXM6" s="2"/>
      <c r="UXN6" s="2"/>
      <c r="UXO6" s="2"/>
      <c r="UXP6" s="2"/>
      <c r="UXQ6" s="2"/>
      <c r="UXR6" s="2"/>
      <c r="UXS6" s="2"/>
      <c r="UXT6" s="2"/>
      <c r="UXU6" s="2"/>
      <c r="UXV6" s="2"/>
      <c r="UXW6" s="2"/>
      <c r="UXX6" s="2"/>
      <c r="UXY6" s="2"/>
      <c r="UXZ6" s="2"/>
      <c r="UYA6" s="2"/>
      <c r="UYB6" s="2"/>
      <c r="UYC6" s="2"/>
      <c r="UYD6" s="2"/>
      <c r="UYE6" s="2"/>
      <c r="UYF6" s="2"/>
      <c r="UYG6" s="2"/>
      <c r="UYH6" s="2"/>
      <c r="UYI6" s="2"/>
      <c r="UYJ6" s="2"/>
      <c r="UYK6" s="2"/>
      <c r="UYL6" s="2"/>
      <c r="UYM6" s="2"/>
      <c r="UYN6" s="2"/>
      <c r="UYO6" s="2"/>
      <c r="UYP6" s="2"/>
      <c r="UYQ6" s="2"/>
      <c r="UYR6" s="2"/>
      <c r="UYS6" s="2"/>
      <c r="UYT6" s="2"/>
      <c r="UYU6" s="2"/>
      <c r="UYV6" s="2"/>
      <c r="UYW6" s="2"/>
      <c r="UYX6" s="2"/>
      <c r="UYY6" s="2"/>
      <c r="UYZ6" s="2"/>
      <c r="UZA6" s="2"/>
      <c r="UZB6" s="2"/>
      <c r="UZC6" s="2"/>
      <c r="UZD6" s="2"/>
      <c r="UZE6" s="2"/>
      <c r="UZF6" s="2"/>
      <c r="UZG6" s="2"/>
      <c r="UZH6" s="2"/>
      <c r="UZI6" s="2"/>
      <c r="UZJ6" s="2"/>
      <c r="UZK6" s="2"/>
      <c r="UZL6" s="2"/>
      <c r="UZM6" s="2"/>
      <c r="UZN6" s="2"/>
      <c r="UZO6" s="2"/>
      <c r="UZP6" s="2"/>
      <c r="UZQ6" s="2"/>
      <c r="UZR6" s="2"/>
      <c r="UZS6" s="2"/>
      <c r="UZT6" s="2"/>
      <c r="UZU6" s="2"/>
      <c r="UZV6" s="2"/>
      <c r="UZW6" s="2"/>
      <c r="UZX6" s="2"/>
      <c r="UZY6" s="2"/>
      <c r="UZZ6" s="2"/>
      <c r="VAA6" s="2"/>
      <c r="VAB6" s="2"/>
      <c r="VAC6" s="2"/>
      <c r="VAD6" s="2"/>
      <c r="VAE6" s="2"/>
      <c r="VAF6" s="2"/>
      <c r="VAG6" s="2"/>
      <c r="VAH6" s="2"/>
      <c r="VAI6" s="2"/>
      <c r="VAJ6" s="2"/>
      <c r="VAK6" s="2"/>
      <c r="VAL6" s="2"/>
      <c r="VAM6" s="2"/>
      <c r="VAN6" s="2"/>
      <c r="VAO6" s="2"/>
      <c r="VAP6" s="2"/>
      <c r="VAQ6" s="2"/>
      <c r="VAR6" s="2"/>
      <c r="VAS6" s="2"/>
      <c r="VAT6" s="2"/>
      <c r="VAU6" s="2"/>
      <c r="VAV6" s="2"/>
      <c r="VAW6" s="2"/>
      <c r="VAX6" s="2"/>
      <c r="VAY6" s="2"/>
      <c r="VAZ6" s="2"/>
      <c r="VBA6" s="2"/>
      <c r="VBB6" s="2"/>
      <c r="VBC6" s="2"/>
      <c r="VBD6" s="2"/>
      <c r="VBE6" s="2"/>
      <c r="VBF6" s="2"/>
      <c r="VBG6" s="2"/>
      <c r="VBH6" s="2"/>
      <c r="VBI6" s="2"/>
      <c r="VBJ6" s="2"/>
      <c r="VBK6" s="2"/>
      <c r="VBL6" s="2"/>
      <c r="VBM6" s="2"/>
      <c r="VBN6" s="2"/>
      <c r="VBO6" s="2"/>
      <c r="VBP6" s="2"/>
      <c r="VBQ6" s="2"/>
      <c r="VBR6" s="2"/>
      <c r="VBS6" s="2"/>
      <c r="VBT6" s="2"/>
      <c r="VBU6" s="2"/>
      <c r="VBV6" s="2"/>
      <c r="VBW6" s="2"/>
      <c r="VBX6" s="2"/>
      <c r="VBY6" s="2"/>
      <c r="VBZ6" s="2"/>
      <c r="VCA6" s="2"/>
      <c r="VCB6" s="2"/>
      <c r="VCC6" s="2"/>
      <c r="VCD6" s="2"/>
      <c r="VCE6" s="2"/>
      <c r="VCF6" s="2"/>
      <c r="VCG6" s="2"/>
      <c r="VCH6" s="2"/>
      <c r="VCI6" s="2"/>
      <c r="VCJ6" s="2"/>
      <c r="VCK6" s="2"/>
      <c r="VCL6" s="2"/>
      <c r="VCM6" s="2"/>
      <c r="VCN6" s="2"/>
      <c r="VCO6" s="2"/>
      <c r="VCP6" s="2"/>
      <c r="VCQ6" s="2"/>
      <c r="VCR6" s="2"/>
      <c r="VCS6" s="2"/>
      <c r="VCT6" s="2"/>
      <c r="VCU6" s="2"/>
      <c r="VCV6" s="2"/>
      <c r="VCW6" s="2"/>
      <c r="VCX6" s="2"/>
      <c r="VCY6" s="2"/>
      <c r="VCZ6" s="2"/>
      <c r="VDA6" s="2"/>
      <c r="VDB6" s="2"/>
      <c r="VDC6" s="2"/>
      <c r="VDD6" s="2"/>
      <c r="VDE6" s="2"/>
      <c r="VDF6" s="2"/>
      <c r="VDG6" s="2"/>
      <c r="VDH6" s="2"/>
      <c r="VDI6" s="2"/>
      <c r="VDJ6" s="2"/>
      <c r="VDK6" s="2"/>
      <c r="VDL6" s="2"/>
      <c r="VDM6" s="2"/>
      <c r="VDN6" s="2"/>
      <c r="VDO6" s="2"/>
      <c r="VDP6" s="2"/>
      <c r="VDQ6" s="2"/>
      <c r="VDR6" s="2"/>
      <c r="VDS6" s="2"/>
      <c r="VDT6" s="2"/>
      <c r="VDU6" s="2"/>
      <c r="VDV6" s="2"/>
      <c r="VDW6" s="2"/>
      <c r="VDX6" s="2"/>
      <c r="VDY6" s="2"/>
      <c r="VDZ6" s="2"/>
      <c r="VEA6" s="2"/>
      <c r="VEB6" s="2"/>
      <c r="VEC6" s="2"/>
      <c r="VED6" s="2"/>
      <c r="VEE6" s="2"/>
      <c r="VEF6" s="2"/>
      <c r="VEG6" s="2"/>
      <c r="VEH6" s="2"/>
      <c r="VEI6" s="2"/>
      <c r="VEJ6" s="2"/>
      <c r="VEK6" s="2"/>
      <c r="VEL6" s="2"/>
      <c r="VEM6" s="2"/>
      <c r="VEN6" s="2"/>
      <c r="VEO6" s="2"/>
      <c r="VEP6" s="2"/>
      <c r="VEQ6" s="2"/>
      <c r="VER6" s="2"/>
      <c r="VES6" s="2"/>
      <c r="VET6" s="2"/>
      <c r="VEU6" s="2"/>
      <c r="VEV6" s="2"/>
      <c r="VEW6" s="2"/>
      <c r="VEX6" s="2"/>
      <c r="VEY6" s="2"/>
      <c r="VEZ6" s="2"/>
      <c r="VFA6" s="2"/>
      <c r="VFB6" s="2"/>
      <c r="VFC6" s="2"/>
      <c r="VFD6" s="2"/>
      <c r="VFE6" s="2"/>
      <c r="VFF6" s="2"/>
      <c r="VFG6" s="2"/>
      <c r="VFH6" s="2"/>
      <c r="VFI6" s="2"/>
      <c r="VFJ6" s="2"/>
      <c r="VFK6" s="2"/>
      <c r="VFL6" s="2"/>
      <c r="VFM6" s="2"/>
      <c r="VFN6" s="2"/>
      <c r="VFO6" s="2"/>
      <c r="VFP6" s="2"/>
      <c r="VFQ6" s="2"/>
      <c r="VFR6" s="2"/>
      <c r="VFS6" s="2"/>
      <c r="VFT6" s="2"/>
      <c r="VFU6" s="2"/>
      <c r="VFV6" s="2"/>
      <c r="VFW6" s="2"/>
      <c r="VFX6" s="2"/>
      <c r="VFY6" s="2"/>
      <c r="VFZ6" s="2"/>
      <c r="VGA6" s="2"/>
      <c r="VGB6" s="2"/>
      <c r="VGC6" s="2"/>
      <c r="VGD6" s="2"/>
      <c r="VGE6" s="2"/>
      <c r="VGF6" s="2"/>
      <c r="VGG6" s="2"/>
      <c r="VGH6" s="2"/>
      <c r="VGI6" s="2"/>
      <c r="VGJ6" s="2"/>
      <c r="VGK6" s="2"/>
      <c r="VGL6" s="2"/>
      <c r="VGM6" s="2"/>
      <c r="VGN6" s="2"/>
      <c r="VGO6" s="2"/>
      <c r="VGP6" s="2"/>
      <c r="VGQ6" s="2"/>
      <c r="VGR6" s="2"/>
      <c r="VGS6" s="2"/>
      <c r="VGT6" s="2"/>
      <c r="VGU6" s="2"/>
      <c r="VGV6" s="2"/>
      <c r="VGW6" s="2"/>
      <c r="VGX6" s="2"/>
      <c r="VGY6" s="2"/>
      <c r="VGZ6" s="2"/>
      <c r="VHA6" s="2"/>
      <c r="VHB6" s="2"/>
      <c r="VHC6" s="2"/>
      <c r="VHD6" s="2"/>
      <c r="VHE6" s="2"/>
      <c r="VHF6" s="2"/>
      <c r="VHG6" s="2"/>
      <c r="VHH6" s="2"/>
      <c r="VHI6" s="2"/>
      <c r="VHJ6" s="2"/>
      <c r="VHK6" s="2"/>
      <c r="VHL6" s="2"/>
      <c r="VHM6" s="2"/>
      <c r="VHN6" s="2"/>
      <c r="VHO6" s="2"/>
      <c r="VHP6" s="2"/>
      <c r="VHQ6" s="2"/>
      <c r="VHR6" s="2"/>
      <c r="VHS6" s="2"/>
      <c r="VHT6" s="2"/>
      <c r="VHU6" s="2"/>
      <c r="VHV6" s="2"/>
      <c r="VHW6" s="2"/>
      <c r="VHX6" s="2"/>
      <c r="VHY6" s="2"/>
      <c r="VHZ6" s="2"/>
      <c r="VIA6" s="2"/>
      <c r="VIB6" s="2"/>
      <c r="VIC6" s="2"/>
      <c r="VID6" s="2"/>
      <c r="VIE6" s="2"/>
      <c r="VIF6" s="2"/>
      <c r="VIG6" s="2"/>
      <c r="VIH6" s="2"/>
      <c r="VII6" s="2"/>
      <c r="VIJ6" s="2"/>
      <c r="VIK6" s="2"/>
      <c r="VIL6" s="2"/>
      <c r="VIM6" s="2"/>
      <c r="VIN6" s="2"/>
      <c r="VIO6" s="2"/>
      <c r="VIP6" s="2"/>
      <c r="VIQ6" s="2"/>
      <c r="VIR6" s="2"/>
      <c r="VIS6" s="2"/>
      <c r="VIT6" s="2"/>
      <c r="VIU6" s="2"/>
      <c r="VIV6" s="2"/>
      <c r="VIW6" s="2"/>
      <c r="VIX6" s="2"/>
      <c r="VIY6" s="2"/>
      <c r="VIZ6" s="2"/>
      <c r="VJA6" s="2"/>
      <c r="VJB6" s="2"/>
      <c r="VJC6" s="2"/>
      <c r="VJD6" s="2"/>
      <c r="VJE6" s="2"/>
      <c r="VJF6" s="2"/>
      <c r="VJG6" s="2"/>
      <c r="VJH6" s="2"/>
      <c r="VJI6" s="2"/>
      <c r="VJJ6" s="2"/>
      <c r="VJK6" s="2"/>
      <c r="VJL6" s="2"/>
      <c r="VJM6" s="2"/>
      <c r="VJN6" s="2"/>
      <c r="VJO6" s="2"/>
      <c r="VJP6" s="2"/>
      <c r="VJQ6" s="2"/>
      <c r="VJR6" s="2"/>
      <c r="VJS6" s="2"/>
      <c r="VJT6" s="2"/>
      <c r="VJU6" s="2"/>
      <c r="VJV6" s="2"/>
      <c r="VJW6" s="2"/>
      <c r="VJX6" s="2"/>
      <c r="VJY6" s="2"/>
      <c r="VJZ6" s="2"/>
      <c r="VKA6" s="2"/>
      <c r="VKB6" s="2"/>
      <c r="VKC6" s="2"/>
      <c r="VKD6" s="2"/>
      <c r="VKE6" s="2"/>
      <c r="VKF6" s="2"/>
      <c r="VKG6" s="2"/>
      <c r="VKH6" s="2"/>
      <c r="VKI6" s="2"/>
      <c r="VKJ6" s="2"/>
      <c r="VKK6" s="2"/>
      <c r="VKL6" s="2"/>
      <c r="VKM6" s="2"/>
      <c r="VKN6" s="2"/>
      <c r="VKO6" s="2"/>
      <c r="VKP6" s="2"/>
      <c r="VKQ6" s="2"/>
      <c r="VKR6" s="2"/>
      <c r="VKS6" s="2"/>
      <c r="VKT6" s="2"/>
      <c r="VKU6" s="2"/>
      <c r="VKV6" s="2"/>
      <c r="VKW6" s="2"/>
      <c r="VKX6" s="2"/>
      <c r="VKY6" s="2"/>
      <c r="VKZ6" s="2"/>
      <c r="VLA6" s="2"/>
      <c r="VLB6" s="2"/>
      <c r="VLC6" s="2"/>
      <c r="VLD6" s="2"/>
      <c r="VLE6" s="2"/>
      <c r="VLF6" s="2"/>
      <c r="VLG6" s="2"/>
      <c r="VLH6" s="2"/>
      <c r="VLI6" s="2"/>
      <c r="VLJ6" s="2"/>
      <c r="VLK6" s="2"/>
      <c r="VLL6" s="2"/>
      <c r="VLM6" s="2"/>
      <c r="VLN6" s="2"/>
      <c r="VLO6" s="2"/>
      <c r="VLP6" s="2"/>
      <c r="VLQ6" s="2"/>
      <c r="VLR6" s="2"/>
      <c r="VLS6" s="2"/>
      <c r="VLT6" s="2"/>
      <c r="VLU6" s="2"/>
      <c r="VLV6" s="2"/>
      <c r="VLW6" s="2"/>
      <c r="VLX6" s="2"/>
      <c r="VLY6" s="2"/>
      <c r="VLZ6" s="2"/>
      <c r="VMA6" s="2"/>
      <c r="VMB6" s="2"/>
      <c r="VMC6" s="2"/>
      <c r="VMD6" s="2"/>
      <c r="VME6" s="2"/>
      <c r="VMF6" s="2"/>
      <c r="VMG6" s="2"/>
      <c r="VMH6" s="2"/>
      <c r="VMI6" s="2"/>
      <c r="VMJ6" s="2"/>
      <c r="VMK6" s="2"/>
      <c r="VML6" s="2"/>
      <c r="VMM6" s="2"/>
      <c r="VMN6" s="2"/>
      <c r="VMO6" s="2"/>
      <c r="VMP6" s="2"/>
      <c r="VMQ6" s="2"/>
      <c r="VMR6" s="2"/>
      <c r="VMS6" s="2"/>
      <c r="VMT6" s="2"/>
      <c r="VMU6" s="2"/>
      <c r="VMV6" s="2"/>
      <c r="VMW6" s="2"/>
      <c r="VMX6" s="2"/>
      <c r="VMY6" s="2"/>
      <c r="VMZ6" s="2"/>
      <c r="VNA6" s="2"/>
      <c r="VNB6" s="2"/>
      <c r="VNC6" s="2"/>
      <c r="VND6" s="2"/>
      <c r="VNE6" s="2"/>
      <c r="VNF6" s="2"/>
      <c r="VNG6" s="2"/>
      <c r="VNH6" s="2"/>
      <c r="VNI6" s="2"/>
      <c r="VNJ6" s="2"/>
      <c r="VNK6" s="2"/>
      <c r="VNL6" s="2"/>
      <c r="VNM6" s="2"/>
      <c r="VNN6" s="2"/>
      <c r="VNO6" s="2"/>
      <c r="VNP6" s="2"/>
      <c r="VNQ6" s="2"/>
      <c r="VNR6" s="2"/>
      <c r="VNS6" s="2"/>
      <c r="VNT6" s="2"/>
      <c r="VNU6" s="2"/>
      <c r="VNV6" s="2"/>
      <c r="VNW6" s="2"/>
      <c r="VNX6" s="2"/>
      <c r="VNY6" s="2"/>
      <c r="VNZ6" s="2"/>
      <c r="VOA6" s="2"/>
      <c r="VOB6" s="2"/>
      <c r="VOC6" s="2"/>
      <c r="VOD6" s="2"/>
      <c r="VOE6" s="2"/>
      <c r="VOF6" s="2"/>
      <c r="VOG6" s="2"/>
      <c r="VOH6" s="2"/>
      <c r="VOI6" s="2"/>
      <c r="VOJ6" s="2"/>
      <c r="VOK6" s="2"/>
      <c r="VOL6" s="2"/>
      <c r="VOM6" s="2"/>
      <c r="VON6" s="2"/>
      <c r="VOO6" s="2"/>
      <c r="VOP6" s="2"/>
      <c r="VOQ6" s="2"/>
      <c r="VOR6" s="2"/>
      <c r="VOS6" s="2"/>
      <c r="VOT6" s="2"/>
      <c r="VOU6" s="2"/>
      <c r="VOV6" s="2"/>
      <c r="VOW6" s="2"/>
      <c r="VOX6" s="2"/>
      <c r="VOY6" s="2"/>
      <c r="VOZ6" s="2"/>
      <c r="VPA6" s="2"/>
      <c r="VPB6" s="2"/>
      <c r="VPC6" s="2"/>
      <c r="VPD6" s="2"/>
      <c r="VPE6" s="2"/>
      <c r="VPF6" s="2"/>
      <c r="VPG6" s="2"/>
      <c r="VPH6" s="2"/>
      <c r="VPI6" s="2"/>
      <c r="VPJ6" s="2"/>
      <c r="VPK6" s="2"/>
      <c r="VPL6" s="2"/>
      <c r="VPM6" s="2"/>
      <c r="VPN6" s="2"/>
      <c r="VPO6" s="2"/>
      <c r="VPP6" s="2"/>
      <c r="VPQ6" s="2"/>
      <c r="VPR6" s="2"/>
      <c r="VPS6" s="2"/>
      <c r="VPT6" s="2"/>
      <c r="VPU6" s="2"/>
      <c r="VPV6" s="2"/>
      <c r="VPW6" s="2"/>
      <c r="VPX6" s="2"/>
      <c r="VPY6" s="2"/>
      <c r="VPZ6" s="2"/>
      <c r="VQA6" s="2"/>
      <c r="VQB6" s="2"/>
      <c r="VQC6" s="2"/>
      <c r="VQD6" s="2"/>
      <c r="VQE6" s="2"/>
      <c r="VQF6" s="2"/>
      <c r="VQG6" s="2"/>
      <c r="VQH6" s="2"/>
      <c r="VQI6" s="2"/>
      <c r="VQJ6" s="2"/>
      <c r="VQK6" s="2"/>
      <c r="VQL6" s="2"/>
      <c r="VQM6" s="2"/>
      <c r="VQN6" s="2"/>
      <c r="VQO6" s="2"/>
      <c r="VQP6" s="2"/>
      <c r="VQQ6" s="2"/>
      <c r="VQR6" s="2"/>
      <c r="VQS6" s="2"/>
      <c r="VQT6" s="2"/>
      <c r="VQU6" s="2"/>
      <c r="VQV6" s="2"/>
      <c r="VQW6" s="2"/>
      <c r="VQX6" s="2"/>
      <c r="VQY6" s="2"/>
      <c r="VQZ6" s="2"/>
      <c r="VRA6" s="2"/>
      <c r="VRB6" s="2"/>
      <c r="VRC6" s="2"/>
      <c r="VRD6" s="2"/>
      <c r="VRE6" s="2"/>
      <c r="VRF6" s="2"/>
      <c r="VRG6" s="2"/>
      <c r="VRH6" s="2"/>
      <c r="VRI6" s="2"/>
      <c r="VRJ6" s="2"/>
      <c r="VRK6" s="2"/>
      <c r="VRL6" s="2"/>
      <c r="VRM6" s="2"/>
      <c r="VRN6" s="2"/>
      <c r="VRO6" s="2"/>
      <c r="VRP6" s="2"/>
      <c r="VRQ6" s="2"/>
      <c r="VRR6" s="2"/>
      <c r="VRS6" s="2"/>
      <c r="VRT6" s="2"/>
      <c r="VRU6" s="2"/>
      <c r="VRV6" s="2"/>
      <c r="VRW6" s="2"/>
      <c r="VRX6" s="2"/>
      <c r="VRY6" s="2"/>
      <c r="VRZ6" s="2"/>
      <c r="VSA6" s="2"/>
      <c r="VSB6" s="2"/>
      <c r="VSC6" s="2"/>
      <c r="VSD6" s="2"/>
      <c r="VSE6" s="2"/>
      <c r="VSF6" s="2"/>
      <c r="VSG6" s="2"/>
      <c r="VSH6" s="2"/>
      <c r="VSI6" s="2"/>
      <c r="VSJ6" s="2"/>
      <c r="VSK6" s="2"/>
      <c r="VSL6" s="2"/>
      <c r="VSM6" s="2"/>
      <c r="VSN6" s="2"/>
      <c r="VSO6" s="2"/>
      <c r="VSP6" s="2"/>
      <c r="VSQ6" s="2"/>
      <c r="VSR6" s="2"/>
      <c r="VSS6" s="2"/>
      <c r="VST6" s="2"/>
      <c r="VSU6" s="2"/>
      <c r="VSV6" s="2"/>
      <c r="VSW6" s="2"/>
      <c r="VSX6" s="2"/>
      <c r="VSY6" s="2"/>
      <c r="VSZ6" s="2"/>
      <c r="VTA6" s="2"/>
      <c r="VTB6" s="2"/>
      <c r="VTC6" s="2"/>
      <c r="VTD6" s="2"/>
      <c r="VTE6" s="2"/>
      <c r="VTF6" s="2"/>
      <c r="VTG6" s="2"/>
      <c r="VTH6" s="2"/>
      <c r="VTI6" s="2"/>
      <c r="VTJ6" s="2"/>
      <c r="VTK6" s="2"/>
      <c r="VTL6" s="2"/>
      <c r="VTM6" s="2"/>
      <c r="VTN6" s="2"/>
      <c r="VTO6" s="2"/>
      <c r="VTP6" s="2"/>
      <c r="VTQ6" s="2"/>
      <c r="VTR6" s="2"/>
      <c r="VTS6" s="2"/>
      <c r="VTT6" s="2"/>
      <c r="VTU6" s="2"/>
      <c r="VTV6" s="2"/>
      <c r="VTW6" s="2"/>
      <c r="VTX6" s="2"/>
      <c r="VTY6" s="2"/>
      <c r="VTZ6" s="2"/>
      <c r="VUA6" s="2"/>
      <c r="VUB6" s="2"/>
      <c r="VUC6" s="2"/>
      <c r="VUD6" s="2"/>
      <c r="VUE6" s="2"/>
      <c r="VUF6" s="2"/>
      <c r="VUG6" s="2"/>
      <c r="VUH6" s="2"/>
      <c r="VUI6" s="2"/>
      <c r="VUJ6" s="2"/>
      <c r="VUK6" s="2"/>
      <c r="VUL6" s="2"/>
      <c r="VUM6" s="2"/>
      <c r="VUN6" s="2"/>
      <c r="VUO6" s="2"/>
      <c r="VUP6" s="2"/>
      <c r="VUQ6" s="2"/>
      <c r="VUR6" s="2"/>
      <c r="VUS6" s="2"/>
      <c r="VUT6" s="2"/>
      <c r="VUU6" s="2"/>
      <c r="VUV6" s="2"/>
      <c r="VUW6" s="2"/>
      <c r="VUX6" s="2"/>
      <c r="VUY6" s="2"/>
      <c r="VUZ6" s="2"/>
      <c r="VVA6" s="2"/>
      <c r="VVB6" s="2"/>
      <c r="VVC6" s="2"/>
      <c r="VVD6" s="2"/>
      <c r="VVE6" s="2"/>
      <c r="VVF6" s="2"/>
      <c r="VVG6" s="2"/>
      <c r="VVH6" s="2"/>
      <c r="VVI6" s="2"/>
      <c r="VVJ6" s="2"/>
      <c r="VVK6" s="2"/>
      <c r="VVL6" s="2"/>
      <c r="VVM6" s="2"/>
      <c r="VVN6" s="2"/>
      <c r="VVO6" s="2"/>
      <c r="VVP6" s="2"/>
      <c r="VVQ6" s="2"/>
      <c r="VVR6" s="2"/>
      <c r="VVS6" s="2"/>
      <c r="VVT6" s="2"/>
      <c r="VVU6" s="2"/>
      <c r="VVV6" s="2"/>
      <c r="VVW6" s="2"/>
      <c r="VVX6" s="2"/>
      <c r="VVY6" s="2"/>
      <c r="VVZ6" s="2"/>
      <c r="VWA6" s="2"/>
      <c r="VWB6" s="2"/>
      <c r="VWC6" s="2"/>
      <c r="VWD6" s="2"/>
      <c r="VWE6" s="2"/>
      <c r="VWF6" s="2"/>
      <c r="VWG6" s="2"/>
      <c r="VWH6" s="2"/>
      <c r="VWI6" s="2"/>
      <c r="VWJ6" s="2"/>
      <c r="VWK6" s="2"/>
      <c r="VWL6" s="2"/>
      <c r="VWM6" s="2"/>
      <c r="VWN6" s="2"/>
      <c r="VWO6" s="2"/>
      <c r="VWP6" s="2"/>
      <c r="VWQ6" s="2"/>
      <c r="VWR6" s="2"/>
      <c r="VWS6" s="2"/>
      <c r="VWT6" s="2"/>
      <c r="VWU6" s="2"/>
      <c r="VWV6" s="2"/>
      <c r="VWW6" s="2"/>
      <c r="VWX6" s="2"/>
      <c r="VWY6" s="2"/>
      <c r="VWZ6" s="2"/>
      <c r="VXA6" s="2"/>
      <c r="VXB6" s="2"/>
      <c r="VXC6" s="2"/>
      <c r="VXD6" s="2"/>
      <c r="VXE6" s="2"/>
      <c r="VXF6" s="2"/>
      <c r="VXG6" s="2"/>
      <c r="VXH6" s="2"/>
      <c r="VXI6" s="2"/>
      <c r="VXJ6" s="2"/>
      <c r="VXK6" s="2"/>
      <c r="VXL6" s="2"/>
      <c r="VXM6" s="2"/>
      <c r="VXN6" s="2"/>
      <c r="VXO6" s="2"/>
      <c r="VXP6" s="2"/>
      <c r="VXQ6" s="2"/>
      <c r="VXR6" s="2"/>
      <c r="VXS6" s="2"/>
      <c r="VXT6" s="2"/>
      <c r="VXU6" s="2"/>
      <c r="VXV6" s="2"/>
      <c r="VXW6" s="2"/>
      <c r="VXX6" s="2"/>
      <c r="VXY6" s="2"/>
      <c r="VXZ6" s="2"/>
      <c r="VYA6" s="2"/>
      <c r="VYB6" s="2"/>
      <c r="VYC6" s="2"/>
      <c r="VYD6" s="2"/>
      <c r="VYE6" s="2"/>
      <c r="VYF6" s="2"/>
      <c r="VYG6" s="2"/>
      <c r="VYH6" s="2"/>
      <c r="VYI6" s="2"/>
      <c r="VYJ6" s="2"/>
      <c r="VYK6" s="2"/>
      <c r="VYL6" s="2"/>
      <c r="VYM6" s="2"/>
      <c r="VYN6" s="2"/>
      <c r="VYO6" s="2"/>
      <c r="VYP6" s="2"/>
      <c r="VYQ6" s="2"/>
      <c r="VYR6" s="2"/>
      <c r="VYS6" s="2"/>
      <c r="VYT6" s="2"/>
      <c r="VYU6" s="2"/>
      <c r="VYV6" s="2"/>
      <c r="VYW6" s="2"/>
      <c r="VYX6" s="2"/>
      <c r="VYY6" s="2"/>
      <c r="VYZ6" s="2"/>
      <c r="VZA6" s="2"/>
      <c r="VZB6" s="2"/>
      <c r="VZC6" s="2"/>
      <c r="VZD6" s="2"/>
      <c r="VZE6" s="2"/>
      <c r="VZF6" s="2"/>
      <c r="VZG6" s="2"/>
      <c r="VZH6" s="2"/>
      <c r="VZI6" s="2"/>
      <c r="VZJ6" s="2"/>
      <c r="VZK6" s="2"/>
      <c r="VZL6" s="2"/>
      <c r="VZM6" s="2"/>
      <c r="VZN6" s="2"/>
      <c r="VZO6" s="2"/>
      <c r="VZP6" s="2"/>
      <c r="VZQ6" s="2"/>
      <c r="VZR6" s="2"/>
      <c r="VZS6" s="2"/>
      <c r="VZT6" s="2"/>
      <c r="VZU6" s="2"/>
      <c r="VZV6" s="2"/>
      <c r="VZW6" s="2"/>
      <c r="VZX6" s="2"/>
      <c r="VZY6" s="2"/>
      <c r="VZZ6" s="2"/>
      <c r="WAA6" s="2"/>
      <c r="WAB6" s="2"/>
      <c r="WAC6" s="2"/>
      <c r="WAD6" s="2"/>
      <c r="WAE6" s="2"/>
      <c r="WAF6" s="2"/>
      <c r="WAG6" s="2"/>
      <c r="WAH6" s="2"/>
      <c r="WAI6" s="2"/>
      <c r="WAJ6" s="2"/>
      <c r="WAK6" s="2"/>
      <c r="WAL6" s="2"/>
      <c r="WAM6" s="2"/>
      <c r="WAN6" s="2"/>
      <c r="WAO6" s="2"/>
      <c r="WAP6" s="2"/>
      <c r="WAQ6" s="2"/>
      <c r="WAR6" s="2"/>
      <c r="WAS6" s="2"/>
      <c r="WAT6" s="2"/>
      <c r="WAU6" s="2"/>
      <c r="WAV6" s="2"/>
      <c r="WAW6" s="2"/>
      <c r="WAX6" s="2"/>
      <c r="WAY6" s="2"/>
      <c r="WAZ6" s="2"/>
      <c r="WBA6" s="2"/>
      <c r="WBB6" s="2"/>
      <c r="WBC6" s="2"/>
      <c r="WBD6" s="2"/>
      <c r="WBE6" s="2"/>
      <c r="WBF6" s="2"/>
      <c r="WBG6" s="2"/>
      <c r="WBH6" s="2"/>
      <c r="WBI6" s="2"/>
      <c r="WBJ6" s="2"/>
      <c r="WBK6" s="2"/>
      <c r="WBL6" s="2"/>
      <c r="WBM6" s="2"/>
      <c r="WBN6" s="2"/>
      <c r="WBO6" s="2"/>
      <c r="WBP6" s="2"/>
      <c r="WBQ6" s="2"/>
      <c r="WBR6" s="2"/>
      <c r="WBS6" s="2"/>
      <c r="WBT6" s="2"/>
      <c r="WBU6" s="2"/>
      <c r="WBV6" s="2"/>
      <c r="WBW6" s="2"/>
      <c r="WBX6" s="2"/>
      <c r="WBY6" s="2"/>
      <c r="WBZ6" s="2"/>
      <c r="WCA6" s="2"/>
      <c r="WCB6" s="2"/>
      <c r="WCC6" s="2"/>
      <c r="WCD6" s="2"/>
      <c r="WCE6" s="2"/>
      <c r="WCF6" s="2"/>
      <c r="WCG6" s="2"/>
      <c r="WCH6" s="2"/>
      <c r="WCI6" s="2"/>
      <c r="WCJ6" s="2"/>
      <c r="WCK6" s="2"/>
      <c r="WCL6" s="2"/>
      <c r="WCM6" s="2"/>
      <c r="WCN6" s="2"/>
      <c r="WCO6" s="2"/>
      <c r="WCP6" s="2"/>
      <c r="WCQ6" s="2"/>
      <c r="WCR6" s="2"/>
      <c r="WCS6" s="2"/>
      <c r="WCT6" s="2"/>
      <c r="WCU6" s="2"/>
      <c r="WCV6" s="2"/>
      <c r="WCW6" s="2"/>
      <c r="WCX6" s="2"/>
      <c r="WCY6" s="2"/>
      <c r="WCZ6" s="2"/>
      <c r="WDA6" s="2"/>
      <c r="WDB6" s="2"/>
      <c r="WDC6" s="2"/>
      <c r="WDD6" s="2"/>
      <c r="WDE6" s="2"/>
      <c r="WDF6" s="2"/>
      <c r="WDG6" s="2"/>
      <c r="WDH6" s="2"/>
      <c r="WDI6" s="2"/>
      <c r="WDJ6" s="2"/>
      <c r="WDK6" s="2"/>
      <c r="WDL6" s="2"/>
      <c r="WDM6" s="2"/>
      <c r="WDN6" s="2"/>
      <c r="WDO6" s="2"/>
      <c r="WDP6" s="2"/>
      <c r="WDQ6" s="2"/>
      <c r="WDR6" s="2"/>
      <c r="WDS6" s="2"/>
      <c r="WDT6" s="2"/>
      <c r="WDU6" s="2"/>
      <c r="WDV6" s="2"/>
      <c r="WDW6" s="2"/>
      <c r="WDX6" s="2"/>
      <c r="WDY6" s="2"/>
      <c r="WDZ6" s="2"/>
      <c r="WEA6" s="2"/>
      <c r="WEB6" s="2"/>
      <c r="WEC6" s="2"/>
      <c r="WED6" s="2"/>
      <c r="WEE6" s="2"/>
      <c r="WEF6" s="2"/>
      <c r="WEG6" s="2"/>
      <c r="WEH6" s="2"/>
      <c r="WEI6" s="2"/>
      <c r="WEJ6" s="2"/>
      <c r="WEK6" s="2"/>
      <c r="WEL6" s="2"/>
      <c r="WEM6" s="2"/>
      <c r="WEN6" s="2"/>
      <c r="WEO6" s="2"/>
      <c r="WEP6" s="2"/>
      <c r="WEQ6" s="2"/>
      <c r="WER6" s="2"/>
      <c r="WES6" s="2"/>
      <c r="WET6" s="2"/>
      <c r="WEU6" s="2"/>
      <c r="WEV6" s="2"/>
      <c r="WEW6" s="2"/>
      <c r="WEX6" s="2"/>
      <c r="WEY6" s="2"/>
      <c r="WEZ6" s="2"/>
      <c r="WFA6" s="2"/>
      <c r="WFB6" s="2"/>
      <c r="WFC6" s="2"/>
      <c r="WFD6" s="2"/>
      <c r="WFE6" s="2"/>
      <c r="WFF6" s="2"/>
      <c r="WFG6" s="2"/>
      <c r="WFH6" s="2"/>
      <c r="WFI6" s="2"/>
      <c r="WFJ6" s="2"/>
      <c r="WFK6" s="2"/>
      <c r="WFL6" s="2"/>
      <c r="WFM6" s="2"/>
      <c r="WFN6" s="2"/>
      <c r="WFO6" s="2"/>
      <c r="WFP6" s="2"/>
      <c r="WFQ6" s="2"/>
      <c r="WFR6" s="2"/>
      <c r="WFS6" s="2"/>
      <c r="WFT6" s="2"/>
      <c r="WFU6" s="2"/>
      <c r="WFV6" s="2"/>
      <c r="WFW6" s="2"/>
      <c r="WFX6" s="2"/>
      <c r="WFY6" s="2"/>
      <c r="WFZ6" s="2"/>
      <c r="WGA6" s="2"/>
      <c r="WGB6" s="2"/>
      <c r="WGC6" s="2"/>
      <c r="WGD6" s="2"/>
      <c r="WGE6" s="2"/>
      <c r="WGF6" s="2"/>
      <c r="WGG6" s="2"/>
      <c r="WGH6" s="2"/>
      <c r="WGI6" s="2"/>
      <c r="WGJ6" s="2"/>
      <c r="WGK6" s="2"/>
      <c r="WGL6" s="2"/>
      <c r="WGM6" s="2"/>
      <c r="WGN6" s="2"/>
      <c r="WGO6" s="2"/>
      <c r="WGP6" s="2"/>
      <c r="WGQ6" s="2"/>
      <c r="WGR6" s="2"/>
      <c r="WGS6" s="2"/>
      <c r="WGT6" s="2"/>
      <c r="WGU6" s="2"/>
      <c r="WGV6" s="2"/>
      <c r="WGW6" s="2"/>
      <c r="WGX6" s="2"/>
      <c r="WGY6" s="2"/>
      <c r="WGZ6" s="2"/>
      <c r="WHA6" s="2"/>
      <c r="WHB6" s="2"/>
      <c r="WHC6" s="2"/>
      <c r="WHD6" s="2"/>
      <c r="WHE6" s="2"/>
      <c r="WHF6" s="2"/>
      <c r="WHG6" s="2"/>
      <c r="WHH6" s="2"/>
      <c r="WHI6" s="2"/>
      <c r="WHJ6" s="2"/>
      <c r="WHK6" s="2"/>
      <c r="WHL6" s="2"/>
      <c r="WHM6" s="2"/>
      <c r="WHN6" s="2"/>
      <c r="WHO6" s="2"/>
      <c r="WHP6" s="2"/>
      <c r="WHQ6" s="2"/>
      <c r="WHR6" s="2"/>
      <c r="WHS6" s="2"/>
      <c r="WHT6" s="2"/>
      <c r="WHU6" s="2"/>
      <c r="WHV6" s="2"/>
      <c r="WHW6" s="2"/>
      <c r="WHX6" s="2"/>
      <c r="WHY6" s="2"/>
      <c r="WHZ6" s="2"/>
      <c r="WIA6" s="2"/>
      <c r="WIB6" s="2"/>
      <c r="WIC6" s="2"/>
      <c r="WID6" s="2"/>
      <c r="WIE6" s="2"/>
      <c r="WIF6" s="2"/>
      <c r="WIG6" s="2"/>
      <c r="WIH6" s="2"/>
      <c r="WII6" s="2"/>
      <c r="WIJ6" s="2"/>
      <c r="WIK6" s="2"/>
      <c r="WIL6" s="2"/>
      <c r="WIM6" s="2"/>
      <c r="WIN6" s="2"/>
      <c r="WIO6" s="2"/>
      <c r="WIP6" s="2"/>
      <c r="WIQ6" s="2"/>
      <c r="WIR6" s="2"/>
      <c r="WIS6" s="2"/>
      <c r="WIT6" s="2"/>
      <c r="WIU6" s="2"/>
      <c r="WIV6" s="2"/>
      <c r="WIW6" s="2"/>
      <c r="WIX6" s="2"/>
      <c r="WIY6" s="2"/>
      <c r="WIZ6" s="2"/>
      <c r="WJA6" s="2"/>
      <c r="WJB6" s="2"/>
      <c r="WJC6" s="2"/>
      <c r="WJD6" s="2"/>
      <c r="WJE6" s="2"/>
      <c r="WJF6" s="2"/>
      <c r="WJG6" s="2"/>
      <c r="WJH6" s="2"/>
      <c r="WJI6" s="2"/>
      <c r="WJJ6" s="2"/>
      <c r="WJK6" s="2"/>
      <c r="WJL6" s="2"/>
      <c r="WJM6" s="2"/>
      <c r="WJN6" s="2"/>
      <c r="WJO6" s="2"/>
      <c r="WJP6" s="2"/>
      <c r="WJQ6" s="2"/>
      <c r="WJR6" s="2"/>
      <c r="WJS6" s="2"/>
      <c r="WJT6" s="2"/>
      <c r="WJU6" s="2"/>
      <c r="WJV6" s="2"/>
      <c r="WJW6" s="2"/>
      <c r="WJX6" s="2"/>
      <c r="WJY6" s="2"/>
      <c r="WJZ6" s="2"/>
      <c r="WKA6" s="2"/>
      <c r="WKB6" s="2"/>
      <c r="WKC6" s="2"/>
      <c r="WKD6" s="2"/>
      <c r="WKE6" s="2"/>
      <c r="WKF6" s="2"/>
      <c r="WKG6" s="2"/>
      <c r="WKH6" s="2"/>
      <c r="WKI6" s="2"/>
      <c r="WKJ6" s="2"/>
      <c r="WKK6" s="2"/>
      <c r="WKL6" s="2"/>
      <c r="WKM6" s="2"/>
      <c r="WKN6" s="2"/>
      <c r="WKO6" s="2"/>
      <c r="WKP6" s="2"/>
      <c r="WKQ6" s="2"/>
      <c r="WKR6" s="2"/>
      <c r="WKS6" s="2"/>
      <c r="WKT6" s="2"/>
      <c r="WKU6" s="2"/>
      <c r="WKV6" s="2"/>
      <c r="WKW6" s="2"/>
      <c r="WKX6" s="2"/>
      <c r="WKY6" s="2"/>
      <c r="WKZ6" s="2"/>
      <c r="WLA6" s="2"/>
      <c r="WLB6" s="2"/>
      <c r="WLC6" s="2"/>
      <c r="WLD6" s="2"/>
      <c r="WLE6" s="2"/>
      <c r="WLF6" s="2"/>
      <c r="WLG6" s="2"/>
      <c r="WLH6" s="2"/>
      <c r="WLI6" s="2"/>
      <c r="WLJ6" s="2"/>
      <c r="WLK6" s="2"/>
      <c r="WLL6" s="2"/>
      <c r="WLM6" s="2"/>
      <c r="WLN6" s="2"/>
      <c r="WLO6" s="2"/>
      <c r="WLP6" s="2"/>
      <c r="WLQ6" s="2"/>
      <c r="WLR6" s="2"/>
      <c r="WLS6" s="2"/>
      <c r="WLT6" s="2"/>
      <c r="WLU6" s="2"/>
      <c r="WLV6" s="2"/>
      <c r="WLW6" s="2"/>
      <c r="WLX6" s="2"/>
      <c r="WLY6" s="2"/>
      <c r="WLZ6" s="2"/>
      <c r="WMA6" s="2"/>
      <c r="WMB6" s="2"/>
      <c r="WMC6" s="2"/>
      <c r="WMD6" s="2"/>
      <c r="WME6" s="2"/>
      <c r="WMF6" s="2"/>
      <c r="WMG6" s="2"/>
      <c r="WMH6" s="2"/>
      <c r="WMI6" s="2"/>
      <c r="WMJ6" s="2"/>
      <c r="WMK6" s="2"/>
      <c r="WML6" s="2"/>
      <c r="WMM6" s="2"/>
      <c r="WMN6" s="2"/>
      <c r="WMO6" s="2"/>
      <c r="WMP6" s="2"/>
      <c r="WMQ6" s="2"/>
      <c r="WMR6" s="2"/>
      <c r="WMS6" s="2"/>
      <c r="WMT6" s="2"/>
      <c r="WMU6" s="2"/>
      <c r="WMV6" s="2"/>
      <c r="WMW6" s="2"/>
      <c r="WMX6" s="2"/>
      <c r="WMY6" s="2"/>
      <c r="WMZ6" s="2"/>
      <c r="WNA6" s="2"/>
      <c r="WNB6" s="2"/>
      <c r="WNC6" s="2"/>
      <c r="WND6" s="2"/>
      <c r="WNE6" s="2"/>
      <c r="WNF6" s="2"/>
      <c r="WNG6" s="2"/>
      <c r="WNH6" s="2"/>
      <c r="WNI6" s="2"/>
      <c r="WNJ6" s="2"/>
      <c r="WNK6" s="2"/>
      <c r="WNL6" s="2"/>
      <c r="WNM6" s="2"/>
      <c r="WNN6" s="2"/>
      <c r="WNO6" s="2"/>
      <c r="WNP6" s="2"/>
      <c r="WNQ6" s="2"/>
      <c r="WNR6" s="2"/>
      <c r="WNS6" s="2"/>
      <c r="WNT6" s="2"/>
      <c r="WNU6" s="2"/>
      <c r="WNV6" s="2"/>
      <c r="WNW6" s="2"/>
      <c r="WNX6" s="2"/>
      <c r="WNY6" s="2"/>
      <c r="WNZ6" s="2"/>
      <c r="WOA6" s="2"/>
      <c r="WOB6" s="2"/>
      <c r="WOC6" s="2"/>
      <c r="WOD6" s="2"/>
      <c r="WOE6" s="2"/>
      <c r="WOF6" s="2"/>
      <c r="WOG6" s="2"/>
      <c r="WOH6" s="2"/>
      <c r="WOI6" s="2"/>
      <c r="WOJ6" s="2"/>
      <c r="WOK6" s="2"/>
      <c r="WOL6" s="2"/>
      <c r="WOM6" s="2"/>
      <c r="WON6" s="2"/>
      <c r="WOO6" s="2"/>
      <c r="WOP6" s="2"/>
      <c r="WOQ6" s="2"/>
      <c r="WOR6" s="2"/>
      <c r="WOS6" s="2"/>
      <c r="WOT6" s="2"/>
      <c r="WOU6" s="2"/>
      <c r="WOV6" s="2"/>
      <c r="WOW6" s="2"/>
      <c r="WOX6" s="2"/>
      <c r="WOY6" s="2"/>
      <c r="WOZ6" s="2"/>
      <c r="WPA6" s="2"/>
      <c r="WPB6" s="2"/>
      <c r="WPC6" s="2"/>
      <c r="WPD6" s="2"/>
      <c r="WPE6" s="2"/>
      <c r="WPF6" s="2"/>
      <c r="WPG6" s="2"/>
      <c r="WPH6" s="2"/>
      <c r="WPI6" s="2"/>
      <c r="WPJ6" s="2"/>
      <c r="WPK6" s="2"/>
      <c r="WPL6" s="2"/>
      <c r="WPM6" s="2"/>
      <c r="WPN6" s="2"/>
      <c r="WPO6" s="2"/>
      <c r="WPP6" s="2"/>
      <c r="WPQ6" s="2"/>
      <c r="WPR6" s="2"/>
      <c r="WPS6" s="2"/>
      <c r="WPT6" s="2"/>
      <c r="WPU6" s="2"/>
      <c r="WPV6" s="2"/>
      <c r="WPW6" s="2"/>
      <c r="WPX6" s="2"/>
      <c r="WPY6" s="2"/>
      <c r="WPZ6" s="2"/>
      <c r="WQA6" s="2"/>
      <c r="WQB6" s="2"/>
      <c r="WQC6" s="2"/>
      <c r="WQD6" s="2"/>
      <c r="WQE6" s="2"/>
      <c r="WQF6" s="2"/>
      <c r="WQG6" s="2"/>
      <c r="WQH6" s="2"/>
      <c r="WQI6" s="2"/>
      <c r="WQJ6" s="2"/>
      <c r="WQK6" s="2"/>
      <c r="WQL6" s="2"/>
      <c r="WQM6" s="2"/>
      <c r="WQN6" s="2"/>
      <c r="WQO6" s="2"/>
      <c r="WQP6" s="2"/>
      <c r="WQQ6" s="2"/>
      <c r="WQR6" s="2"/>
      <c r="WQS6" s="2"/>
      <c r="WQT6" s="2"/>
      <c r="WQU6" s="2"/>
      <c r="WQV6" s="2"/>
      <c r="WQW6" s="2"/>
      <c r="WQX6" s="2"/>
      <c r="WQY6" s="2"/>
      <c r="WQZ6" s="2"/>
      <c r="WRA6" s="2"/>
      <c r="WRB6" s="2"/>
      <c r="WRC6" s="2"/>
      <c r="WRD6" s="2"/>
      <c r="WRE6" s="2"/>
      <c r="WRF6" s="2"/>
      <c r="WRG6" s="2"/>
      <c r="WRH6" s="2"/>
      <c r="WRI6" s="2"/>
      <c r="WRJ6" s="2"/>
      <c r="WRK6" s="2"/>
      <c r="WRL6" s="2"/>
      <c r="WRM6" s="2"/>
      <c r="WRN6" s="2"/>
      <c r="WRO6" s="2"/>
      <c r="WRP6" s="2"/>
      <c r="WRQ6" s="2"/>
      <c r="WRR6" s="2"/>
      <c r="WRS6" s="2"/>
      <c r="WRT6" s="2"/>
      <c r="WRU6" s="2"/>
      <c r="WRV6" s="2"/>
      <c r="WRW6" s="2"/>
      <c r="WRX6" s="2"/>
      <c r="WRY6" s="2"/>
      <c r="WRZ6" s="2"/>
      <c r="WSA6" s="2"/>
      <c r="WSB6" s="2"/>
      <c r="WSC6" s="2"/>
      <c r="WSD6" s="2"/>
      <c r="WSE6" s="2"/>
      <c r="WSF6" s="2"/>
      <c r="WSG6" s="2"/>
      <c r="WSH6" s="2"/>
      <c r="WSI6" s="2"/>
      <c r="WSJ6" s="2"/>
      <c r="WSK6" s="2"/>
      <c r="WSL6" s="2"/>
      <c r="WSM6" s="2"/>
      <c r="WSN6" s="2"/>
      <c r="WSO6" s="2"/>
      <c r="WSP6" s="2"/>
      <c r="WSQ6" s="2"/>
      <c r="WSR6" s="2"/>
      <c r="WSS6" s="2"/>
      <c r="WST6" s="2"/>
      <c r="WSU6" s="2"/>
      <c r="WSV6" s="2"/>
      <c r="WSW6" s="2"/>
      <c r="WSX6" s="2"/>
      <c r="WSY6" s="2"/>
      <c r="WSZ6" s="2"/>
      <c r="WTA6" s="2"/>
      <c r="WTB6" s="2"/>
      <c r="WTC6" s="2"/>
      <c r="WTD6" s="2"/>
      <c r="WTE6" s="2"/>
      <c r="WTF6" s="2"/>
      <c r="WTG6" s="2"/>
      <c r="WTH6" s="2"/>
      <c r="WTI6" s="2"/>
      <c r="WTJ6" s="2"/>
      <c r="WTK6" s="2"/>
      <c r="WTL6" s="2"/>
      <c r="WTM6" s="2"/>
      <c r="WTN6" s="2"/>
      <c r="WTO6" s="2"/>
      <c r="WTP6" s="2"/>
      <c r="WTQ6" s="2"/>
      <c r="WTR6" s="2"/>
      <c r="WTS6" s="2"/>
      <c r="WTT6" s="2"/>
      <c r="WTU6" s="2"/>
      <c r="WTV6" s="2"/>
      <c r="WTW6" s="2"/>
      <c r="WTX6" s="2"/>
      <c r="WTY6" s="2"/>
      <c r="WTZ6" s="2"/>
      <c r="WUA6" s="2"/>
      <c r="WUB6" s="2"/>
      <c r="WUC6" s="2"/>
      <c r="WUD6" s="2"/>
      <c r="WUE6" s="2"/>
      <c r="WUF6" s="2"/>
      <c r="WUG6" s="2"/>
      <c r="WUH6" s="2"/>
      <c r="WUI6" s="2"/>
      <c r="WUJ6" s="2"/>
      <c r="WUK6" s="2"/>
      <c r="WUL6" s="2"/>
      <c r="WUM6" s="2"/>
      <c r="WUN6" s="2"/>
      <c r="WUO6" s="2"/>
      <c r="WUP6" s="2"/>
      <c r="WUQ6" s="2"/>
      <c r="WUR6" s="2"/>
      <c r="WUS6" s="2"/>
      <c r="WUT6" s="2"/>
      <c r="WUU6" s="2"/>
      <c r="WUV6" s="2"/>
      <c r="WUW6" s="2"/>
      <c r="WUX6" s="2"/>
      <c r="WUY6" s="2"/>
      <c r="WUZ6" s="2"/>
      <c r="WVA6" s="2"/>
      <c r="WVB6" s="2"/>
      <c r="WVC6" s="2"/>
      <c r="WVD6" s="2"/>
      <c r="WVE6" s="2"/>
      <c r="WVF6" s="2"/>
      <c r="WVG6" s="2"/>
      <c r="WVH6" s="2"/>
      <c r="WVI6" s="2"/>
      <c r="WVJ6" s="2"/>
      <c r="WVK6" s="2"/>
      <c r="WVL6" s="2"/>
      <c r="WVM6" s="2"/>
      <c r="WVN6" s="2"/>
      <c r="WVO6" s="2"/>
      <c r="WVP6" s="2"/>
      <c r="WVQ6" s="2"/>
      <c r="WVR6" s="2"/>
      <c r="WVS6" s="2"/>
      <c r="WVT6" s="2"/>
      <c r="WVU6" s="2"/>
      <c r="WVV6" s="2"/>
      <c r="WVW6" s="2"/>
      <c r="WVX6" s="2"/>
      <c r="WVY6" s="2"/>
      <c r="WVZ6" s="2"/>
      <c r="WWA6" s="2"/>
      <c r="WWB6" s="2"/>
      <c r="WWC6" s="2"/>
      <c r="WWD6" s="2"/>
      <c r="WWE6" s="2"/>
      <c r="WWF6" s="2"/>
      <c r="WWG6" s="2"/>
      <c r="WWH6" s="2"/>
      <c r="WWI6" s="2"/>
      <c r="WWJ6" s="2"/>
      <c r="WWK6" s="2"/>
      <c r="WWL6" s="2"/>
      <c r="WWM6" s="2"/>
      <c r="WWN6" s="2"/>
      <c r="WWO6" s="2"/>
      <c r="WWP6" s="2"/>
      <c r="WWQ6" s="2"/>
      <c r="WWR6" s="2"/>
      <c r="WWS6" s="2"/>
      <c r="WWT6" s="2"/>
      <c r="WWU6" s="2"/>
      <c r="WWV6" s="2"/>
      <c r="WWW6" s="2"/>
      <c r="WWX6" s="2"/>
      <c r="WWY6" s="2"/>
      <c r="WWZ6" s="2"/>
      <c r="WXA6" s="2"/>
      <c r="WXB6" s="2"/>
      <c r="WXC6" s="2"/>
      <c r="WXD6" s="2"/>
      <c r="WXE6" s="2"/>
      <c r="WXF6" s="2"/>
      <c r="WXG6" s="2"/>
      <c r="WXH6" s="2"/>
      <c r="WXI6" s="2"/>
      <c r="WXJ6" s="2"/>
      <c r="WXK6" s="2"/>
      <c r="WXL6" s="2"/>
      <c r="WXM6" s="2"/>
      <c r="WXN6" s="2"/>
      <c r="WXO6" s="2"/>
      <c r="WXP6" s="2"/>
      <c r="WXQ6" s="2"/>
      <c r="WXR6" s="2"/>
      <c r="WXS6" s="2"/>
      <c r="WXT6" s="2"/>
      <c r="WXU6" s="2"/>
      <c r="WXV6" s="2"/>
      <c r="WXW6" s="2"/>
      <c r="WXX6" s="2"/>
      <c r="WXY6" s="2"/>
      <c r="WXZ6" s="2"/>
      <c r="WYA6" s="2"/>
      <c r="WYB6" s="2"/>
      <c r="WYC6" s="2"/>
      <c r="WYD6" s="2"/>
      <c r="WYE6" s="2"/>
      <c r="WYF6" s="2"/>
      <c r="WYG6" s="2"/>
      <c r="WYH6" s="2"/>
      <c r="WYI6" s="2"/>
      <c r="WYJ6" s="2"/>
      <c r="WYK6" s="2"/>
      <c r="WYL6" s="2"/>
      <c r="WYM6" s="2"/>
      <c r="WYN6" s="2"/>
      <c r="WYO6" s="2"/>
      <c r="WYP6" s="2"/>
      <c r="WYQ6" s="2"/>
      <c r="WYR6" s="2"/>
      <c r="WYS6" s="2"/>
      <c r="WYT6" s="2"/>
      <c r="WYU6" s="2"/>
      <c r="WYV6" s="2"/>
      <c r="WYW6" s="2"/>
      <c r="WYX6" s="2"/>
      <c r="WYY6" s="2"/>
      <c r="WYZ6" s="2"/>
      <c r="WZA6" s="2"/>
      <c r="WZB6" s="2"/>
      <c r="WZC6" s="2"/>
      <c r="WZD6" s="2"/>
      <c r="WZE6" s="2"/>
      <c r="WZF6" s="2"/>
      <c r="WZG6" s="2"/>
      <c r="WZH6" s="2"/>
      <c r="WZI6" s="2"/>
      <c r="WZJ6" s="2"/>
      <c r="WZK6" s="2"/>
      <c r="WZL6" s="2"/>
      <c r="WZM6" s="2"/>
      <c r="WZN6" s="2"/>
      <c r="WZO6" s="2"/>
      <c r="WZP6" s="2"/>
      <c r="WZQ6" s="2"/>
      <c r="WZR6" s="2"/>
      <c r="WZS6" s="2"/>
      <c r="WZT6" s="2"/>
      <c r="WZU6" s="2"/>
      <c r="WZV6" s="2"/>
      <c r="WZW6" s="2"/>
      <c r="WZX6" s="2"/>
      <c r="WZY6" s="2"/>
      <c r="WZZ6" s="2"/>
      <c r="XAA6" s="2"/>
      <c r="XAB6" s="2"/>
      <c r="XAC6" s="2"/>
      <c r="XAD6" s="2"/>
      <c r="XAE6" s="2"/>
      <c r="XAF6" s="2"/>
      <c r="XAG6" s="2"/>
      <c r="XAH6" s="2"/>
      <c r="XAI6" s="2"/>
      <c r="XAJ6" s="2"/>
      <c r="XAK6" s="2"/>
      <c r="XAL6" s="2"/>
      <c r="XAM6" s="2"/>
      <c r="XAN6" s="2"/>
      <c r="XAO6" s="2"/>
      <c r="XAP6" s="2"/>
      <c r="XAQ6" s="2"/>
      <c r="XAR6" s="2"/>
      <c r="XAS6" s="2"/>
      <c r="XAT6" s="2"/>
      <c r="XAU6" s="2"/>
      <c r="XAV6" s="2"/>
      <c r="XAW6" s="2"/>
      <c r="XAX6" s="2"/>
      <c r="XAY6" s="2"/>
      <c r="XAZ6" s="2"/>
      <c r="XBA6" s="2"/>
      <c r="XBB6" s="2"/>
      <c r="XBC6" s="2"/>
      <c r="XBD6" s="2"/>
      <c r="XBE6" s="2"/>
      <c r="XBF6" s="2"/>
      <c r="XBG6" s="2"/>
      <c r="XBH6" s="2"/>
      <c r="XBI6" s="2"/>
      <c r="XBJ6" s="2"/>
      <c r="XBK6" s="2"/>
      <c r="XBL6" s="2"/>
      <c r="XBM6" s="2"/>
      <c r="XBN6" s="2"/>
      <c r="XBO6" s="2"/>
      <c r="XBP6" s="2"/>
      <c r="XBQ6" s="2"/>
      <c r="XBR6" s="2"/>
      <c r="XBS6" s="2"/>
      <c r="XBT6" s="2"/>
      <c r="XBU6" s="2"/>
      <c r="XBV6" s="2"/>
      <c r="XBW6" s="2"/>
      <c r="XBX6" s="2"/>
      <c r="XBY6" s="2"/>
      <c r="XBZ6" s="2"/>
      <c r="XCA6" s="2"/>
      <c r="XCB6" s="2"/>
      <c r="XCC6" s="2"/>
      <c r="XCD6" s="2"/>
      <c r="XCE6" s="2"/>
      <c r="XCF6" s="2"/>
      <c r="XCG6" s="2"/>
      <c r="XCH6" s="2"/>
      <c r="XCI6" s="2"/>
      <c r="XCJ6" s="2"/>
      <c r="XCK6" s="2"/>
      <c r="XCL6" s="2"/>
      <c r="XCM6" s="2"/>
      <c r="XCN6" s="2"/>
      <c r="XCO6" s="2"/>
      <c r="XCP6" s="2"/>
      <c r="XCQ6" s="2"/>
      <c r="XCR6" s="2"/>
      <c r="XCS6" s="2"/>
      <c r="XCT6" s="2"/>
      <c r="XCU6" s="2"/>
      <c r="XCV6" s="2"/>
      <c r="XCW6" s="2"/>
      <c r="XCX6" s="2"/>
      <c r="XCY6" s="2"/>
      <c r="XCZ6" s="2"/>
      <c r="XDA6" s="2"/>
      <c r="XDB6" s="2"/>
      <c r="XDC6" s="2"/>
      <c r="XDD6" s="2"/>
      <c r="XDE6" s="2"/>
      <c r="XDF6" s="2"/>
      <c r="XDG6" s="2"/>
      <c r="XDH6" s="2"/>
      <c r="XDI6" s="2"/>
      <c r="XDJ6" s="2"/>
      <c r="XDK6" s="2"/>
      <c r="XDL6" s="2"/>
      <c r="XDM6" s="2"/>
      <c r="XDN6" s="2"/>
      <c r="XDO6" s="2"/>
      <c r="XDP6" s="2"/>
      <c r="XDQ6" s="2"/>
      <c r="XDR6" s="2"/>
      <c r="XDS6" s="2"/>
      <c r="XDT6" s="2"/>
      <c r="XDU6" s="2"/>
      <c r="XDV6" s="2"/>
      <c r="XDW6" s="2"/>
      <c r="XDX6" s="2"/>
      <c r="XDY6" s="2"/>
      <c r="XDZ6" s="2"/>
      <c r="XEA6" s="2"/>
      <c r="XEB6" s="2"/>
      <c r="XEC6" s="2"/>
    </row>
    <row r="7" spans="1:16384" customFormat="1" ht="15.95" customHeight="1" x14ac:dyDescent="0.25">
      <c r="A7" s="19" t="s">
        <v>155</v>
      </c>
      <c r="B7" s="19" t="s">
        <v>156</v>
      </c>
      <c r="C7" s="33">
        <v>1</v>
      </c>
      <c r="D7" s="33">
        <v>1</v>
      </c>
      <c r="E7" s="33">
        <v>1</v>
      </c>
      <c r="F7" s="33">
        <v>7</v>
      </c>
      <c r="G7" s="33">
        <v>1</v>
      </c>
      <c r="H7" s="33" cm="1">
        <f t="array" ref="H7">G7*_xlfn.IFS(Настройки!$B$2="M",'Печатные изд.'!C7,Настройки!$B$2="L",'Печатные изд.'!D7,Настройки!$B$2="XL",'Печатные изд.'!E7)</f>
        <v>1</v>
      </c>
      <c r="I7" s="41">
        <f t="shared" si="0"/>
        <v>7</v>
      </c>
      <c r="J7" s="33" t="s">
        <v>509</v>
      </c>
      <c r="K7" s="41" cm="1">
        <f t="array" ref="K7">_xlfn.IFS(J7="Высоконагруженная",Настройки!$B$6,J7="Средне-нагруженная",Настройки!$B$7,J7="Ненагруженная",Настройки!$B$8,J7="Гибкая",Настройки!$B$9)</f>
        <v>1.21</v>
      </c>
      <c r="L7" s="41" cm="1">
        <f t="array" ref="L7">_xlfn.IFS(J7="Высоконагруженная",Настройки!$C$6,J7="Средне-нагруженная",Настройки!$C$7,J7="Ненагруженная",Настройки!$C$8,J7="Гибкая",Настройки!$C$9)/1000</f>
        <v>5</v>
      </c>
      <c r="M7" s="51">
        <f t="shared" si="1"/>
        <v>8.4699999999999989</v>
      </c>
      <c r="N7" s="51">
        <f t="shared" si="2"/>
        <v>0</v>
      </c>
      <c r="O7" s="51">
        <f t="shared" si="3"/>
        <v>0</v>
      </c>
      <c r="P7" s="51">
        <f t="shared" si="4"/>
        <v>0</v>
      </c>
      <c r="Q7" s="52">
        <f t="shared" si="5"/>
        <v>42.349999999999994</v>
      </c>
      <c r="R7" s="43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  <c r="CEP7" s="2"/>
      <c r="CEQ7" s="2"/>
      <c r="CER7" s="2"/>
      <c r="CES7" s="2"/>
      <c r="CET7" s="2"/>
      <c r="CEU7" s="2"/>
      <c r="CEV7" s="2"/>
      <c r="CEW7" s="2"/>
      <c r="CEX7" s="2"/>
      <c r="CEY7" s="2"/>
      <c r="CEZ7" s="2"/>
      <c r="CFA7" s="2"/>
      <c r="CFB7" s="2"/>
      <c r="CFC7" s="2"/>
      <c r="CFD7" s="2"/>
      <c r="CFE7" s="2"/>
      <c r="CFF7" s="2"/>
      <c r="CFG7" s="2"/>
      <c r="CFH7" s="2"/>
      <c r="CFI7" s="2"/>
      <c r="CFJ7" s="2"/>
      <c r="CFK7" s="2"/>
      <c r="CFL7" s="2"/>
      <c r="CFM7" s="2"/>
      <c r="CFN7" s="2"/>
      <c r="CFO7" s="2"/>
      <c r="CFP7" s="2"/>
      <c r="CFQ7" s="2"/>
      <c r="CFR7" s="2"/>
      <c r="CFS7" s="2"/>
      <c r="CFT7" s="2"/>
      <c r="CFU7" s="2"/>
      <c r="CFV7" s="2"/>
      <c r="CFW7" s="2"/>
      <c r="CFX7" s="2"/>
      <c r="CFY7" s="2"/>
      <c r="CFZ7" s="2"/>
      <c r="CGA7" s="2"/>
      <c r="CGB7" s="2"/>
      <c r="CGC7" s="2"/>
      <c r="CGD7" s="2"/>
      <c r="CGE7" s="2"/>
      <c r="CGF7" s="2"/>
      <c r="CGG7" s="2"/>
      <c r="CGH7" s="2"/>
      <c r="CGI7" s="2"/>
      <c r="CGJ7" s="2"/>
      <c r="CGK7" s="2"/>
      <c r="CGL7" s="2"/>
      <c r="CGM7" s="2"/>
      <c r="CGN7" s="2"/>
      <c r="CGO7" s="2"/>
      <c r="CGP7" s="2"/>
      <c r="CGQ7" s="2"/>
      <c r="CGR7" s="2"/>
      <c r="CGS7" s="2"/>
      <c r="CGT7" s="2"/>
      <c r="CGU7" s="2"/>
      <c r="CGV7" s="2"/>
      <c r="CGW7" s="2"/>
      <c r="CGX7" s="2"/>
      <c r="CGY7" s="2"/>
      <c r="CGZ7" s="2"/>
      <c r="CHA7" s="2"/>
      <c r="CHB7" s="2"/>
      <c r="CHC7" s="2"/>
      <c r="CHD7" s="2"/>
      <c r="CHE7" s="2"/>
      <c r="CHF7" s="2"/>
      <c r="CHG7" s="2"/>
      <c r="CHH7" s="2"/>
      <c r="CHI7" s="2"/>
      <c r="CHJ7" s="2"/>
      <c r="CHK7" s="2"/>
      <c r="CHL7" s="2"/>
      <c r="CHM7" s="2"/>
      <c r="CHN7" s="2"/>
      <c r="CHO7" s="2"/>
      <c r="CHP7" s="2"/>
      <c r="CHQ7" s="2"/>
      <c r="CHR7" s="2"/>
      <c r="CHS7" s="2"/>
      <c r="CHT7" s="2"/>
      <c r="CHU7" s="2"/>
      <c r="CHV7" s="2"/>
      <c r="CHW7" s="2"/>
      <c r="CHX7" s="2"/>
      <c r="CHY7" s="2"/>
      <c r="CHZ7" s="2"/>
      <c r="CIA7" s="2"/>
      <c r="CIB7" s="2"/>
      <c r="CIC7" s="2"/>
      <c r="CID7" s="2"/>
      <c r="CIE7" s="2"/>
      <c r="CIF7" s="2"/>
      <c r="CIG7" s="2"/>
      <c r="CIH7" s="2"/>
      <c r="CII7" s="2"/>
      <c r="CIJ7" s="2"/>
      <c r="CIK7" s="2"/>
      <c r="CIL7" s="2"/>
      <c r="CIM7" s="2"/>
      <c r="CIN7" s="2"/>
      <c r="CIO7" s="2"/>
      <c r="CIP7" s="2"/>
      <c r="CIQ7" s="2"/>
      <c r="CIR7" s="2"/>
      <c r="CIS7" s="2"/>
      <c r="CIT7" s="2"/>
      <c r="CIU7" s="2"/>
      <c r="CIV7" s="2"/>
      <c r="CIW7" s="2"/>
      <c r="CIX7" s="2"/>
      <c r="CIY7" s="2"/>
      <c r="CIZ7" s="2"/>
      <c r="CJA7" s="2"/>
      <c r="CJB7" s="2"/>
      <c r="CJC7" s="2"/>
      <c r="CJD7" s="2"/>
      <c r="CJE7" s="2"/>
      <c r="CJF7" s="2"/>
      <c r="CJG7" s="2"/>
      <c r="CJH7" s="2"/>
      <c r="CJI7" s="2"/>
      <c r="CJJ7" s="2"/>
      <c r="CJK7" s="2"/>
      <c r="CJL7" s="2"/>
      <c r="CJM7" s="2"/>
      <c r="CJN7" s="2"/>
      <c r="CJO7" s="2"/>
      <c r="CJP7" s="2"/>
      <c r="CJQ7" s="2"/>
      <c r="CJR7" s="2"/>
      <c r="CJS7" s="2"/>
      <c r="CJT7" s="2"/>
      <c r="CJU7" s="2"/>
      <c r="CJV7" s="2"/>
      <c r="CJW7" s="2"/>
      <c r="CJX7" s="2"/>
      <c r="CJY7" s="2"/>
      <c r="CJZ7" s="2"/>
      <c r="CKA7" s="2"/>
      <c r="CKB7" s="2"/>
      <c r="CKC7" s="2"/>
      <c r="CKD7" s="2"/>
      <c r="CKE7" s="2"/>
      <c r="CKF7" s="2"/>
      <c r="CKG7" s="2"/>
      <c r="CKH7" s="2"/>
      <c r="CKI7" s="2"/>
      <c r="CKJ7" s="2"/>
      <c r="CKK7" s="2"/>
      <c r="CKL7" s="2"/>
      <c r="CKM7" s="2"/>
      <c r="CKN7" s="2"/>
      <c r="CKO7" s="2"/>
      <c r="CKP7" s="2"/>
      <c r="CKQ7" s="2"/>
      <c r="CKR7" s="2"/>
      <c r="CKS7" s="2"/>
      <c r="CKT7" s="2"/>
      <c r="CKU7" s="2"/>
      <c r="CKV7" s="2"/>
      <c r="CKW7" s="2"/>
      <c r="CKX7" s="2"/>
      <c r="CKY7" s="2"/>
      <c r="CKZ7" s="2"/>
      <c r="CLA7" s="2"/>
      <c r="CLB7" s="2"/>
      <c r="CLC7" s="2"/>
      <c r="CLD7" s="2"/>
      <c r="CLE7" s="2"/>
      <c r="CLF7" s="2"/>
      <c r="CLG7" s="2"/>
      <c r="CLH7" s="2"/>
      <c r="CLI7" s="2"/>
      <c r="CLJ7" s="2"/>
      <c r="CLK7" s="2"/>
      <c r="CLL7" s="2"/>
      <c r="CLM7" s="2"/>
      <c r="CLN7" s="2"/>
      <c r="CLO7" s="2"/>
      <c r="CLP7" s="2"/>
      <c r="CLQ7" s="2"/>
      <c r="CLR7" s="2"/>
      <c r="CLS7" s="2"/>
      <c r="CLT7" s="2"/>
      <c r="CLU7" s="2"/>
      <c r="CLV7" s="2"/>
      <c r="CLW7" s="2"/>
      <c r="CLX7" s="2"/>
      <c r="CLY7" s="2"/>
      <c r="CLZ7" s="2"/>
      <c r="CMA7" s="2"/>
      <c r="CMB7" s="2"/>
      <c r="CMC7" s="2"/>
      <c r="CMD7" s="2"/>
      <c r="CME7" s="2"/>
      <c r="CMF7" s="2"/>
      <c r="CMG7" s="2"/>
      <c r="CMH7" s="2"/>
      <c r="CMI7" s="2"/>
      <c r="CMJ7" s="2"/>
      <c r="CMK7" s="2"/>
      <c r="CML7" s="2"/>
      <c r="CMM7" s="2"/>
      <c r="CMN7" s="2"/>
      <c r="CMO7" s="2"/>
      <c r="CMP7" s="2"/>
      <c r="CMQ7" s="2"/>
      <c r="CMR7" s="2"/>
      <c r="CMS7" s="2"/>
      <c r="CMT7" s="2"/>
      <c r="CMU7" s="2"/>
      <c r="CMV7" s="2"/>
      <c r="CMW7" s="2"/>
      <c r="CMX7" s="2"/>
      <c r="CMY7" s="2"/>
      <c r="CMZ7" s="2"/>
      <c r="CNA7" s="2"/>
      <c r="CNB7" s="2"/>
      <c r="CNC7" s="2"/>
      <c r="CND7" s="2"/>
      <c r="CNE7" s="2"/>
      <c r="CNF7" s="2"/>
      <c r="CNG7" s="2"/>
      <c r="CNH7" s="2"/>
      <c r="CNI7" s="2"/>
      <c r="CNJ7" s="2"/>
      <c r="CNK7" s="2"/>
      <c r="CNL7" s="2"/>
      <c r="CNM7" s="2"/>
      <c r="CNN7" s="2"/>
      <c r="CNO7" s="2"/>
      <c r="CNP7" s="2"/>
      <c r="CNQ7" s="2"/>
      <c r="CNR7" s="2"/>
      <c r="CNS7" s="2"/>
      <c r="CNT7" s="2"/>
      <c r="CNU7" s="2"/>
      <c r="CNV7" s="2"/>
      <c r="CNW7" s="2"/>
      <c r="CNX7" s="2"/>
      <c r="CNY7" s="2"/>
      <c r="CNZ7" s="2"/>
      <c r="COA7" s="2"/>
      <c r="COB7" s="2"/>
      <c r="COC7" s="2"/>
      <c r="COD7" s="2"/>
      <c r="COE7" s="2"/>
      <c r="COF7" s="2"/>
      <c r="COG7" s="2"/>
      <c r="COH7" s="2"/>
      <c r="COI7" s="2"/>
      <c r="COJ7" s="2"/>
      <c r="COK7" s="2"/>
      <c r="COL7" s="2"/>
      <c r="COM7" s="2"/>
      <c r="CON7" s="2"/>
      <c r="COO7" s="2"/>
      <c r="COP7" s="2"/>
      <c r="COQ7" s="2"/>
      <c r="COR7" s="2"/>
      <c r="COS7" s="2"/>
      <c r="COT7" s="2"/>
      <c r="COU7" s="2"/>
      <c r="COV7" s="2"/>
      <c r="COW7" s="2"/>
      <c r="COX7" s="2"/>
      <c r="COY7" s="2"/>
      <c r="COZ7" s="2"/>
      <c r="CPA7" s="2"/>
      <c r="CPB7" s="2"/>
      <c r="CPC7" s="2"/>
      <c r="CPD7" s="2"/>
      <c r="CPE7" s="2"/>
      <c r="CPF7" s="2"/>
      <c r="CPG7" s="2"/>
      <c r="CPH7" s="2"/>
      <c r="CPI7" s="2"/>
      <c r="CPJ7" s="2"/>
      <c r="CPK7" s="2"/>
      <c r="CPL7" s="2"/>
      <c r="CPM7" s="2"/>
      <c r="CPN7" s="2"/>
      <c r="CPO7" s="2"/>
      <c r="CPP7" s="2"/>
      <c r="CPQ7" s="2"/>
      <c r="CPR7" s="2"/>
      <c r="CPS7" s="2"/>
      <c r="CPT7" s="2"/>
      <c r="CPU7" s="2"/>
      <c r="CPV7" s="2"/>
      <c r="CPW7" s="2"/>
      <c r="CPX7" s="2"/>
      <c r="CPY7" s="2"/>
      <c r="CPZ7" s="2"/>
      <c r="CQA7" s="2"/>
      <c r="CQB7" s="2"/>
      <c r="CQC7" s="2"/>
      <c r="CQD7" s="2"/>
      <c r="CQE7" s="2"/>
      <c r="CQF7" s="2"/>
      <c r="CQG7" s="2"/>
      <c r="CQH7" s="2"/>
      <c r="CQI7" s="2"/>
      <c r="CQJ7" s="2"/>
      <c r="CQK7" s="2"/>
      <c r="CQL7" s="2"/>
      <c r="CQM7" s="2"/>
      <c r="CQN7" s="2"/>
      <c r="CQO7" s="2"/>
      <c r="CQP7" s="2"/>
      <c r="CQQ7" s="2"/>
      <c r="CQR7" s="2"/>
      <c r="CQS7" s="2"/>
      <c r="CQT7" s="2"/>
      <c r="CQU7" s="2"/>
      <c r="CQV7" s="2"/>
      <c r="CQW7" s="2"/>
      <c r="CQX7" s="2"/>
      <c r="CQY7" s="2"/>
      <c r="CQZ7" s="2"/>
      <c r="CRA7" s="2"/>
      <c r="CRB7" s="2"/>
      <c r="CRC7" s="2"/>
      <c r="CRD7" s="2"/>
      <c r="CRE7" s="2"/>
      <c r="CRF7" s="2"/>
      <c r="CRG7" s="2"/>
      <c r="CRH7" s="2"/>
      <c r="CRI7" s="2"/>
      <c r="CRJ7" s="2"/>
      <c r="CRK7" s="2"/>
      <c r="CRL7" s="2"/>
      <c r="CRM7" s="2"/>
      <c r="CRN7" s="2"/>
      <c r="CRO7" s="2"/>
      <c r="CRP7" s="2"/>
      <c r="CRQ7" s="2"/>
      <c r="CRR7" s="2"/>
      <c r="CRS7" s="2"/>
      <c r="CRT7" s="2"/>
      <c r="CRU7" s="2"/>
      <c r="CRV7" s="2"/>
      <c r="CRW7" s="2"/>
      <c r="CRX7" s="2"/>
      <c r="CRY7" s="2"/>
      <c r="CRZ7" s="2"/>
      <c r="CSA7" s="2"/>
      <c r="CSB7" s="2"/>
      <c r="CSC7" s="2"/>
      <c r="CSD7" s="2"/>
      <c r="CSE7" s="2"/>
      <c r="CSF7" s="2"/>
      <c r="CSG7" s="2"/>
      <c r="CSH7" s="2"/>
      <c r="CSI7" s="2"/>
      <c r="CSJ7" s="2"/>
      <c r="CSK7" s="2"/>
      <c r="CSL7" s="2"/>
      <c r="CSM7" s="2"/>
      <c r="CSN7" s="2"/>
      <c r="CSO7" s="2"/>
      <c r="CSP7" s="2"/>
      <c r="CSQ7" s="2"/>
      <c r="CSR7" s="2"/>
      <c r="CSS7" s="2"/>
      <c r="CST7" s="2"/>
      <c r="CSU7" s="2"/>
      <c r="CSV7" s="2"/>
      <c r="CSW7" s="2"/>
      <c r="CSX7" s="2"/>
      <c r="CSY7" s="2"/>
      <c r="CSZ7" s="2"/>
      <c r="CTA7" s="2"/>
      <c r="CTB7" s="2"/>
      <c r="CTC7" s="2"/>
      <c r="CTD7" s="2"/>
      <c r="CTE7" s="2"/>
      <c r="CTF7" s="2"/>
      <c r="CTG7" s="2"/>
      <c r="CTH7" s="2"/>
      <c r="CTI7" s="2"/>
      <c r="CTJ7" s="2"/>
      <c r="CTK7" s="2"/>
      <c r="CTL7" s="2"/>
      <c r="CTM7" s="2"/>
      <c r="CTN7" s="2"/>
      <c r="CTO7" s="2"/>
      <c r="CTP7" s="2"/>
      <c r="CTQ7" s="2"/>
      <c r="CTR7" s="2"/>
      <c r="CTS7" s="2"/>
      <c r="CTT7" s="2"/>
      <c r="CTU7" s="2"/>
      <c r="CTV7" s="2"/>
      <c r="CTW7" s="2"/>
      <c r="CTX7" s="2"/>
      <c r="CTY7" s="2"/>
      <c r="CTZ7" s="2"/>
      <c r="CUA7" s="2"/>
      <c r="CUB7" s="2"/>
      <c r="CUC7" s="2"/>
      <c r="CUD7" s="2"/>
      <c r="CUE7" s="2"/>
      <c r="CUF7" s="2"/>
      <c r="CUG7" s="2"/>
      <c r="CUH7" s="2"/>
      <c r="CUI7" s="2"/>
      <c r="CUJ7" s="2"/>
      <c r="CUK7" s="2"/>
      <c r="CUL7" s="2"/>
      <c r="CUM7" s="2"/>
      <c r="CUN7" s="2"/>
      <c r="CUO7" s="2"/>
      <c r="CUP7" s="2"/>
      <c r="CUQ7" s="2"/>
      <c r="CUR7" s="2"/>
      <c r="CUS7" s="2"/>
      <c r="CUT7" s="2"/>
      <c r="CUU7" s="2"/>
      <c r="CUV7" s="2"/>
      <c r="CUW7" s="2"/>
      <c r="CUX7" s="2"/>
      <c r="CUY7" s="2"/>
      <c r="CUZ7" s="2"/>
      <c r="CVA7" s="2"/>
      <c r="CVB7" s="2"/>
      <c r="CVC7" s="2"/>
      <c r="CVD7" s="2"/>
      <c r="CVE7" s="2"/>
      <c r="CVF7" s="2"/>
      <c r="CVG7" s="2"/>
      <c r="CVH7" s="2"/>
      <c r="CVI7" s="2"/>
      <c r="CVJ7" s="2"/>
      <c r="CVK7" s="2"/>
      <c r="CVL7" s="2"/>
      <c r="CVM7" s="2"/>
      <c r="CVN7" s="2"/>
      <c r="CVO7" s="2"/>
      <c r="CVP7" s="2"/>
      <c r="CVQ7" s="2"/>
      <c r="CVR7" s="2"/>
      <c r="CVS7" s="2"/>
      <c r="CVT7" s="2"/>
      <c r="CVU7" s="2"/>
      <c r="CVV7" s="2"/>
      <c r="CVW7" s="2"/>
      <c r="CVX7" s="2"/>
      <c r="CVY7" s="2"/>
      <c r="CVZ7" s="2"/>
      <c r="CWA7" s="2"/>
      <c r="CWB7" s="2"/>
      <c r="CWC7" s="2"/>
      <c r="CWD7" s="2"/>
      <c r="CWE7" s="2"/>
      <c r="CWF7" s="2"/>
      <c r="CWG7" s="2"/>
      <c r="CWH7" s="2"/>
      <c r="CWI7" s="2"/>
      <c r="CWJ7" s="2"/>
      <c r="CWK7" s="2"/>
      <c r="CWL7" s="2"/>
      <c r="CWM7" s="2"/>
      <c r="CWN7" s="2"/>
      <c r="CWO7" s="2"/>
      <c r="CWP7" s="2"/>
      <c r="CWQ7" s="2"/>
      <c r="CWR7" s="2"/>
      <c r="CWS7" s="2"/>
      <c r="CWT7" s="2"/>
      <c r="CWU7" s="2"/>
      <c r="CWV7" s="2"/>
      <c r="CWW7" s="2"/>
      <c r="CWX7" s="2"/>
      <c r="CWY7" s="2"/>
      <c r="CWZ7" s="2"/>
      <c r="CXA7" s="2"/>
      <c r="CXB7" s="2"/>
      <c r="CXC7" s="2"/>
      <c r="CXD7" s="2"/>
      <c r="CXE7" s="2"/>
      <c r="CXF7" s="2"/>
      <c r="CXG7" s="2"/>
      <c r="CXH7" s="2"/>
      <c r="CXI7" s="2"/>
      <c r="CXJ7" s="2"/>
      <c r="CXK7" s="2"/>
      <c r="CXL7" s="2"/>
      <c r="CXM7" s="2"/>
      <c r="CXN7" s="2"/>
      <c r="CXO7" s="2"/>
      <c r="CXP7" s="2"/>
      <c r="CXQ7" s="2"/>
      <c r="CXR7" s="2"/>
      <c r="CXS7" s="2"/>
      <c r="CXT7" s="2"/>
      <c r="CXU7" s="2"/>
      <c r="CXV7" s="2"/>
      <c r="CXW7" s="2"/>
      <c r="CXX7" s="2"/>
      <c r="CXY7" s="2"/>
      <c r="CXZ7" s="2"/>
      <c r="CYA7" s="2"/>
      <c r="CYB7" s="2"/>
      <c r="CYC7" s="2"/>
      <c r="CYD7" s="2"/>
      <c r="CYE7" s="2"/>
      <c r="CYF7" s="2"/>
      <c r="CYG7" s="2"/>
      <c r="CYH7" s="2"/>
      <c r="CYI7" s="2"/>
      <c r="CYJ7" s="2"/>
      <c r="CYK7" s="2"/>
      <c r="CYL7" s="2"/>
      <c r="CYM7" s="2"/>
      <c r="CYN7" s="2"/>
      <c r="CYO7" s="2"/>
      <c r="CYP7" s="2"/>
      <c r="CYQ7" s="2"/>
      <c r="CYR7" s="2"/>
      <c r="CYS7" s="2"/>
      <c r="CYT7" s="2"/>
      <c r="CYU7" s="2"/>
      <c r="CYV7" s="2"/>
      <c r="CYW7" s="2"/>
      <c r="CYX7" s="2"/>
      <c r="CYY7" s="2"/>
      <c r="CYZ7" s="2"/>
      <c r="CZA7" s="2"/>
      <c r="CZB7" s="2"/>
      <c r="CZC7" s="2"/>
      <c r="CZD7" s="2"/>
      <c r="CZE7" s="2"/>
      <c r="CZF7" s="2"/>
      <c r="CZG7" s="2"/>
      <c r="CZH7" s="2"/>
      <c r="CZI7" s="2"/>
      <c r="CZJ7" s="2"/>
      <c r="CZK7" s="2"/>
      <c r="CZL7" s="2"/>
      <c r="CZM7" s="2"/>
      <c r="CZN7" s="2"/>
      <c r="CZO7" s="2"/>
      <c r="CZP7" s="2"/>
      <c r="CZQ7" s="2"/>
      <c r="CZR7" s="2"/>
      <c r="CZS7" s="2"/>
      <c r="CZT7" s="2"/>
      <c r="CZU7" s="2"/>
      <c r="CZV7" s="2"/>
      <c r="CZW7" s="2"/>
      <c r="CZX7" s="2"/>
      <c r="CZY7" s="2"/>
      <c r="CZZ7" s="2"/>
      <c r="DAA7" s="2"/>
      <c r="DAB7" s="2"/>
      <c r="DAC7" s="2"/>
      <c r="DAD7" s="2"/>
      <c r="DAE7" s="2"/>
      <c r="DAF7" s="2"/>
      <c r="DAG7" s="2"/>
      <c r="DAH7" s="2"/>
      <c r="DAI7" s="2"/>
      <c r="DAJ7" s="2"/>
      <c r="DAK7" s="2"/>
      <c r="DAL7" s="2"/>
      <c r="DAM7" s="2"/>
      <c r="DAN7" s="2"/>
      <c r="DAO7" s="2"/>
      <c r="DAP7" s="2"/>
      <c r="DAQ7" s="2"/>
      <c r="DAR7" s="2"/>
      <c r="DAS7" s="2"/>
      <c r="DAT7" s="2"/>
      <c r="DAU7" s="2"/>
      <c r="DAV7" s="2"/>
      <c r="DAW7" s="2"/>
      <c r="DAX7" s="2"/>
      <c r="DAY7" s="2"/>
      <c r="DAZ7" s="2"/>
      <c r="DBA7" s="2"/>
      <c r="DBB7" s="2"/>
      <c r="DBC7" s="2"/>
      <c r="DBD7" s="2"/>
      <c r="DBE7" s="2"/>
      <c r="DBF7" s="2"/>
      <c r="DBG7" s="2"/>
      <c r="DBH7" s="2"/>
      <c r="DBI7" s="2"/>
      <c r="DBJ7" s="2"/>
      <c r="DBK7" s="2"/>
      <c r="DBL7" s="2"/>
      <c r="DBM7" s="2"/>
      <c r="DBN7" s="2"/>
      <c r="DBO7" s="2"/>
      <c r="DBP7" s="2"/>
      <c r="DBQ7" s="2"/>
      <c r="DBR7" s="2"/>
      <c r="DBS7" s="2"/>
      <c r="DBT7" s="2"/>
      <c r="DBU7" s="2"/>
      <c r="DBV7" s="2"/>
      <c r="DBW7" s="2"/>
      <c r="DBX7" s="2"/>
      <c r="DBY7" s="2"/>
      <c r="DBZ7" s="2"/>
      <c r="DCA7" s="2"/>
      <c r="DCB7" s="2"/>
      <c r="DCC7" s="2"/>
      <c r="DCD7" s="2"/>
      <c r="DCE7" s="2"/>
      <c r="DCF7" s="2"/>
      <c r="DCG7" s="2"/>
      <c r="DCH7" s="2"/>
      <c r="DCI7" s="2"/>
      <c r="DCJ7" s="2"/>
      <c r="DCK7" s="2"/>
      <c r="DCL7" s="2"/>
      <c r="DCM7" s="2"/>
      <c r="DCN7" s="2"/>
      <c r="DCO7" s="2"/>
      <c r="DCP7" s="2"/>
      <c r="DCQ7" s="2"/>
      <c r="DCR7" s="2"/>
      <c r="DCS7" s="2"/>
      <c r="DCT7" s="2"/>
      <c r="DCU7" s="2"/>
      <c r="DCV7" s="2"/>
      <c r="DCW7" s="2"/>
      <c r="DCX7" s="2"/>
      <c r="DCY7" s="2"/>
      <c r="DCZ7" s="2"/>
      <c r="DDA7" s="2"/>
      <c r="DDB7" s="2"/>
      <c r="DDC7" s="2"/>
      <c r="DDD7" s="2"/>
      <c r="DDE7" s="2"/>
      <c r="DDF7" s="2"/>
      <c r="DDG7" s="2"/>
      <c r="DDH7" s="2"/>
      <c r="DDI7" s="2"/>
      <c r="DDJ7" s="2"/>
      <c r="DDK7" s="2"/>
      <c r="DDL7" s="2"/>
      <c r="DDM7" s="2"/>
      <c r="DDN7" s="2"/>
      <c r="DDO7" s="2"/>
      <c r="DDP7" s="2"/>
      <c r="DDQ7" s="2"/>
      <c r="DDR7" s="2"/>
      <c r="DDS7" s="2"/>
      <c r="DDT7" s="2"/>
      <c r="DDU7" s="2"/>
      <c r="DDV7" s="2"/>
      <c r="DDW7" s="2"/>
      <c r="DDX7" s="2"/>
      <c r="DDY7" s="2"/>
      <c r="DDZ7" s="2"/>
      <c r="DEA7" s="2"/>
      <c r="DEB7" s="2"/>
      <c r="DEC7" s="2"/>
      <c r="DED7" s="2"/>
      <c r="DEE7" s="2"/>
      <c r="DEF7" s="2"/>
      <c r="DEG7" s="2"/>
      <c r="DEH7" s="2"/>
      <c r="DEI7" s="2"/>
      <c r="DEJ7" s="2"/>
      <c r="DEK7" s="2"/>
      <c r="DEL7" s="2"/>
      <c r="DEM7" s="2"/>
      <c r="DEN7" s="2"/>
      <c r="DEO7" s="2"/>
      <c r="DEP7" s="2"/>
      <c r="DEQ7" s="2"/>
      <c r="DER7" s="2"/>
      <c r="DES7" s="2"/>
      <c r="DET7" s="2"/>
      <c r="DEU7" s="2"/>
      <c r="DEV7" s="2"/>
      <c r="DEW7" s="2"/>
      <c r="DEX7" s="2"/>
      <c r="DEY7" s="2"/>
      <c r="DEZ7" s="2"/>
      <c r="DFA7" s="2"/>
      <c r="DFB7" s="2"/>
      <c r="DFC7" s="2"/>
      <c r="DFD7" s="2"/>
      <c r="DFE7" s="2"/>
      <c r="DFF7" s="2"/>
      <c r="DFG7" s="2"/>
      <c r="DFH7" s="2"/>
      <c r="DFI7" s="2"/>
      <c r="DFJ7" s="2"/>
      <c r="DFK7" s="2"/>
      <c r="DFL7" s="2"/>
      <c r="DFM7" s="2"/>
      <c r="DFN7" s="2"/>
      <c r="DFO7" s="2"/>
      <c r="DFP7" s="2"/>
      <c r="DFQ7" s="2"/>
      <c r="DFR7" s="2"/>
      <c r="DFS7" s="2"/>
      <c r="DFT7" s="2"/>
      <c r="DFU7" s="2"/>
      <c r="DFV7" s="2"/>
      <c r="DFW7" s="2"/>
      <c r="DFX7" s="2"/>
      <c r="DFY7" s="2"/>
      <c r="DFZ7" s="2"/>
      <c r="DGA7" s="2"/>
      <c r="DGB7" s="2"/>
      <c r="DGC7" s="2"/>
      <c r="DGD7" s="2"/>
      <c r="DGE7" s="2"/>
      <c r="DGF7" s="2"/>
      <c r="DGG7" s="2"/>
      <c r="DGH7" s="2"/>
      <c r="DGI7" s="2"/>
      <c r="DGJ7" s="2"/>
      <c r="DGK7" s="2"/>
      <c r="DGL7" s="2"/>
      <c r="DGM7" s="2"/>
      <c r="DGN7" s="2"/>
      <c r="DGO7" s="2"/>
      <c r="DGP7" s="2"/>
      <c r="DGQ7" s="2"/>
      <c r="DGR7" s="2"/>
      <c r="DGS7" s="2"/>
      <c r="DGT7" s="2"/>
      <c r="DGU7" s="2"/>
      <c r="DGV7" s="2"/>
      <c r="DGW7" s="2"/>
      <c r="DGX7" s="2"/>
      <c r="DGY7" s="2"/>
      <c r="DGZ7" s="2"/>
      <c r="DHA7" s="2"/>
      <c r="DHB7" s="2"/>
      <c r="DHC7" s="2"/>
      <c r="DHD7" s="2"/>
      <c r="DHE7" s="2"/>
      <c r="DHF7" s="2"/>
      <c r="DHG7" s="2"/>
      <c r="DHH7" s="2"/>
      <c r="DHI7" s="2"/>
      <c r="DHJ7" s="2"/>
      <c r="DHK7" s="2"/>
      <c r="DHL7" s="2"/>
      <c r="DHM7" s="2"/>
      <c r="DHN7" s="2"/>
      <c r="DHO7" s="2"/>
      <c r="DHP7" s="2"/>
      <c r="DHQ7" s="2"/>
      <c r="DHR7" s="2"/>
      <c r="DHS7" s="2"/>
      <c r="DHT7" s="2"/>
      <c r="DHU7" s="2"/>
      <c r="DHV7" s="2"/>
      <c r="DHW7" s="2"/>
      <c r="DHX7" s="2"/>
      <c r="DHY7" s="2"/>
      <c r="DHZ7" s="2"/>
      <c r="DIA7" s="2"/>
      <c r="DIB7" s="2"/>
      <c r="DIC7" s="2"/>
      <c r="DID7" s="2"/>
      <c r="DIE7" s="2"/>
      <c r="DIF7" s="2"/>
      <c r="DIG7" s="2"/>
      <c r="DIH7" s="2"/>
      <c r="DII7" s="2"/>
      <c r="DIJ7" s="2"/>
      <c r="DIK7" s="2"/>
      <c r="DIL7" s="2"/>
      <c r="DIM7" s="2"/>
      <c r="DIN7" s="2"/>
      <c r="DIO7" s="2"/>
      <c r="DIP7" s="2"/>
      <c r="DIQ7" s="2"/>
      <c r="DIR7" s="2"/>
      <c r="DIS7" s="2"/>
      <c r="DIT7" s="2"/>
      <c r="DIU7" s="2"/>
      <c r="DIV7" s="2"/>
      <c r="DIW7" s="2"/>
      <c r="DIX7" s="2"/>
      <c r="DIY7" s="2"/>
      <c r="DIZ7" s="2"/>
      <c r="DJA7" s="2"/>
      <c r="DJB7" s="2"/>
      <c r="DJC7" s="2"/>
      <c r="DJD7" s="2"/>
      <c r="DJE7" s="2"/>
      <c r="DJF7" s="2"/>
      <c r="DJG7" s="2"/>
      <c r="DJH7" s="2"/>
      <c r="DJI7" s="2"/>
      <c r="DJJ7" s="2"/>
      <c r="DJK7" s="2"/>
      <c r="DJL7" s="2"/>
      <c r="DJM7" s="2"/>
      <c r="DJN7" s="2"/>
      <c r="DJO7" s="2"/>
      <c r="DJP7" s="2"/>
      <c r="DJQ7" s="2"/>
      <c r="DJR7" s="2"/>
      <c r="DJS7" s="2"/>
      <c r="DJT7" s="2"/>
      <c r="DJU7" s="2"/>
      <c r="DJV7" s="2"/>
      <c r="DJW7" s="2"/>
      <c r="DJX7" s="2"/>
      <c r="DJY7" s="2"/>
      <c r="DJZ7" s="2"/>
      <c r="DKA7" s="2"/>
      <c r="DKB7" s="2"/>
      <c r="DKC7" s="2"/>
      <c r="DKD7" s="2"/>
      <c r="DKE7" s="2"/>
      <c r="DKF7" s="2"/>
      <c r="DKG7" s="2"/>
      <c r="DKH7" s="2"/>
      <c r="DKI7" s="2"/>
      <c r="DKJ7" s="2"/>
      <c r="DKK7" s="2"/>
      <c r="DKL7" s="2"/>
      <c r="DKM7" s="2"/>
      <c r="DKN7" s="2"/>
      <c r="DKO7" s="2"/>
      <c r="DKP7" s="2"/>
      <c r="DKQ7" s="2"/>
      <c r="DKR7" s="2"/>
      <c r="DKS7" s="2"/>
      <c r="DKT7" s="2"/>
      <c r="DKU7" s="2"/>
      <c r="DKV7" s="2"/>
      <c r="DKW7" s="2"/>
      <c r="DKX7" s="2"/>
      <c r="DKY7" s="2"/>
      <c r="DKZ7" s="2"/>
      <c r="DLA7" s="2"/>
      <c r="DLB7" s="2"/>
      <c r="DLC7" s="2"/>
      <c r="DLD7" s="2"/>
      <c r="DLE7" s="2"/>
      <c r="DLF7" s="2"/>
      <c r="DLG7" s="2"/>
      <c r="DLH7" s="2"/>
      <c r="DLI7" s="2"/>
      <c r="DLJ7" s="2"/>
      <c r="DLK7" s="2"/>
      <c r="DLL7" s="2"/>
      <c r="DLM7" s="2"/>
      <c r="DLN7" s="2"/>
      <c r="DLO7" s="2"/>
      <c r="DLP7" s="2"/>
      <c r="DLQ7" s="2"/>
      <c r="DLR7" s="2"/>
      <c r="DLS7" s="2"/>
      <c r="DLT7" s="2"/>
      <c r="DLU7" s="2"/>
      <c r="DLV7" s="2"/>
      <c r="DLW7" s="2"/>
      <c r="DLX7" s="2"/>
      <c r="DLY7" s="2"/>
      <c r="DLZ7" s="2"/>
      <c r="DMA7" s="2"/>
      <c r="DMB7" s="2"/>
      <c r="DMC7" s="2"/>
      <c r="DMD7" s="2"/>
      <c r="DME7" s="2"/>
      <c r="DMF7" s="2"/>
      <c r="DMG7" s="2"/>
      <c r="DMH7" s="2"/>
      <c r="DMI7" s="2"/>
      <c r="DMJ7" s="2"/>
      <c r="DMK7" s="2"/>
      <c r="DML7" s="2"/>
      <c r="DMM7" s="2"/>
      <c r="DMN7" s="2"/>
      <c r="DMO7" s="2"/>
      <c r="DMP7" s="2"/>
      <c r="DMQ7" s="2"/>
      <c r="DMR7" s="2"/>
      <c r="DMS7" s="2"/>
      <c r="DMT7" s="2"/>
      <c r="DMU7" s="2"/>
      <c r="DMV7" s="2"/>
      <c r="DMW7" s="2"/>
      <c r="DMX7" s="2"/>
      <c r="DMY7" s="2"/>
      <c r="DMZ7" s="2"/>
      <c r="DNA7" s="2"/>
      <c r="DNB7" s="2"/>
      <c r="DNC7" s="2"/>
      <c r="DND7" s="2"/>
      <c r="DNE7" s="2"/>
      <c r="DNF7" s="2"/>
      <c r="DNG7" s="2"/>
      <c r="DNH7" s="2"/>
      <c r="DNI7" s="2"/>
      <c r="DNJ7" s="2"/>
      <c r="DNK7" s="2"/>
      <c r="DNL7" s="2"/>
      <c r="DNM7" s="2"/>
      <c r="DNN7" s="2"/>
      <c r="DNO7" s="2"/>
      <c r="DNP7" s="2"/>
      <c r="DNQ7" s="2"/>
      <c r="DNR7" s="2"/>
      <c r="DNS7" s="2"/>
      <c r="DNT7" s="2"/>
      <c r="DNU7" s="2"/>
      <c r="DNV7" s="2"/>
      <c r="DNW7" s="2"/>
      <c r="DNX7" s="2"/>
      <c r="DNY7" s="2"/>
      <c r="DNZ7" s="2"/>
      <c r="DOA7" s="2"/>
      <c r="DOB7" s="2"/>
      <c r="DOC7" s="2"/>
      <c r="DOD7" s="2"/>
      <c r="DOE7" s="2"/>
      <c r="DOF7" s="2"/>
      <c r="DOG7" s="2"/>
      <c r="DOH7" s="2"/>
      <c r="DOI7" s="2"/>
      <c r="DOJ7" s="2"/>
      <c r="DOK7" s="2"/>
      <c r="DOL7" s="2"/>
      <c r="DOM7" s="2"/>
      <c r="DON7" s="2"/>
      <c r="DOO7" s="2"/>
      <c r="DOP7" s="2"/>
      <c r="DOQ7" s="2"/>
      <c r="DOR7" s="2"/>
      <c r="DOS7" s="2"/>
      <c r="DOT7" s="2"/>
      <c r="DOU7" s="2"/>
      <c r="DOV7" s="2"/>
      <c r="DOW7" s="2"/>
      <c r="DOX7" s="2"/>
      <c r="DOY7" s="2"/>
      <c r="DOZ7" s="2"/>
      <c r="DPA7" s="2"/>
      <c r="DPB7" s="2"/>
      <c r="DPC7" s="2"/>
      <c r="DPD7" s="2"/>
      <c r="DPE7" s="2"/>
      <c r="DPF7" s="2"/>
      <c r="DPG7" s="2"/>
      <c r="DPH7" s="2"/>
      <c r="DPI7" s="2"/>
      <c r="DPJ7" s="2"/>
      <c r="DPK7" s="2"/>
      <c r="DPL7" s="2"/>
      <c r="DPM7" s="2"/>
      <c r="DPN7" s="2"/>
      <c r="DPO7" s="2"/>
      <c r="DPP7" s="2"/>
      <c r="DPQ7" s="2"/>
      <c r="DPR7" s="2"/>
      <c r="DPS7" s="2"/>
      <c r="DPT7" s="2"/>
      <c r="DPU7" s="2"/>
      <c r="DPV7" s="2"/>
      <c r="DPW7" s="2"/>
      <c r="DPX7" s="2"/>
      <c r="DPY7" s="2"/>
      <c r="DPZ7" s="2"/>
      <c r="DQA7" s="2"/>
      <c r="DQB7" s="2"/>
      <c r="DQC7" s="2"/>
      <c r="DQD7" s="2"/>
      <c r="DQE7" s="2"/>
      <c r="DQF7" s="2"/>
      <c r="DQG7" s="2"/>
      <c r="DQH7" s="2"/>
      <c r="DQI7" s="2"/>
      <c r="DQJ7" s="2"/>
      <c r="DQK7" s="2"/>
      <c r="DQL7" s="2"/>
      <c r="DQM7" s="2"/>
      <c r="DQN7" s="2"/>
      <c r="DQO7" s="2"/>
      <c r="DQP7" s="2"/>
      <c r="DQQ7" s="2"/>
      <c r="DQR7" s="2"/>
      <c r="DQS7" s="2"/>
      <c r="DQT7" s="2"/>
      <c r="DQU7" s="2"/>
      <c r="DQV7" s="2"/>
      <c r="DQW7" s="2"/>
      <c r="DQX7" s="2"/>
      <c r="DQY7" s="2"/>
      <c r="DQZ7" s="2"/>
      <c r="DRA7" s="2"/>
      <c r="DRB7" s="2"/>
      <c r="DRC7" s="2"/>
      <c r="DRD7" s="2"/>
      <c r="DRE7" s="2"/>
      <c r="DRF7" s="2"/>
      <c r="DRG7" s="2"/>
      <c r="DRH7" s="2"/>
      <c r="DRI7" s="2"/>
      <c r="DRJ7" s="2"/>
      <c r="DRK7" s="2"/>
      <c r="DRL7" s="2"/>
      <c r="DRM7" s="2"/>
      <c r="DRN7" s="2"/>
      <c r="DRO7" s="2"/>
      <c r="DRP7" s="2"/>
      <c r="DRQ7" s="2"/>
      <c r="DRR7" s="2"/>
      <c r="DRS7" s="2"/>
      <c r="DRT7" s="2"/>
      <c r="DRU7" s="2"/>
      <c r="DRV7" s="2"/>
      <c r="DRW7" s="2"/>
      <c r="DRX7" s="2"/>
      <c r="DRY7" s="2"/>
      <c r="DRZ7" s="2"/>
      <c r="DSA7" s="2"/>
      <c r="DSB7" s="2"/>
      <c r="DSC7" s="2"/>
      <c r="DSD7" s="2"/>
      <c r="DSE7" s="2"/>
      <c r="DSF7" s="2"/>
      <c r="DSG7" s="2"/>
      <c r="DSH7" s="2"/>
      <c r="DSI7" s="2"/>
      <c r="DSJ7" s="2"/>
      <c r="DSK7" s="2"/>
      <c r="DSL7" s="2"/>
      <c r="DSM7" s="2"/>
      <c r="DSN7" s="2"/>
      <c r="DSO7" s="2"/>
      <c r="DSP7" s="2"/>
      <c r="DSQ7" s="2"/>
      <c r="DSR7" s="2"/>
      <c r="DSS7" s="2"/>
      <c r="DST7" s="2"/>
      <c r="DSU7" s="2"/>
      <c r="DSV7" s="2"/>
      <c r="DSW7" s="2"/>
      <c r="DSX7" s="2"/>
      <c r="DSY7" s="2"/>
      <c r="DSZ7" s="2"/>
      <c r="DTA7" s="2"/>
      <c r="DTB7" s="2"/>
      <c r="DTC7" s="2"/>
      <c r="DTD7" s="2"/>
      <c r="DTE7" s="2"/>
      <c r="DTF7" s="2"/>
      <c r="DTG7" s="2"/>
      <c r="DTH7" s="2"/>
      <c r="DTI7" s="2"/>
      <c r="DTJ7" s="2"/>
      <c r="DTK7" s="2"/>
      <c r="DTL7" s="2"/>
      <c r="DTM7" s="2"/>
      <c r="DTN7" s="2"/>
      <c r="DTO7" s="2"/>
      <c r="DTP7" s="2"/>
      <c r="DTQ7" s="2"/>
      <c r="DTR7" s="2"/>
      <c r="DTS7" s="2"/>
      <c r="DTT7" s="2"/>
      <c r="DTU7" s="2"/>
      <c r="DTV7" s="2"/>
      <c r="DTW7" s="2"/>
      <c r="DTX7" s="2"/>
      <c r="DTY7" s="2"/>
      <c r="DTZ7" s="2"/>
      <c r="DUA7" s="2"/>
      <c r="DUB7" s="2"/>
      <c r="DUC7" s="2"/>
      <c r="DUD7" s="2"/>
      <c r="DUE7" s="2"/>
      <c r="DUF7" s="2"/>
      <c r="DUG7" s="2"/>
      <c r="DUH7" s="2"/>
      <c r="DUI7" s="2"/>
      <c r="DUJ7" s="2"/>
      <c r="DUK7" s="2"/>
      <c r="DUL7" s="2"/>
      <c r="DUM7" s="2"/>
      <c r="DUN7" s="2"/>
      <c r="DUO7" s="2"/>
      <c r="DUP7" s="2"/>
      <c r="DUQ7" s="2"/>
      <c r="DUR7" s="2"/>
      <c r="DUS7" s="2"/>
      <c r="DUT7" s="2"/>
      <c r="DUU7" s="2"/>
      <c r="DUV7" s="2"/>
      <c r="DUW7" s="2"/>
      <c r="DUX7" s="2"/>
      <c r="DUY7" s="2"/>
      <c r="DUZ7" s="2"/>
      <c r="DVA7" s="2"/>
      <c r="DVB7" s="2"/>
      <c r="DVC7" s="2"/>
      <c r="DVD7" s="2"/>
      <c r="DVE7" s="2"/>
      <c r="DVF7" s="2"/>
      <c r="DVG7" s="2"/>
      <c r="DVH7" s="2"/>
      <c r="DVI7" s="2"/>
      <c r="DVJ7" s="2"/>
      <c r="DVK7" s="2"/>
      <c r="DVL7" s="2"/>
      <c r="DVM7" s="2"/>
      <c r="DVN7" s="2"/>
      <c r="DVO7" s="2"/>
      <c r="DVP7" s="2"/>
      <c r="DVQ7" s="2"/>
      <c r="DVR7" s="2"/>
      <c r="DVS7" s="2"/>
      <c r="DVT7" s="2"/>
      <c r="DVU7" s="2"/>
      <c r="DVV7" s="2"/>
      <c r="DVW7" s="2"/>
      <c r="DVX7" s="2"/>
      <c r="DVY7" s="2"/>
      <c r="DVZ7" s="2"/>
      <c r="DWA7" s="2"/>
      <c r="DWB7" s="2"/>
      <c r="DWC7" s="2"/>
      <c r="DWD7" s="2"/>
      <c r="DWE7" s="2"/>
      <c r="DWF7" s="2"/>
      <c r="DWG7" s="2"/>
      <c r="DWH7" s="2"/>
      <c r="DWI7" s="2"/>
      <c r="DWJ7" s="2"/>
      <c r="DWK7" s="2"/>
      <c r="DWL7" s="2"/>
      <c r="DWM7" s="2"/>
      <c r="DWN7" s="2"/>
      <c r="DWO7" s="2"/>
      <c r="DWP7" s="2"/>
      <c r="DWQ7" s="2"/>
      <c r="DWR7" s="2"/>
      <c r="DWS7" s="2"/>
      <c r="DWT7" s="2"/>
      <c r="DWU7" s="2"/>
      <c r="DWV7" s="2"/>
      <c r="DWW7" s="2"/>
      <c r="DWX7" s="2"/>
      <c r="DWY7" s="2"/>
      <c r="DWZ7" s="2"/>
      <c r="DXA7" s="2"/>
      <c r="DXB7" s="2"/>
      <c r="DXC7" s="2"/>
      <c r="DXD7" s="2"/>
      <c r="DXE7" s="2"/>
      <c r="DXF7" s="2"/>
      <c r="DXG7" s="2"/>
      <c r="DXH7" s="2"/>
      <c r="DXI7" s="2"/>
      <c r="DXJ7" s="2"/>
      <c r="DXK7" s="2"/>
      <c r="DXL7" s="2"/>
      <c r="DXM7" s="2"/>
      <c r="DXN7" s="2"/>
      <c r="DXO7" s="2"/>
      <c r="DXP7" s="2"/>
      <c r="DXQ7" s="2"/>
      <c r="DXR7" s="2"/>
      <c r="DXS7" s="2"/>
      <c r="DXT7" s="2"/>
      <c r="DXU7" s="2"/>
      <c r="DXV7" s="2"/>
      <c r="DXW7" s="2"/>
      <c r="DXX7" s="2"/>
      <c r="DXY7" s="2"/>
      <c r="DXZ7" s="2"/>
      <c r="DYA7" s="2"/>
      <c r="DYB7" s="2"/>
      <c r="DYC7" s="2"/>
      <c r="DYD7" s="2"/>
      <c r="DYE7" s="2"/>
      <c r="DYF7" s="2"/>
      <c r="DYG7" s="2"/>
      <c r="DYH7" s="2"/>
      <c r="DYI7" s="2"/>
      <c r="DYJ7" s="2"/>
      <c r="DYK7" s="2"/>
      <c r="DYL7" s="2"/>
      <c r="DYM7" s="2"/>
      <c r="DYN7" s="2"/>
      <c r="DYO7" s="2"/>
      <c r="DYP7" s="2"/>
      <c r="DYQ7" s="2"/>
      <c r="DYR7" s="2"/>
      <c r="DYS7" s="2"/>
      <c r="DYT7" s="2"/>
      <c r="DYU7" s="2"/>
      <c r="DYV7" s="2"/>
      <c r="DYW7" s="2"/>
      <c r="DYX7" s="2"/>
      <c r="DYY7" s="2"/>
      <c r="DYZ7" s="2"/>
      <c r="DZA7" s="2"/>
      <c r="DZB7" s="2"/>
      <c r="DZC7" s="2"/>
      <c r="DZD7" s="2"/>
      <c r="DZE7" s="2"/>
      <c r="DZF7" s="2"/>
      <c r="DZG7" s="2"/>
      <c r="DZH7" s="2"/>
      <c r="DZI7" s="2"/>
      <c r="DZJ7" s="2"/>
      <c r="DZK7" s="2"/>
      <c r="DZL7" s="2"/>
      <c r="DZM7" s="2"/>
      <c r="DZN7" s="2"/>
      <c r="DZO7" s="2"/>
      <c r="DZP7" s="2"/>
      <c r="DZQ7" s="2"/>
      <c r="DZR7" s="2"/>
      <c r="DZS7" s="2"/>
      <c r="DZT7" s="2"/>
      <c r="DZU7" s="2"/>
      <c r="DZV7" s="2"/>
      <c r="DZW7" s="2"/>
      <c r="DZX7" s="2"/>
      <c r="DZY7" s="2"/>
      <c r="DZZ7" s="2"/>
      <c r="EAA7" s="2"/>
      <c r="EAB7" s="2"/>
      <c r="EAC7" s="2"/>
      <c r="EAD7" s="2"/>
      <c r="EAE7" s="2"/>
      <c r="EAF7" s="2"/>
      <c r="EAG7" s="2"/>
      <c r="EAH7" s="2"/>
      <c r="EAI7" s="2"/>
      <c r="EAJ7" s="2"/>
      <c r="EAK7" s="2"/>
      <c r="EAL7" s="2"/>
      <c r="EAM7" s="2"/>
      <c r="EAN7" s="2"/>
      <c r="EAO7" s="2"/>
      <c r="EAP7" s="2"/>
      <c r="EAQ7" s="2"/>
      <c r="EAR7" s="2"/>
      <c r="EAS7" s="2"/>
      <c r="EAT7" s="2"/>
      <c r="EAU7" s="2"/>
      <c r="EAV7" s="2"/>
      <c r="EAW7" s="2"/>
      <c r="EAX7" s="2"/>
      <c r="EAY7" s="2"/>
      <c r="EAZ7" s="2"/>
      <c r="EBA7" s="2"/>
      <c r="EBB7" s="2"/>
      <c r="EBC7" s="2"/>
      <c r="EBD7" s="2"/>
      <c r="EBE7" s="2"/>
      <c r="EBF7" s="2"/>
      <c r="EBG7" s="2"/>
      <c r="EBH7" s="2"/>
      <c r="EBI7" s="2"/>
      <c r="EBJ7" s="2"/>
      <c r="EBK7" s="2"/>
      <c r="EBL7" s="2"/>
      <c r="EBM7" s="2"/>
      <c r="EBN7" s="2"/>
      <c r="EBO7" s="2"/>
      <c r="EBP7" s="2"/>
      <c r="EBQ7" s="2"/>
      <c r="EBR7" s="2"/>
      <c r="EBS7" s="2"/>
      <c r="EBT7" s="2"/>
      <c r="EBU7" s="2"/>
      <c r="EBV7" s="2"/>
      <c r="EBW7" s="2"/>
      <c r="EBX7" s="2"/>
      <c r="EBY7" s="2"/>
      <c r="EBZ7" s="2"/>
      <c r="ECA7" s="2"/>
      <c r="ECB7" s="2"/>
      <c r="ECC7" s="2"/>
      <c r="ECD7" s="2"/>
      <c r="ECE7" s="2"/>
      <c r="ECF7" s="2"/>
      <c r="ECG7" s="2"/>
      <c r="ECH7" s="2"/>
      <c r="ECI7" s="2"/>
      <c r="ECJ7" s="2"/>
      <c r="ECK7" s="2"/>
      <c r="ECL7" s="2"/>
      <c r="ECM7" s="2"/>
      <c r="ECN7" s="2"/>
      <c r="ECO7" s="2"/>
      <c r="ECP7" s="2"/>
      <c r="ECQ7" s="2"/>
      <c r="ECR7" s="2"/>
      <c r="ECS7" s="2"/>
      <c r="ECT7" s="2"/>
      <c r="ECU7" s="2"/>
      <c r="ECV7" s="2"/>
      <c r="ECW7" s="2"/>
      <c r="ECX7" s="2"/>
      <c r="ECY7" s="2"/>
      <c r="ECZ7" s="2"/>
      <c r="EDA7" s="2"/>
      <c r="EDB7" s="2"/>
      <c r="EDC7" s="2"/>
      <c r="EDD7" s="2"/>
      <c r="EDE7" s="2"/>
      <c r="EDF7" s="2"/>
      <c r="EDG7" s="2"/>
      <c r="EDH7" s="2"/>
      <c r="EDI7" s="2"/>
      <c r="EDJ7" s="2"/>
      <c r="EDK7" s="2"/>
      <c r="EDL7" s="2"/>
      <c r="EDM7" s="2"/>
      <c r="EDN7" s="2"/>
      <c r="EDO7" s="2"/>
      <c r="EDP7" s="2"/>
      <c r="EDQ7" s="2"/>
      <c r="EDR7" s="2"/>
      <c r="EDS7" s="2"/>
      <c r="EDT7" s="2"/>
      <c r="EDU7" s="2"/>
      <c r="EDV7" s="2"/>
      <c r="EDW7" s="2"/>
      <c r="EDX7" s="2"/>
      <c r="EDY7" s="2"/>
      <c r="EDZ7" s="2"/>
      <c r="EEA7" s="2"/>
      <c r="EEB7" s="2"/>
      <c r="EEC7" s="2"/>
      <c r="EED7" s="2"/>
      <c r="EEE7" s="2"/>
      <c r="EEF7" s="2"/>
      <c r="EEG7" s="2"/>
      <c r="EEH7" s="2"/>
      <c r="EEI7" s="2"/>
      <c r="EEJ7" s="2"/>
      <c r="EEK7" s="2"/>
      <c r="EEL7" s="2"/>
      <c r="EEM7" s="2"/>
      <c r="EEN7" s="2"/>
      <c r="EEO7" s="2"/>
      <c r="EEP7" s="2"/>
      <c r="EEQ7" s="2"/>
      <c r="EER7" s="2"/>
      <c r="EES7" s="2"/>
      <c r="EET7" s="2"/>
      <c r="EEU7" s="2"/>
      <c r="EEV7" s="2"/>
      <c r="EEW7" s="2"/>
      <c r="EEX7" s="2"/>
      <c r="EEY7" s="2"/>
      <c r="EEZ7" s="2"/>
      <c r="EFA7" s="2"/>
      <c r="EFB7" s="2"/>
      <c r="EFC7" s="2"/>
      <c r="EFD7" s="2"/>
      <c r="EFE7" s="2"/>
      <c r="EFF7" s="2"/>
      <c r="EFG7" s="2"/>
      <c r="EFH7" s="2"/>
      <c r="EFI7" s="2"/>
      <c r="EFJ7" s="2"/>
      <c r="EFK7" s="2"/>
      <c r="EFL7" s="2"/>
      <c r="EFM7" s="2"/>
      <c r="EFN7" s="2"/>
      <c r="EFO7" s="2"/>
      <c r="EFP7" s="2"/>
      <c r="EFQ7" s="2"/>
      <c r="EFR7" s="2"/>
      <c r="EFS7" s="2"/>
      <c r="EFT7" s="2"/>
      <c r="EFU7" s="2"/>
      <c r="EFV7" s="2"/>
      <c r="EFW7" s="2"/>
      <c r="EFX7" s="2"/>
      <c r="EFY7" s="2"/>
      <c r="EFZ7" s="2"/>
      <c r="EGA7" s="2"/>
      <c r="EGB7" s="2"/>
      <c r="EGC7" s="2"/>
      <c r="EGD7" s="2"/>
      <c r="EGE7" s="2"/>
      <c r="EGF7" s="2"/>
      <c r="EGG7" s="2"/>
      <c r="EGH7" s="2"/>
      <c r="EGI7" s="2"/>
      <c r="EGJ7" s="2"/>
      <c r="EGK7" s="2"/>
      <c r="EGL7" s="2"/>
      <c r="EGM7" s="2"/>
      <c r="EGN7" s="2"/>
      <c r="EGO7" s="2"/>
      <c r="EGP7" s="2"/>
      <c r="EGQ7" s="2"/>
      <c r="EGR7" s="2"/>
      <c r="EGS7" s="2"/>
      <c r="EGT7" s="2"/>
      <c r="EGU7" s="2"/>
      <c r="EGV7" s="2"/>
      <c r="EGW7" s="2"/>
      <c r="EGX7" s="2"/>
      <c r="EGY7" s="2"/>
      <c r="EGZ7" s="2"/>
      <c r="EHA7" s="2"/>
      <c r="EHB7" s="2"/>
      <c r="EHC7" s="2"/>
      <c r="EHD7" s="2"/>
      <c r="EHE7" s="2"/>
      <c r="EHF7" s="2"/>
      <c r="EHG7" s="2"/>
      <c r="EHH7" s="2"/>
      <c r="EHI7" s="2"/>
      <c r="EHJ7" s="2"/>
      <c r="EHK7" s="2"/>
      <c r="EHL7" s="2"/>
      <c r="EHM7" s="2"/>
      <c r="EHN7" s="2"/>
      <c r="EHO7" s="2"/>
      <c r="EHP7" s="2"/>
      <c r="EHQ7" s="2"/>
      <c r="EHR7" s="2"/>
      <c r="EHS7" s="2"/>
      <c r="EHT7" s="2"/>
      <c r="EHU7" s="2"/>
      <c r="EHV7" s="2"/>
      <c r="EHW7" s="2"/>
      <c r="EHX7" s="2"/>
      <c r="EHY7" s="2"/>
      <c r="EHZ7" s="2"/>
      <c r="EIA7" s="2"/>
      <c r="EIB7" s="2"/>
      <c r="EIC7" s="2"/>
      <c r="EID7" s="2"/>
      <c r="EIE7" s="2"/>
      <c r="EIF7" s="2"/>
      <c r="EIG7" s="2"/>
      <c r="EIH7" s="2"/>
      <c r="EII7" s="2"/>
      <c r="EIJ7" s="2"/>
      <c r="EIK7" s="2"/>
      <c r="EIL7" s="2"/>
      <c r="EIM7" s="2"/>
      <c r="EIN7" s="2"/>
      <c r="EIO7" s="2"/>
      <c r="EIP7" s="2"/>
      <c r="EIQ7" s="2"/>
      <c r="EIR7" s="2"/>
      <c r="EIS7" s="2"/>
      <c r="EIT7" s="2"/>
      <c r="EIU7" s="2"/>
      <c r="EIV7" s="2"/>
      <c r="EIW7" s="2"/>
      <c r="EIX7" s="2"/>
      <c r="EIY7" s="2"/>
      <c r="EIZ7" s="2"/>
      <c r="EJA7" s="2"/>
      <c r="EJB7" s="2"/>
      <c r="EJC7" s="2"/>
      <c r="EJD7" s="2"/>
      <c r="EJE7" s="2"/>
      <c r="EJF7" s="2"/>
      <c r="EJG7" s="2"/>
      <c r="EJH7" s="2"/>
      <c r="EJI7" s="2"/>
      <c r="EJJ7" s="2"/>
      <c r="EJK7" s="2"/>
      <c r="EJL7" s="2"/>
      <c r="EJM7" s="2"/>
      <c r="EJN7" s="2"/>
      <c r="EJO7" s="2"/>
      <c r="EJP7" s="2"/>
      <c r="EJQ7" s="2"/>
      <c r="EJR7" s="2"/>
      <c r="EJS7" s="2"/>
      <c r="EJT7" s="2"/>
      <c r="EJU7" s="2"/>
      <c r="EJV7" s="2"/>
      <c r="EJW7" s="2"/>
      <c r="EJX7" s="2"/>
      <c r="EJY7" s="2"/>
      <c r="EJZ7" s="2"/>
      <c r="EKA7" s="2"/>
      <c r="EKB7" s="2"/>
      <c r="EKC7" s="2"/>
      <c r="EKD7" s="2"/>
      <c r="EKE7" s="2"/>
      <c r="EKF7" s="2"/>
      <c r="EKG7" s="2"/>
      <c r="EKH7" s="2"/>
      <c r="EKI7" s="2"/>
      <c r="EKJ7" s="2"/>
      <c r="EKK7" s="2"/>
      <c r="EKL7" s="2"/>
      <c r="EKM7" s="2"/>
      <c r="EKN7" s="2"/>
      <c r="EKO7" s="2"/>
      <c r="EKP7" s="2"/>
      <c r="EKQ7" s="2"/>
      <c r="EKR7" s="2"/>
      <c r="EKS7" s="2"/>
      <c r="EKT7" s="2"/>
      <c r="EKU7" s="2"/>
      <c r="EKV7" s="2"/>
      <c r="EKW7" s="2"/>
      <c r="EKX7" s="2"/>
      <c r="EKY7" s="2"/>
      <c r="EKZ7" s="2"/>
      <c r="ELA7" s="2"/>
      <c r="ELB7" s="2"/>
      <c r="ELC7" s="2"/>
      <c r="ELD7" s="2"/>
      <c r="ELE7" s="2"/>
      <c r="ELF7" s="2"/>
      <c r="ELG7" s="2"/>
      <c r="ELH7" s="2"/>
      <c r="ELI7" s="2"/>
      <c r="ELJ7" s="2"/>
      <c r="ELK7" s="2"/>
      <c r="ELL7" s="2"/>
      <c r="ELM7" s="2"/>
      <c r="ELN7" s="2"/>
      <c r="ELO7" s="2"/>
      <c r="ELP7" s="2"/>
      <c r="ELQ7" s="2"/>
      <c r="ELR7" s="2"/>
      <c r="ELS7" s="2"/>
      <c r="ELT7" s="2"/>
      <c r="ELU7" s="2"/>
      <c r="ELV7" s="2"/>
      <c r="ELW7" s="2"/>
      <c r="ELX7" s="2"/>
      <c r="ELY7" s="2"/>
      <c r="ELZ7" s="2"/>
      <c r="EMA7" s="2"/>
      <c r="EMB7" s="2"/>
      <c r="EMC7" s="2"/>
      <c r="EMD7" s="2"/>
      <c r="EME7" s="2"/>
      <c r="EMF7" s="2"/>
      <c r="EMG7" s="2"/>
      <c r="EMH7" s="2"/>
      <c r="EMI7" s="2"/>
      <c r="EMJ7" s="2"/>
      <c r="EMK7" s="2"/>
      <c r="EML7" s="2"/>
      <c r="EMM7" s="2"/>
      <c r="EMN7" s="2"/>
      <c r="EMO7" s="2"/>
      <c r="EMP7" s="2"/>
      <c r="EMQ7" s="2"/>
      <c r="EMR7" s="2"/>
      <c r="EMS7" s="2"/>
      <c r="EMT7" s="2"/>
      <c r="EMU7" s="2"/>
      <c r="EMV7" s="2"/>
      <c r="EMW7" s="2"/>
      <c r="EMX7" s="2"/>
      <c r="EMY7" s="2"/>
      <c r="EMZ7" s="2"/>
      <c r="ENA7" s="2"/>
      <c r="ENB7" s="2"/>
      <c r="ENC7" s="2"/>
      <c r="END7" s="2"/>
      <c r="ENE7" s="2"/>
      <c r="ENF7" s="2"/>
      <c r="ENG7" s="2"/>
      <c r="ENH7" s="2"/>
      <c r="ENI7" s="2"/>
      <c r="ENJ7" s="2"/>
      <c r="ENK7" s="2"/>
      <c r="ENL7" s="2"/>
      <c r="ENM7" s="2"/>
      <c r="ENN7" s="2"/>
      <c r="ENO7" s="2"/>
      <c r="ENP7" s="2"/>
      <c r="ENQ7" s="2"/>
      <c r="ENR7" s="2"/>
      <c r="ENS7" s="2"/>
      <c r="ENT7" s="2"/>
      <c r="ENU7" s="2"/>
      <c r="ENV7" s="2"/>
      <c r="ENW7" s="2"/>
      <c r="ENX7" s="2"/>
      <c r="ENY7" s="2"/>
      <c r="ENZ7" s="2"/>
      <c r="EOA7" s="2"/>
      <c r="EOB7" s="2"/>
      <c r="EOC7" s="2"/>
      <c r="EOD7" s="2"/>
      <c r="EOE7" s="2"/>
      <c r="EOF7" s="2"/>
      <c r="EOG7" s="2"/>
      <c r="EOH7" s="2"/>
      <c r="EOI7" s="2"/>
      <c r="EOJ7" s="2"/>
      <c r="EOK7" s="2"/>
      <c r="EOL7" s="2"/>
      <c r="EOM7" s="2"/>
      <c r="EON7" s="2"/>
      <c r="EOO7" s="2"/>
      <c r="EOP7" s="2"/>
      <c r="EOQ7" s="2"/>
      <c r="EOR7" s="2"/>
      <c r="EOS7" s="2"/>
      <c r="EOT7" s="2"/>
      <c r="EOU7" s="2"/>
      <c r="EOV7" s="2"/>
      <c r="EOW7" s="2"/>
      <c r="EOX7" s="2"/>
      <c r="EOY7" s="2"/>
      <c r="EOZ7" s="2"/>
      <c r="EPA7" s="2"/>
      <c r="EPB7" s="2"/>
      <c r="EPC7" s="2"/>
      <c r="EPD7" s="2"/>
      <c r="EPE7" s="2"/>
      <c r="EPF7" s="2"/>
      <c r="EPG7" s="2"/>
      <c r="EPH7" s="2"/>
      <c r="EPI7" s="2"/>
      <c r="EPJ7" s="2"/>
      <c r="EPK7" s="2"/>
      <c r="EPL7" s="2"/>
      <c r="EPM7" s="2"/>
      <c r="EPN7" s="2"/>
      <c r="EPO7" s="2"/>
      <c r="EPP7" s="2"/>
      <c r="EPQ7" s="2"/>
      <c r="EPR7" s="2"/>
      <c r="EPS7" s="2"/>
      <c r="EPT7" s="2"/>
      <c r="EPU7" s="2"/>
      <c r="EPV7" s="2"/>
      <c r="EPW7" s="2"/>
      <c r="EPX7" s="2"/>
      <c r="EPY7" s="2"/>
      <c r="EPZ7" s="2"/>
      <c r="EQA7" s="2"/>
      <c r="EQB7" s="2"/>
      <c r="EQC7" s="2"/>
      <c r="EQD7" s="2"/>
      <c r="EQE7" s="2"/>
      <c r="EQF7" s="2"/>
      <c r="EQG7" s="2"/>
      <c r="EQH7" s="2"/>
      <c r="EQI7" s="2"/>
      <c r="EQJ7" s="2"/>
      <c r="EQK7" s="2"/>
      <c r="EQL7" s="2"/>
      <c r="EQM7" s="2"/>
      <c r="EQN7" s="2"/>
      <c r="EQO7" s="2"/>
      <c r="EQP7" s="2"/>
      <c r="EQQ7" s="2"/>
      <c r="EQR7" s="2"/>
      <c r="EQS7" s="2"/>
      <c r="EQT7" s="2"/>
      <c r="EQU7" s="2"/>
      <c r="EQV7" s="2"/>
      <c r="EQW7" s="2"/>
      <c r="EQX7" s="2"/>
      <c r="EQY7" s="2"/>
      <c r="EQZ7" s="2"/>
      <c r="ERA7" s="2"/>
      <c r="ERB7" s="2"/>
      <c r="ERC7" s="2"/>
      <c r="ERD7" s="2"/>
      <c r="ERE7" s="2"/>
      <c r="ERF7" s="2"/>
      <c r="ERG7" s="2"/>
      <c r="ERH7" s="2"/>
      <c r="ERI7" s="2"/>
      <c r="ERJ7" s="2"/>
      <c r="ERK7" s="2"/>
      <c r="ERL7" s="2"/>
      <c r="ERM7" s="2"/>
      <c r="ERN7" s="2"/>
      <c r="ERO7" s="2"/>
      <c r="ERP7" s="2"/>
      <c r="ERQ7" s="2"/>
      <c r="ERR7" s="2"/>
      <c r="ERS7" s="2"/>
      <c r="ERT7" s="2"/>
      <c r="ERU7" s="2"/>
      <c r="ERV7" s="2"/>
      <c r="ERW7" s="2"/>
      <c r="ERX7" s="2"/>
      <c r="ERY7" s="2"/>
      <c r="ERZ7" s="2"/>
      <c r="ESA7" s="2"/>
      <c r="ESB7" s="2"/>
      <c r="ESC7" s="2"/>
      <c r="ESD7" s="2"/>
      <c r="ESE7" s="2"/>
      <c r="ESF7" s="2"/>
      <c r="ESG7" s="2"/>
      <c r="ESH7" s="2"/>
      <c r="ESI7" s="2"/>
      <c r="ESJ7" s="2"/>
      <c r="ESK7" s="2"/>
      <c r="ESL7" s="2"/>
      <c r="ESM7" s="2"/>
      <c r="ESN7" s="2"/>
      <c r="ESO7" s="2"/>
      <c r="ESP7" s="2"/>
      <c r="ESQ7" s="2"/>
      <c r="ESR7" s="2"/>
      <c r="ESS7" s="2"/>
      <c r="EST7" s="2"/>
      <c r="ESU7" s="2"/>
      <c r="ESV7" s="2"/>
      <c r="ESW7" s="2"/>
      <c r="ESX7" s="2"/>
      <c r="ESY7" s="2"/>
      <c r="ESZ7" s="2"/>
      <c r="ETA7" s="2"/>
      <c r="ETB7" s="2"/>
      <c r="ETC7" s="2"/>
      <c r="ETD7" s="2"/>
      <c r="ETE7" s="2"/>
      <c r="ETF7" s="2"/>
      <c r="ETG7" s="2"/>
      <c r="ETH7" s="2"/>
      <c r="ETI7" s="2"/>
      <c r="ETJ7" s="2"/>
      <c r="ETK7" s="2"/>
      <c r="ETL7" s="2"/>
      <c r="ETM7" s="2"/>
      <c r="ETN7" s="2"/>
      <c r="ETO7" s="2"/>
      <c r="ETP7" s="2"/>
      <c r="ETQ7" s="2"/>
      <c r="ETR7" s="2"/>
      <c r="ETS7" s="2"/>
      <c r="ETT7" s="2"/>
      <c r="ETU7" s="2"/>
      <c r="ETV7" s="2"/>
      <c r="ETW7" s="2"/>
      <c r="ETX7" s="2"/>
      <c r="ETY7" s="2"/>
      <c r="ETZ7" s="2"/>
      <c r="EUA7" s="2"/>
      <c r="EUB7" s="2"/>
      <c r="EUC7" s="2"/>
      <c r="EUD7" s="2"/>
      <c r="EUE7" s="2"/>
      <c r="EUF7" s="2"/>
      <c r="EUG7" s="2"/>
      <c r="EUH7" s="2"/>
      <c r="EUI7" s="2"/>
      <c r="EUJ7" s="2"/>
      <c r="EUK7" s="2"/>
      <c r="EUL7" s="2"/>
      <c r="EUM7" s="2"/>
      <c r="EUN7" s="2"/>
      <c r="EUO7" s="2"/>
      <c r="EUP7" s="2"/>
      <c r="EUQ7" s="2"/>
      <c r="EUR7" s="2"/>
      <c r="EUS7" s="2"/>
      <c r="EUT7" s="2"/>
      <c r="EUU7" s="2"/>
      <c r="EUV7" s="2"/>
      <c r="EUW7" s="2"/>
      <c r="EUX7" s="2"/>
      <c r="EUY7" s="2"/>
      <c r="EUZ7" s="2"/>
      <c r="EVA7" s="2"/>
      <c r="EVB7" s="2"/>
      <c r="EVC7" s="2"/>
      <c r="EVD7" s="2"/>
      <c r="EVE7" s="2"/>
      <c r="EVF7" s="2"/>
      <c r="EVG7" s="2"/>
      <c r="EVH7" s="2"/>
      <c r="EVI7" s="2"/>
      <c r="EVJ7" s="2"/>
      <c r="EVK7" s="2"/>
      <c r="EVL7" s="2"/>
      <c r="EVM7" s="2"/>
      <c r="EVN7" s="2"/>
      <c r="EVO7" s="2"/>
      <c r="EVP7" s="2"/>
      <c r="EVQ7" s="2"/>
      <c r="EVR7" s="2"/>
      <c r="EVS7" s="2"/>
      <c r="EVT7" s="2"/>
      <c r="EVU7" s="2"/>
      <c r="EVV7" s="2"/>
      <c r="EVW7" s="2"/>
      <c r="EVX7" s="2"/>
      <c r="EVY7" s="2"/>
      <c r="EVZ7" s="2"/>
      <c r="EWA7" s="2"/>
      <c r="EWB7" s="2"/>
      <c r="EWC7" s="2"/>
      <c r="EWD7" s="2"/>
      <c r="EWE7" s="2"/>
      <c r="EWF7" s="2"/>
      <c r="EWG7" s="2"/>
      <c r="EWH7" s="2"/>
      <c r="EWI7" s="2"/>
      <c r="EWJ7" s="2"/>
      <c r="EWK7" s="2"/>
      <c r="EWL7" s="2"/>
      <c r="EWM7" s="2"/>
      <c r="EWN7" s="2"/>
      <c r="EWO7" s="2"/>
      <c r="EWP7" s="2"/>
      <c r="EWQ7" s="2"/>
      <c r="EWR7" s="2"/>
      <c r="EWS7" s="2"/>
      <c r="EWT7" s="2"/>
      <c r="EWU7" s="2"/>
      <c r="EWV7" s="2"/>
      <c r="EWW7" s="2"/>
      <c r="EWX7" s="2"/>
      <c r="EWY7" s="2"/>
      <c r="EWZ7" s="2"/>
      <c r="EXA7" s="2"/>
      <c r="EXB7" s="2"/>
      <c r="EXC7" s="2"/>
      <c r="EXD7" s="2"/>
      <c r="EXE7" s="2"/>
      <c r="EXF7" s="2"/>
      <c r="EXG7" s="2"/>
      <c r="EXH7" s="2"/>
      <c r="EXI7" s="2"/>
      <c r="EXJ7" s="2"/>
      <c r="EXK7" s="2"/>
      <c r="EXL7" s="2"/>
      <c r="EXM7" s="2"/>
      <c r="EXN7" s="2"/>
      <c r="EXO7" s="2"/>
      <c r="EXP7" s="2"/>
      <c r="EXQ7" s="2"/>
      <c r="EXR7" s="2"/>
      <c r="EXS7" s="2"/>
      <c r="EXT7" s="2"/>
      <c r="EXU7" s="2"/>
      <c r="EXV7" s="2"/>
      <c r="EXW7" s="2"/>
      <c r="EXX7" s="2"/>
      <c r="EXY7" s="2"/>
      <c r="EXZ7" s="2"/>
      <c r="EYA7" s="2"/>
      <c r="EYB7" s="2"/>
      <c r="EYC7" s="2"/>
      <c r="EYD7" s="2"/>
      <c r="EYE7" s="2"/>
      <c r="EYF7" s="2"/>
      <c r="EYG7" s="2"/>
      <c r="EYH7" s="2"/>
      <c r="EYI7" s="2"/>
      <c r="EYJ7" s="2"/>
      <c r="EYK7" s="2"/>
      <c r="EYL7" s="2"/>
      <c r="EYM7" s="2"/>
      <c r="EYN7" s="2"/>
      <c r="EYO7" s="2"/>
      <c r="EYP7" s="2"/>
      <c r="EYQ7" s="2"/>
      <c r="EYR7" s="2"/>
      <c r="EYS7" s="2"/>
      <c r="EYT7" s="2"/>
      <c r="EYU7" s="2"/>
      <c r="EYV7" s="2"/>
      <c r="EYW7" s="2"/>
      <c r="EYX7" s="2"/>
      <c r="EYY7" s="2"/>
      <c r="EYZ7" s="2"/>
      <c r="EZA7" s="2"/>
      <c r="EZB7" s="2"/>
      <c r="EZC7" s="2"/>
      <c r="EZD7" s="2"/>
      <c r="EZE7" s="2"/>
      <c r="EZF7" s="2"/>
      <c r="EZG7" s="2"/>
      <c r="EZH7" s="2"/>
      <c r="EZI7" s="2"/>
      <c r="EZJ7" s="2"/>
      <c r="EZK7" s="2"/>
      <c r="EZL7" s="2"/>
      <c r="EZM7" s="2"/>
      <c r="EZN7" s="2"/>
      <c r="EZO7" s="2"/>
      <c r="EZP7" s="2"/>
      <c r="EZQ7" s="2"/>
      <c r="EZR7" s="2"/>
      <c r="EZS7" s="2"/>
      <c r="EZT7" s="2"/>
      <c r="EZU7" s="2"/>
      <c r="EZV7" s="2"/>
      <c r="EZW7" s="2"/>
      <c r="EZX7" s="2"/>
      <c r="EZY7" s="2"/>
      <c r="EZZ7" s="2"/>
      <c r="FAA7" s="2"/>
      <c r="FAB7" s="2"/>
      <c r="FAC7" s="2"/>
      <c r="FAD7" s="2"/>
      <c r="FAE7" s="2"/>
      <c r="FAF7" s="2"/>
      <c r="FAG7" s="2"/>
      <c r="FAH7" s="2"/>
      <c r="FAI7" s="2"/>
      <c r="FAJ7" s="2"/>
      <c r="FAK7" s="2"/>
      <c r="FAL7" s="2"/>
      <c r="FAM7" s="2"/>
      <c r="FAN7" s="2"/>
      <c r="FAO7" s="2"/>
      <c r="FAP7" s="2"/>
      <c r="FAQ7" s="2"/>
      <c r="FAR7" s="2"/>
      <c r="FAS7" s="2"/>
      <c r="FAT7" s="2"/>
      <c r="FAU7" s="2"/>
      <c r="FAV7" s="2"/>
      <c r="FAW7" s="2"/>
      <c r="FAX7" s="2"/>
      <c r="FAY7" s="2"/>
      <c r="FAZ7" s="2"/>
      <c r="FBA7" s="2"/>
      <c r="FBB7" s="2"/>
      <c r="FBC7" s="2"/>
      <c r="FBD7" s="2"/>
      <c r="FBE7" s="2"/>
      <c r="FBF7" s="2"/>
      <c r="FBG7" s="2"/>
      <c r="FBH7" s="2"/>
      <c r="FBI7" s="2"/>
      <c r="FBJ7" s="2"/>
      <c r="FBK7" s="2"/>
      <c r="FBL7" s="2"/>
      <c r="FBM7" s="2"/>
      <c r="FBN7" s="2"/>
      <c r="FBO7" s="2"/>
      <c r="FBP7" s="2"/>
      <c r="FBQ7" s="2"/>
      <c r="FBR7" s="2"/>
      <c r="FBS7" s="2"/>
      <c r="FBT7" s="2"/>
      <c r="FBU7" s="2"/>
      <c r="FBV7" s="2"/>
      <c r="FBW7" s="2"/>
      <c r="FBX7" s="2"/>
      <c r="FBY7" s="2"/>
      <c r="FBZ7" s="2"/>
      <c r="FCA7" s="2"/>
      <c r="FCB7" s="2"/>
      <c r="FCC7" s="2"/>
      <c r="FCD7" s="2"/>
      <c r="FCE7" s="2"/>
      <c r="FCF7" s="2"/>
      <c r="FCG7" s="2"/>
      <c r="FCH7" s="2"/>
      <c r="FCI7" s="2"/>
      <c r="FCJ7" s="2"/>
      <c r="FCK7" s="2"/>
      <c r="FCL7" s="2"/>
      <c r="FCM7" s="2"/>
      <c r="FCN7" s="2"/>
      <c r="FCO7" s="2"/>
      <c r="FCP7" s="2"/>
      <c r="FCQ7" s="2"/>
      <c r="FCR7" s="2"/>
      <c r="FCS7" s="2"/>
      <c r="FCT7" s="2"/>
      <c r="FCU7" s="2"/>
      <c r="FCV7" s="2"/>
      <c r="FCW7" s="2"/>
      <c r="FCX7" s="2"/>
      <c r="FCY7" s="2"/>
      <c r="FCZ7" s="2"/>
      <c r="FDA7" s="2"/>
      <c r="FDB7" s="2"/>
      <c r="FDC7" s="2"/>
      <c r="FDD7" s="2"/>
      <c r="FDE7" s="2"/>
      <c r="FDF7" s="2"/>
      <c r="FDG7" s="2"/>
      <c r="FDH7" s="2"/>
      <c r="FDI7" s="2"/>
      <c r="FDJ7" s="2"/>
      <c r="FDK7" s="2"/>
      <c r="FDL7" s="2"/>
      <c r="FDM7" s="2"/>
      <c r="FDN7" s="2"/>
      <c r="FDO7" s="2"/>
      <c r="FDP7" s="2"/>
      <c r="FDQ7" s="2"/>
      <c r="FDR7" s="2"/>
      <c r="FDS7" s="2"/>
      <c r="FDT7" s="2"/>
      <c r="FDU7" s="2"/>
      <c r="FDV7" s="2"/>
      <c r="FDW7" s="2"/>
      <c r="FDX7" s="2"/>
      <c r="FDY7" s="2"/>
      <c r="FDZ7" s="2"/>
      <c r="FEA7" s="2"/>
      <c r="FEB7" s="2"/>
      <c r="FEC7" s="2"/>
      <c r="FED7" s="2"/>
      <c r="FEE7" s="2"/>
      <c r="FEF7" s="2"/>
      <c r="FEG7" s="2"/>
      <c r="FEH7" s="2"/>
      <c r="FEI7" s="2"/>
      <c r="FEJ7" s="2"/>
      <c r="FEK7" s="2"/>
      <c r="FEL7" s="2"/>
      <c r="FEM7" s="2"/>
      <c r="FEN7" s="2"/>
      <c r="FEO7" s="2"/>
      <c r="FEP7" s="2"/>
      <c r="FEQ7" s="2"/>
      <c r="FER7" s="2"/>
      <c r="FES7" s="2"/>
      <c r="FET7" s="2"/>
      <c r="FEU7" s="2"/>
      <c r="FEV7" s="2"/>
      <c r="FEW7" s="2"/>
      <c r="FEX7" s="2"/>
      <c r="FEY7" s="2"/>
      <c r="FEZ7" s="2"/>
      <c r="FFA7" s="2"/>
      <c r="FFB7" s="2"/>
      <c r="FFC7" s="2"/>
      <c r="FFD7" s="2"/>
      <c r="FFE7" s="2"/>
      <c r="FFF7" s="2"/>
      <c r="FFG7" s="2"/>
      <c r="FFH7" s="2"/>
      <c r="FFI7" s="2"/>
      <c r="FFJ7" s="2"/>
      <c r="FFK7" s="2"/>
      <c r="FFL7" s="2"/>
      <c r="FFM7" s="2"/>
      <c r="FFN7" s="2"/>
      <c r="FFO7" s="2"/>
      <c r="FFP7" s="2"/>
      <c r="FFQ7" s="2"/>
      <c r="FFR7" s="2"/>
      <c r="FFS7" s="2"/>
      <c r="FFT7" s="2"/>
      <c r="FFU7" s="2"/>
      <c r="FFV7" s="2"/>
      <c r="FFW7" s="2"/>
      <c r="FFX7" s="2"/>
      <c r="FFY7" s="2"/>
      <c r="FFZ7" s="2"/>
      <c r="FGA7" s="2"/>
      <c r="FGB7" s="2"/>
      <c r="FGC7" s="2"/>
      <c r="FGD7" s="2"/>
      <c r="FGE7" s="2"/>
      <c r="FGF7" s="2"/>
      <c r="FGG7" s="2"/>
      <c r="FGH7" s="2"/>
      <c r="FGI7" s="2"/>
      <c r="FGJ7" s="2"/>
      <c r="FGK7" s="2"/>
      <c r="FGL7" s="2"/>
      <c r="FGM7" s="2"/>
      <c r="FGN7" s="2"/>
      <c r="FGO7" s="2"/>
      <c r="FGP7" s="2"/>
      <c r="FGQ7" s="2"/>
      <c r="FGR7" s="2"/>
      <c r="FGS7" s="2"/>
      <c r="FGT7" s="2"/>
      <c r="FGU7" s="2"/>
      <c r="FGV7" s="2"/>
      <c r="FGW7" s="2"/>
      <c r="FGX7" s="2"/>
      <c r="FGY7" s="2"/>
      <c r="FGZ7" s="2"/>
      <c r="FHA7" s="2"/>
      <c r="FHB7" s="2"/>
      <c r="FHC7" s="2"/>
      <c r="FHD7" s="2"/>
      <c r="FHE7" s="2"/>
      <c r="FHF7" s="2"/>
      <c r="FHG7" s="2"/>
      <c r="FHH7" s="2"/>
      <c r="FHI7" s="2"/>
      <c r="FHJ7" s="2"/>
      <c r="FHK7" s="2"/>
      <c r="FHL7" s="2"/>
      <c r="FHM7" s="2"/>
      <c r="FHN7" s="2"/>
      <c r="FHO7" s="2"/>
      <c r="FHP7" s="2"/>
      <c r="FHQ7" s="2"/>
      <c r="FHR7" s="2"/>
      <c r="FHS7" s="2"/>
      <c r="FHT7" s="2"/>
      <c r="FHU7" s="2"/>
      <c r="FHV7" s="2"/>
      <c r="FHW7" s="2"/>
      <c r="FHX7" s="2"/>
      <c r="FHY7" s="2"/>
      <c r="FHZ7" s="2"/>
      <c r="FIA7" s="2"/>
      <c r="FIB7" s="2"/>
      <c r="FIC7" s="2"/>
      <c r="FID7" s="2"/>
      <c r="FIE7" s="2"/>
      <c r="FIF7" s="2"/>
      <c r="FIG7" s="2"/>
      <c r="FIH7" s="2"/>
      <c r="FII7" s="2"/>
      <c r="FIJ7" s="2"/>
      <c r="FIK7" s="2"/>
      <c r="FIL7" s="2"/>
      <c r="FIM7" s="2"/>
      <c r="FIN7" s="2"/>
      <c r="FIO7" s="2"/>
      <c r="FIP7" s="2"/>
      <c r="FIQ7" s="2"/>
      <c r="FIR7" s="2"/>
      <c r="FIS7" s="2"/>
      <c r="FIT7" s="2"/>
      <c r="FIU7" s="2"/>
      <c r="FIV7" s="2"/>
      <c r="FIW7" s="2"/>
      <c r="FIX7" s="2"/>
      <c r="FIY7" s="2"/>
      <c r="FIZ7" s="2"/>
      <c r="FJA7" s="2"/>
      <c r="FJB7" s="2"/>
      <c r="FJC7" s="2"/>
      <c r="FJD7" s="2"/>
      <c r="FJE7" s="2"/>
      <c r="FJF7" s="2"/>
      <c r="FJG7" s="2"/>
      <c r="FJH7" s="2"/>
      <c r="FJI7" s="2"/>
      <c r="FJJ7" s="2"/>
      <c r="FJK7" s="2"/>
      <c r="FJL7" s="2"/>
      <c r="FJM7" s="2"/>
      <c r="FJN7" s="2"/>
      <c r="FJO7" s="2"/>
      <c r="FJP7" s="2"/>
      <c r="FJQ7" s="2"/>
      <c r="FJR7" s="2"/>
      <c r="FJS7" s="2"/>
      <c r="FJT7" s="2"/>
      <c r="FJU7" s="2"/>
      <c r="FJV7" s="2"/>
      <c r="FJW7" s="2"/>
      <c r="FJX7" s="2"/>
      <c r="FJY7" s="2"/>
      <c r="FJZ7" s="2"/>
      <c r="FKA7" s="2"/>
      <c r="FKB7" s="2"/>
      <c r="FKC7" s="2"/>
      <c r="FKD7" s="2"/>
      <c r="FKE7" s="2"/>
      <c r="FKF7" s="2"/>
      <c r="FKG7" s="2"/>
      <c r="FKH7" s="2"/>
      <c r="FKI7" s="2"/>
      <c r="FKJ7" s="2"/>
      <c r="FKK7" s="2"/>
      <c r="FKL7" s="2"/>
      <c r="FKM7" s="2"/>
      <c r="FKN7" s="2"/>
      <c r="FKO7" s="2"/>
      <c r="FKP7" s="2"/>
      <c r="FKQ7" s="2"/>
      <c r="FKR7" s="2"/>
      <c r="FKS7" s="2"/>
      <c r="FKT7" s="2"/>
      <c r="FKU7" s="2"/>
      <c r="FKV7" s="2"/>
      <c r="FKW7" s="2"/>
      <c r="FKX7" s="2"/>
      <c r="FKY7" s="2"/>
      <c r="FKZ7" s="2"/>
      <c r="FLA7" s="2"/>
      <c r="FLB7" s="2"/>
      <c r="FLC7" s="2"/>
      <c r="FLD7" s="2"/>
      <c r="FLE7" s="2"/>
      <c r="FLF7" s="2"/>
      <c r="FLG7" s="2"/>
      <c r="FLH7" s="2"/>
      <c r="FLI7" s="2"/>
      <c r="FLJ7" s="2"/>
      <c r="FLK7" s="2"/>
      <c r="FLL7" s="2"/>
      <c r="FLM7" s="2"/>
      <c r="FLN7" s="2"/>
      <c r="FLO7" s="2"/>
      <c r="FLP7" s="2"/>
      <c r="FLQ7" s="2"/>
      <c r="FLR7" s="2"/>
      <c r="FLS7" s="2"/>
      <c r="FLT7" s="2"/>
      <c r="FLU7" s="2"/>
      <c r="FLV7" s="2"/>
      <c r="FLW7" s="2"/>
      <c r="FLX7" s="2"/>
      <c r="FLY7" s="2"/>
      <c r="FLZ7" s="2"/>
      <c r="FMA7" s="2"/>
      <c r="FMB7" s="2"/>
      <c r="FMC7" s="2"/>
      <c r="FMD7" s="2"/>
      <c r="FME7" s="2"/>
      <c r="FMF7" s="2"/>
      <c r="FMG7" s="2"/>
      <c r="FMH7" s="2"/>
      <c r="FMI7" s="2"/>
      <c r="FMJ7" s="2"/>
      <c r="FMK7" s="2"/>
      <c r="FML7" s="2"/>
      <c r="FMM7" s="2"/>
      <c r="FMN7" s="2"/>
      <c r="FMO7" s="2"/>
      <c r="FMP7" s="2"/>
      <c r="FMQ7" s="2"/>
      <c r="FMR7" s="2"/>
      <c r="FMS7" s="2"/>
      <c r="FMT7" s="2"/>
      <c r="FMU7" s="2"/>
      <c r="FMV7" s="2"/>
      <c r="FMW7" s="2"/>
      <c r="FMX7" s="2"/>
      <c r="FMY7" s="2"/>
      <c r="FMZ7" s="2"/>
      <c r="FNA7" s="2"/>
      <c r="FNB7" s="2"/>
      <c r="FNC7" s="2"/>
      <c r="FND7" s="2"/>
      <c r="FNE7" s="2"/>
      <c r="FNF7" s="2"/>
      <c r="FNG7" s="2"/>
      <c r="FNH7" s="2"/>
      <c r="FNI7" s="2"/>
      <c r="FNJ7" s="2"/>
      <c r="FNK7" s="2"/>
      <c r="FNL7" s="2"/>
      <c r="FNM7" s="2"/>
      <c r="FNN7" s="2"/>
      <c r="FNO7" s="2"/>
      <c r="FNP7" s="2"/>
      <c r="FNQ7" s="2"/>
      <c r="FNR7" s="2"/>
      <c r="FNS7" s="2"/>
      <c r="FNT7" s="2"/>
      <c r="FNU7" s="2"/>
      <c r="FNV7" s="2"/>
      <c r="FNW7" s="2"/>
      <c r="FNX7" s="2"/>
      <c r="FNY7" s="2"/>
      <c r="FNZ7" s="2"/>
      <c r="FOA7" s="2"/>
      <c r="FOB7" s="2"/>
      <c r="FOC7" s="2"/>
      <c r="FOD7" s="2"/>
      <c r="FOE7" s="2"/>
      <c r="FOF7" s="2"/>
      <c r="FOG7" s="2"/>
      <c r="FOH7" s="2"/>
      <c r="FOI7" s="2"/>
      <c r="FOJ7" s="2"/>
      <c r="FOK7" s="2"/>
      <c r="FOL7" s="2"/>
      <c r="FOM7" s="2"/>
      <c r="FON7" s="2"/>
      <c r="FOO7" s="2"/>
      <c r="FOP7" s="2"/>
      <c r="FOQ7" s="2"/>
      <c r="FOR7" s="2"/>
      <c r="FOS7" s="2"/>
      <c r="FOT7" s="2"/>
      <c r="FOU7" s="2"/>
      <c r="FOV7" s="2"/>
      <c r="FOW7" s="2"/>
      <c r="FOX7" s="2"/>
      <c r="FOY7" s="2"/>
      <c r="FOZ7" s="2"/>
      <c r="FPA7" s="2"/>
      <c r="FPB7" s="2"/>
      <c r="FPC7" s="2"/>
      <c r="FPD7" s="2"/>
      <c r="FPE7" s="2"/>
      <c r="FPF7" s="2"/>
      <c r="FPG7" s="2"/>
      <c r="FPH7" s="2"/>
      <c r="FPI7" s="2"/>
      <c r="FPJ7" s="2"/>
      <c r="FPK7" s="2"/>
      <c r="FPL7" s="2"/>
      <c r="FPM7" s="2"/>
      <c r="FPN7" s="2"/>
      <c r="FPO7" s="2"/>
      <c r="FPP7" s="2"/>
      <c r="FPQ7" s="2"/>
      <c r="FPR7" s="2"/>
      <c r="FPS7" s="2"/>
      <c r="FPT7" s="2"/>
      <c r="FPU7" s="2"/>
      <c r="FPV7" s="2"/>
      <c r="FPW7" s="2"/>
      <c r="FPX7" s="2"/>
      <c r="FPY7" s="2"/>
      <c r="FPZ7" s="2"/>
      <c r="FQA7" s="2"/>
      <c r="FQB7" s="2"/>
      <c r="FQC7" s="2"/>
      <c r="FQD7" s="2"/>
      <c r="FQE7" s="2"/>
      <c r="FQF7" s="2"/>
      <c r="FQG7" s="2"/>
      <c r="FQH7" s="2"/>
      <c r="FQI7" s="2"/>
      <c r="FQJ7" s="2"/>
      <c r="FQK7" s="2"/>
      <c r="FQL7" s="2"/>
      <c r="FQM7" s="2"/>
      <c r="FQN7" s="2"/>
      <c r="FQO7" s="2"/>
      <c r="FQP7" s="2"/>
      <c r="FQQ7" s="2"/>
      <c r="FQR7" s="2"/>
      <c r="FQS7" s="2"/>
      <c r="FQT7" s="2"/>
      <c r="FQU7" s="2"/>
      <c r="FQV7" s="2"/>
      <c r="FQW7" s="2"/>
      <c r="FQX7" s="2"/>
      <c r="FQY7" s="2"/>
      <c r="FQZ7" s="2"/>
      <c r="FRA7" s="2"/>
      <c r="FRB7" s="2"/>
      <c r="FRC7" s="2"/>
      <c r="FRD7" s="2"/>
      <c r="FRE7" s="2"/>
      <c r="FRF7" s="2"/>
      <c r="FRG7" s="2"/>
      <c r="FRH7" s="2"/>
      <c r="FRI7" s="2"/>
      <c r="FRJ7" s="2"/>
      <c r="FRK7" s="2"/>
      <c r="FRL7" s="2"/>
      <c r="FRM7" s="2"/>
      <c r="FRN7" s="2"/>
      <c r="FRO7" s="2"/>
      <c r="FRP7" s="2"/>
      <c r="FRQ7" s="2"/>
      <c r="FRR7" s="2"/>
      <c r="FRS7" s="2"/>
      <c r="FRT7" s="2"/>
      <c r="FRU7" s="2"/>
      <c r="FRV7" s="2"/>
      <c r="FRW7" s="2"/>
      <c r="FRX7" s="2"/>
      <c r="FRY7" s="2"/>
      <c r="FRZ7" s="2"/>
      <c r="FSA7" s="2"/>
      <c r="FSB7" s="2"/>
      <c r="FSC7" s="2"/>
      <c r="FSD7" s="2"/>
      <c r="FSE7" s="2"/>
      <c r="FSF7" s="2"/>
      <c r="FSG7" s="2"/>
      <c r="FSH7" s="2"/>
      <c r="FSI7" s="2"/>
      <c r="FSJ7" s="2"/>
      <c r="FSK7" s="2"/>
      <c r="FSL7" s="2"/>
      <c r="FSM7" s="2"/>
      <c r="FSN7" s="2"/>
      <c r="FSO7" s="2"/>
      <c r="FSP7" s="2"/>
      <c r="FSQ7" s="2"/>
      <c r="FSR7" s="2"/>
      <c r="FSS7" s="2"/>
      <c r="FST7" s="2"/>
      <c r="FSU7" s="2"/>
      <c r="FSV7" s="2"/>
      <c r="FSW7" s="2"/>
      <c r="FSX7" s="2"/>
      <c r="FSY7" s="2"/>
      <c r="FSZ7" s="2"/>
      <c r="FTA7" s="2"/>
      <c r="FTB7" s="2"/>
      <c r="FTC7" s="2"/>
      <c r="FTD7" s="2"/>
      <c r="FTE7" s="2"/>
      <c r="FTF7" s="2"/>
      <c r="FTG7" s="2"/>
      <c r="FTH7" s="2"/>
      <c r="FTI7" s="2"/>
      <c r="FTJ7" s="2"/>
      <c r="FTK7" s="2"/>
      <c r="FTL7" s="2"/>
      <c r="FTM7" s="2"/>
      <c r="FTN7" s="2"/>
      <c r="FTO7" s="2"/>
      <c r="FTP7" s="2"/>
      <c r="FTQ7" s="2"/>
      <c r="FTR7" s="2"/>
      <c r="FTS7" s="2"/>
      <c r="FTT7" s="2"/>
      <c r="FTU7" s="2"/>
      <c r="FTV7" s="2"/>
      <c r="FTW7" s="2"/>
      <c r="FTX7" s="2"/>
      <c r="FTY7" s="2"/>
      <c r="FTZ7" s="2"/>
      <c r="FUA7" s="2"/>
      <c r="FUB7" s="2"/>
      <c r="FUC7" s="2"/>
      <c r="FUD7" s="2"/>
      <c r="FUE7" s="2"/>
      <c r="FUF7" s="2"/>
      <c r="FUG7" s="2"/>
      <c r="FUH7" s="2"/>
      <c r="FUI7" s="2"/>
      <c r="FUJ7" s="2"/>
      <c r="FUK7" s="2"/>
      <c r="FUL7" s="2"/>
      <c r="FUM7" s="2"/>
      <c r="FUN7" s="2"/>
      <c r="FUO7" s="2"/>
      <c r="FUP7" s="2"/>
      <c r="FUQ7" s="2"/>
      <c r="FUR7" s="2"/>
      <c r="FUS7" s="2"/>
      <c r="FUT7" s="2"/>
      <c r="FUU7" s="2"/>
      <c r="FUV7" s="2"/>
      <c r="FUW7" s="2"/>
      <c r="FUX7" s="2"/>
      <c r="FUY7" s="2"/>
      <c r="FUZ7" s="2"/>
      <c r="FVA7" s="2"/>
      <c r="FVB7" s="2"/>
      <c r="FVC7" s="2"/>
      <c r="FVD7" s="2"/>
      <c r="FVE7" s="2"/>
      <c r="FVF7" s="2"/>
      <c r="FVG7" s="2"/>
      <c r="FVH7" s="2"/>
      <c r="FVI7" s="2"/>
      <c r="FVJ7" s="2"/>
      <c r="FVK7" s="2"/>
      <c r="FVL7" s="2"/>
      <c r="FVM7" s="2"/>
      <c r="FVN7" s="2"/>
      <c r="FVO7" s="2"/>
      <c r="FVP7" s="2"/>
      <c r="FVQ7" s="2"/>
      <c r="FVR7" s="2"/>
      <c r="FVS7" s="2"/>
      <c r="FVT7" s="2"/>
      <c r="FVU7" s="2"/>
      <c r="FVV7" s="2"/>
      <c r="FVW7" s="2"/>
      <c r="FVX7" s="2"/>
      <c r="FVY7" s="2"/>
      <c r="FVZ7" s="2"/>
      <c r="FWA7" s="2"/>
      <c r="FWB7" s="2"/>
      <c r="FWC7" s="2"/>
      <c r="FWD7" s="2"/>
      <c r="FWE7" s="2"/>
      <c r="FWF7" s="2"/>
      <c r="FWG7" s="2"/>
      <c r="FWH7" s="2"/>
      <c r="FWI7" s="2"/>
      <c r="FWJ7" s="2"/>
      <c r="FWK7" s="2"/>
      <c r="FWL7" s="2"/>
      <c r="FWM7" s="2"/>
      <c r="FWN7" s="2"/>
      <c r="FWO7" s="2"/>
      <c r="FWP7" s="2"/>
      <c r="FWQ7" s="2"/>
      <c r="FWR7" s="2"/>
      <c r="FWS7" s="2"/>
      <c r="FWT7" s="2"/>
      <c r="FWU7" s="2"/>
      <c r="FWV7" s="2"/>
      <c r="FWW7" s="2"/>
      <c r="FWX7" s="2"/>
      <c r="FWY7" s="2"/>
      <c r="FWZ7" s="2"/>
      <c r="FXA7" s="2"/>
      <c r="FXB7" s="2"/>
      <c r="FXC7" s="2"/>
      <c r="FXD7" s="2"/>
      <c r="FXE7" s="2"/>
      <c r="FXF7" s="2"/>
      <c r="FXG7" s="2"/>
      <c r="FXH7" s="2"/>
      <c r="FXI7" s="2"/>
      <c r="FXJ7" s="2"/>
      <c r="FXK7" s="2"/>
      <c r="FXL7" s="2"/>
      <c r="FXM7" s="2"/>
      <c r="FXN7" s="2"/>
      <c r="FXO7" s="2"/>
      <c r="FXP7" s="2"/>
      <c r="FXQ7" s="2"/>
      <c r="FXR7" s="2"/>
      <c r="FXS7" s="2"/>
      <c r="FXT7" s="2"/>
      <c r="FXU7" s="2"/>
      <c r="FXV7" s="2"/>
      <c r="FXW7" s="2"/>
      <c r="FXX7" s="2"/>
      <c r="FXY7" s="2"/>
      <c r="FXZ7" s="2"/>
      <c r="FYA7" s="2"/>
      <c r="FYB7" s="2"/>
      <c r="FYC7" s="2"/>
      <c r="FYD7" s="2"/>
      <c r="FYE7" s="2"/>
      <c r="FYF7" s="2"/>
      <c r="FYG7" s="2"/>
      <c r="FYH7" s="2"/>
      <c r="FYI7" s="2"/>
      <c r="FYJ7" s="2"/>
      <c r="FYK7" s="2"/>
      <c r="FYL7" s="2"/>
      <c r="FYM7" s="2"/>
      <c r="FYN7" s="2"/>
      <c r="FYO7" s="2"/>
      <c r="FYP7" s="2"/>
      <c r="FYQ7" s="2"/>
      <c r="FYR7" s="2"/>
      <c r="FYS7" s="2"/>
      <c r="FYT7" s="2"/>
      <c r="FYU7" s="2"/>
      <c r="FYV7" s="2"/>
      <c r="FYW7" s="2"/>
      <c r="FYX7" s="2"/>
      <c r="FYY7" s="2"/>
      <c r="FYZ7" s="2"/>
      <c r="FZA7" s="2"/>
      <c r="FZB7" s="2"/>
      <c r="FZC7" s="2"/>
      <c r="FZD7" s="2"/>
      <c r="FZE7" s="2"/>
      <c r="FZF7" s="2"/>
      <c r="FZG7" s="2"/>
      <c r="FZH7" s="2"/>
      <c r="FZI7" s="2"/>
      <c r="FZJ7" s="2"/>
      <c r="FZK7" s="2"/>
      <c r="FZL7" s="2"/>
      <c r="FZM7" s="2"/>
      <c r="FZN7" s="2"/>
      <c r="FZO7" s="2"/>
      <c r="FZP7" s="2"/>
      <c r="FZQ7" s="2"/>
      <c r="FZR7" s="2"/>
      <c r="FZS7" s="2"/>
      <c r="FZT7" s="2"/>
      <c r="FZU7" s="2"/>
      <c r="FZV7" s="2"/>
      <c r="FZW7" s="2"/>
      <c r="FZX7" s="2"/>
      <c r="FZY7" s="2"/>
      <c r="FZZ7" s="2"/>
      <c r="GAA7" s="2"/>
      <c r="GAB7" s="2"/>
      <c r="GAC7" s="2"/>
      <c r="GAD7" s="2"/>
      <c r="GAE7" s="2"/>
      <c r="GAF7" s="2"/>
      <c r="GAG7" s="2"/>
      <c r="GAH7" s="2"/>
      <c r="GAI7" s="2"/>
      <c r="GAJ7" s="2"/>
      <c r="GAK7" s="2"/>
      <c r="GAL7" s="2"/>
      <c r="GAM7" s="2"/>
      <c r="GAN7" s="2"/>
      <c r="GAO7" s="2"/>
      <c r="GAP7" s="2"/>
      <c r="GAQ7" s="2"/>
      <c r="GAR7" s="2"/>
      <c r="GAS7" s="2"/>
      <c r="GAT7" s="2"/>
      <c r="GAU7" s="2"/>
      <c r="GAV7" s="2"/>
      <c r="GAW7" s="2"/>
      <c r="GAX7" s="2"/>
      <c r="GAY7" s="2"/>
      <c r="GAZ7" s="2"/>
      <c r="GBA7" s="2"/>
      <c r="GBB7" s="2"/>
      <c r="GBC7" s="2"/>
      <c r="GBD7" s="2"/>
      <c r="GBE7" s="2"/>
      <c r="GBF7" s="2"/>
      <c r="GBG7" s="2"/>
      <c r="GBH7" s="2"/>
      <c r="GBI7" s="2"/>
      <c r="GBJ7" s="2"/>
      <c r="GBK7" s="2"/>
      <c r="GBL7" s="2"/>
      <c r="GBM7" s="2"/>
      <c r="GBN7" s="2"/>
      <c r="GBO7" s="2"/>
      <c r="GBP7" s="2"/>
      <c r="GBQ7" s="2"/>
      <c r="GBR7" s="2"/>
      <c r="GBS7" s="2"/>
      <c r="GBT7" s="2"/>
      <c r="GBU7" s="2"/>
      <c r="GBV7" s="2"/>
      <c r="GBW7" s="2"/>
      <c r="GBX7" s="2"/>
      <c r="GBY7" s="2"/>
      <c r="GBZ7" s="2"/>
      <c r="GCA7" s="2"/>
      <c r="GCB7" s="2"/>
      <c r="GCC7" s="2"/>
      <c r="GCD7" s="2"/>
      <c r="GCE7" s="2"/>
      <c r="GCF7" s="2"/>
      <c r="GCG7" s="2"/>
      <c r="GCH7" s="2"/>
      <c r="GCI7" s="2"/>
      <c r="GCJ7" s="2"/>
      <c r="GCK7" s="2"/>
      <c r="GCL7" s="2"/>
      <c r="GCM7" s="2"/>
      <c r="GCN7" s="2"/>
      <c r="GCO7" s="2"/>
      <c r="GCP7" s="2"/>
      <c r="GCQ7" s="2"/>
      <c r="GCR7" s="2"/>
      <c r="GCS7" s="2"/>
      <c r="GCT7" s="2"/>
      <c r="GCU7" s="2"/>
      <c r="GCV7" s="2"/>
      <c r="GCW7" s="2"/>
      <c r="GCX7" s="2"/>
      <c r="GCY7" s="2"/>
      <c r="GCZ7" s="2"/>
      <c r="GDA7" s="2"/>
      <c r="GDB7" s="2"/>
      <c r="GDC7" s="2"/>
      <c r="GDD7" s="2"/>
      <c r="GDE7" s="2"/>
      <c r="GDF7" s="2"/>
      <c r="GDG7" s="2"/>
      <c r="GDH7" s="2"/>
      <c r="GDI7" s="2"/>
      <c r="GDJ7" s="2"/>
      <c r="GDK7" s="2"/>
      <c r="GDL7" s="2"/>
      <c r="GDM7" s="2"/>
      <c r="GDN7" s="2"/>
      <c r="GDO7" s="2"/>
      <c r="GDP7" s="2"/>
      <c r="GDQ7" s="2"/>
      <c r="GDR7" s="2"/>
      <c r="GDS7" s="2"/>
      <c r="GDT7" s="2"/>
      <c r="GDU7" s="2"/>
      <c r="GDV7" s="2"/>
      <c r="GDW7" s="2"/>
      <c r="GDX7" s="2"/>
      <c r="GDY7" s="2"/>
      <c r="GDZ7" s="2"/>
      <c r="GEA7" s="2"/>
      <c r="GEB7" s="2"/>
      <c r="GEC7" s="2"/>
      <c r="GED7" s="2"/>
      <c r="GEE7" s="2"/>
      <c r="GEF7" s="2"/>
      <c r="GEG7" s="2"/>
      <c r="GEH7" s="2"/>
      <c r="GEI7" s="2"/>
      <c r="GEJ7" s="2"/>
      <c r="GEK7" s="2"/>
      <c r="GEL7" s="2"/>
      <c r="GEM7" s="2"/>
      <c r="GEN7" s="2"/>
      <c r="GEO7" s="2"/>
      <c r="GEP7" s="2"/>
      <c r="GEQ7" s="2"/>
      <c r="GER7" s="2"/>
      <c r="GES7" s="2"/>
      <c r="GET7" s="2"/>
      <c r="GEU7" s="2"/>
      <c r="GEV7" s="2"/>
      <c r="GEW7" s="2"/>
      <c r="GEX7" s="2"/>
      <c r="GEY7" s="2"/>
      <c r="GEZ7" s="2"/>
      <c r="GFA7" s="2"/>
      <c r="GFB7" s="2"/>
      <c r="GFC7" s="2"/>
      <c r="GFD7" s="2"/>
      <c r="GFE7" s="2"/>
      <c r="GFF7" s="2"/>
      <c r="GFG7" s="2"/>
      <c r="GFH7" s="2"/>
      <c r="GFI7" s="2"/>
      <c r="GFJ7" s="2"/>
      <c r="GFK7" s="2"/>
      <c r="GFL7" s="2"/>
      <c r="GFM7" s="2"/>
      <c r="GFN7" s="2"/>
      <c r="GFO7" s="2"/>
      <c r="GFP7" s="2"/>
      <c r="GFQ7" s="2"/>
      <c r="GFR7" s="2"/>
      <c r="GFS7" s="2"/>
      <c r="GFT7" s="2"/>
      <c r="GFU7" s="2"/>
      <c r="GFV7" s="2"/>
      <c r="GFW7" s="2"/>
      <c r="GFX7" s="2"/>
      <c r="GFY7" s="2"/>
      <c r="GFZ7" s="2"/>
      <c r="GGA7" s="2"/>
      <c r="GGB7" s="2"/>
      <c r="GGC7" s="2"/>
      <c r="GGD7" s="2"/>
      <c r="GGE7" s="2"/>
      <c r="GGF7" s="2"/>
      <c r="GGG7" s="2"/>
      <c r="GGH7" s="2"/>
      <c r="GGI7" s="2"/>
      <c r="GGJ7" s="2"/>
      <c r="GGK7" s="2"/>
      <c r="GGL7" s="2"/>
      <c r="GGM7" s="2"/>
      <c r="GGN7" s="2"/>
      <c r="GGO7" s="2"/>
      <c r="GGP7" s="2"/>
      <c r="GGQ7" s="2"/>
      <c r="GGR7" s="2"/>
      <c r="GGS7" s="2"/>
      <c r="GGT7" s="2"/>
      <c r="GGU7" s="2"/>
      <c r="GGV7" s="2"/>
      <c r="GGW7" s="2"/>
      <c r="GGX7" s="2"/>
      <c r="GGY7" s="2"/>
      <c r="GGZ7" s="2"/>
      <c r="GHA7" s="2"/>
      <c r="GHB7" s="2"/>
      <c r="GHC7" s="2"/>
      <c r="GHD7" s="2"/>
      <c r="GHE7" s="2"/>
      <c r="GHF7" s="2"/>
      <c r="GHG7" s="2"/>
      <c r="GHH7" s="2"/>
      <c r="GHI7" s="2"/>
      <c r="GHJ7" s="2"/>
      <c r="GHK7" s="2"/>
      <c r="GHL7" s="2"/>
      <c r="GHM7" s="2"/>
      <c r="GHN7" s="2"/>
      <c r="GHO7" s="2"/>
      <c r="GHP7" s="2"/>
      <c r="GHQ7" s="2"/>
      <c r="GHR7" s="2"/>
      <c r="GHS7" s="2"/>
      <c r="GHT7" s="2"/>
      <c r="GHU7" s="2"/>
      <c r="GHV7" s="2"/>
      <c r="GHW7" s="2"/>
      <c r="GHX7" s="2"/>
      <c r="GHY7" s="2"/>
      <c r="GHZ7" s="2"/>
      <c r="GIA7" s="2"/>
      <c r="GIB7" s="2"/>
      <c r="GIC7" s="2"/>
      <c r="GID7" s="2"/>
      <c r="GIE7" s="2"/>
      <c r="GIF7" s="2"/>
      <c r="GIG7" s="2"/>
      <c r="GIH7" s="2"/>
      <c r="GII7" s="2"/>
      <c r="GIJ7" s="2"/>
      <c r="GIK7" s="2"/>
      <c r="GIL7" s="2"/>
      <c r="GIM7" s="2"/>
      <c r="GIN7" s="2"/>
      <c r="GIO7" s="2"/>
      <c r="GIP7" s="2"/>
      <c r="GIQ7" s="2"/>
      <c r="GIR7" s="2"/>
      <c r="GIS7" s="2"/>
      <c r="GIT7" s="2"/>
      <c r="GIU7" s="2"/>
      <c r="GIV7" s="2"/>
      <c r="GIW7" s="2"/>
      <c r="GIX7" s="2"/>
      <c r="GIY7" s="2"/>
      <c r="GIZ7" s="2"/>
      <c r="GJA7" s="2"/>
      <c r="GJB7" s="2"/>
      <c r="GJC7" s="2"/>
      <c r="GJD7" s="2"/>
      <c r="GJE7" s="2"/>
      <c r="GJF7" s="2"/>
      <c r="GJG7" s="2"/>
      <c r="GJH7" s="2"/>
      <c r="GJI7" s="2"/>
      <c r="GJJ7" s="2"/>
      <c r="GJK7" s="2"/>
      <c r="GJL7" s="2"/>
      <c r="GJM7" s="2"/>
      <c r="GJN7" s="2"/>
      <c r="GJO7" s="2"/>
      <c r="GJP7" s="2"/>
      <c r="GJQ7" s="2"/>
      <c r="GJR7" s="2"/>
      <c r="GJS7" s="2"/>
      <c r="GJT7" s="2"/>
      <c r="GJU7" s="2"/>
      <c r="GJV7" s="2"/>
      <c r="GJW7" s="2"/>
      <c r="GJX7" s="2"/>
      <c r="GJY7" s="2"/>
      <c r="GJZ7" s="2"/>
      <c r="GKA7" s="2"/>
      <c r="GKB7" s="2"/>
      <c r="GKC7" s="2"/>
      <c r="GKD7" s="2"/>
      <c r="GKE7" s="2"/>
      <c r="GKF7" s="2"/>
      <c r="GKG7" s="2"/>
      <c r="GKH7" s="2"/>
      <c r="GKI7" s="2"/>
      <c r="GKJ7" s="2"/>
      <c r="GKK7" s="2"/>
      <c r="GKL7" s="2"/>
      <c r="GKM7" s="2"/>
      <c r="GKN7" s="2"/>
      <c r="GKO7" s="2"/>
      <c r="GKP7" s="2"/>
      <c r="GKQ7" s="2"/>
      <c r="GKR7" s="2"/>
      <c r="GKS7" s="2"/>
      <c r="GKT7" s="2"/>
      <c r="GKU7" s="2"/>
      <c r="GKV7" s="2"/>
      <c r="GKW7" s="2"/>
      <c r="GKX7" s="2"/>
      <c r="GKY7" s="2"/>
      <c r="GKZ7" s="2"/>
      <c r="GLA7" s="2"/>
      <c r="GLB7" s="2"/>
      <c r="GLC7" s="2"/>
      <c r="GLD7" s="2"/>
      <c r="GLE7" s="2"/>
      <c r="GLF7" s="2"/>
      <c r="GLG7" s="2"/>
      <c r="GLH7" s="2"/>
      <c r="GLI7" s="2"/>
      <c r="GLJ7" s="2"/>
      <c r="GLK7" s="2"/>
      <c r="GLL7" s="2"/>
      <c r="GLM7" s="2"/>
      <c r="GLN7" s="2"/>
      <c r="GLO7" s="2"/>
      <c r="GLP7" s="2"/>
      <c r="GLQ7" s="2"/>
      <c r="GLR7" s="2"/>
      <c r="GLS7" s="2"/>
      <c r="GLT7" s="2"/>
      <c r="GLU7" s="2"/>
      <c r="GLV7" s="2"/>
      <c r="GLW7" s="2"/>
      <c r="GLX7" s="2"/>
      <c r="GLY7" s="2"/>
      <c r="GLZ7" s="2"/>
      <c r="GMA7" s="2"/>
      <c r="GMB7" s="2"/>
      <c r="GMC7" s="2"/>
      <c r="GMD7" s="2"/>
      <c r="GME7" s="2"/>
      <c r="GMF7" s="2"/>
      <c r="GMG7" s="2"/>
      <c r="GMH7" s="2"/>
      <c r="GMI7" s="2"/>
      <c r="GMJ7" s="2"/>
      <c r="GMK7" s="2"/>
      <c r="GML7" s="2"/>
      <c r="GMM7" s="2"/>
      <c r="GMN7" s="2"/>
      <c r="GMO7" s="2"/>
      <c r="GMP7" s="2"/>
      <c r="GMQ7" s="2"/>
      <c r="GMR7" s="2"/>
      <c r="GMS7" s="2"/>
      <c r="GMT7" s="2"/>
      <c r="GMU7" s="2"/>
      <c r="GMV7" s="2"/>
      <c r="GMW7" s="2"/>
      <c r="GMX7" s="2"/>
      <c r="GMY7" s="2"/>
      <c r="GMZ7" s="2"/>
      <c r="GNA7" s="2"/>
      <c r="GNB7" s="2"/>
      <c r="GNC7" s="2"/>
      <c r="GND7" s="2"/>
      <c r="GNE7" s="2"/>
      <c r="GNF7" s="2"/>
      <c r="GNG7" s="2"/>
      <c r="GNH7" s="2"/>
      <c r="GNI7" s="2"/>
      <c r="GNJ7" s="2"/>
      <c r="GNK7" s="2"/>
      <c r="GNL7" s="2"/>
      <c r="GNM7" s="2"/>
      <c r="GNN7" s="2"/>
      <c r="GNO7" s="2"/>
      <c r="GNP7" s="2"/>
      <c r="GNQ7" s="2"/>
      <c r="GNR7" s="2"/>
      <c r="GNS7" s="2"/>
      <c r="GNT7" s="2"/>
      <c r="GNU7" s="2"/>
      <c r="GNV7" s="2"/>
      <c r="GNW7" s="2"/>
      <c r="GNX7" s="2"/>
      <c r="GNY7" s="2"/>
      <c r="GNZ7" s="2"/>
      <c r="GOA7" s="2"/>
      <c r="GOB7" s="2"/>
      <c r="GOC7" s="2"/>
      <c r="GOD7" s="2"/>
      <c r="GOE7" s="2"/>
      <c r="GOF7" s="2"/>
      <c r="GOG7" s="2"/>
      <c r="GOH7" s="2"/>
      <c r="GOI7" s="2"/>
      <c r="GOJ7" s="2"/>
      <c r="GOK7" s="2"/>
      <c r="GOL7" s="2"/>
      <c r="GOM7" s="2"/>
      <c r="GON7" s="2"/>
      <c r="GOO7" s="2"/>
      <c r="GOP7" s="2"/>
      <c r="GOQ7" s="2"/>
      <c r="GOR7" s="2"/>
      <c r="GOS7" s="2"/>
      <c r="GOT7" s="2"/>
      <c r="GOU7" s="2"/>
      <c r="GOV7" s="2"/>
      <c r="GOW7" s="2"/>
      <c r="GOX7" s="2"/>
      <c r="GOY7" s="2"/>
      <c r="GOZ7" s="2"/>
      <c r="GPA7" s="2"/>
      <c r="GPB7" s="2"/>
      <c r="GPC7" s="2"/>
      <c r="GPD7" s="2"/>
      <c r="GPE7" s="2"/>
      <c r="GPF7" s="2"/>
      <c r="GPG7" s="2"/>
      <c r="GPH7" s="2"/>
      <c r="GPI7" s="2"/>
      <c r="GPJ7" s="2"/>
      <c r="GPK7" s="2"/>
      <c r="GPL7" s="2"/>
      <c r="GPM7" s="2"/>
      <c r="GPN7" s="2"/>
      <c r="GPO7" s="2"/>
      <c r="GPP7" s="2"/>
      <c r="GPQ7" s="2"/>
      <c r="GPR7" s="2"/>
      <c r="GPS7" s="2"/>
      <c r="GPT7" s="2"/>
      <c r="GPU7" s="2"/>
      <c r="GPV7" s="2"/>
      <c r="GPW7" s="2"/>
      <c r="GPX7" s="2"/>
      <c r="GPY7" s="2"/>
      <c r="GPZ7" s="2"/>
      <c r="GQA7" s="2"/>
      <c r="GQB7" s="2"/>
      <c r="GQC7" s="2"/>
      <c r="GQD7" s="2"/>
      <c r="GQE7" s="2"/>
      <c r="GQF7" s="2"/>
      <c r="GQG7" s="2"/>
      <c r="GQH7" s="2"/>
      <c r="GQI7" s="2"/>
      <c r="GQJ7" s="2"/>
      <c r="GQK7" s="2"/>
      <c r="GQL7" s="2"/>
      <c r="GQM7" s="2"/>
      <c r="GQN7" s="2"/>
      <c r="GQO7" s="2"/>
      <c r="GQP7" s="2"/>
      <c r="GQQ7" s="2"/>
      <c r="GQR7" s="2"/>
      <c r="GQS7" s="2"/>
      <c r="GQT7" s="2"/>
      <c r="GQU7" s="2"/>
      <c r="GQV7" s="2"/>
      <c r="GQW7" s="2"/>
      <c r="GQX7" s="2"/>
      <c r="GQY7" s="2"/>
      <c r="GQZ7" s="2"/>
      <c r="GRA7" s="2"/>
      <c r="GRB7" s="2"/>
      <c r="GRC7" s="2"/>
      <c r="GRD7" s="2"/>
      <c r="GRE7" s="2"/>
      <c r="GRF7" s="2"/>
      <c r="GRG7" s="2"/>
      <c r="GRH7" s="2"/>
      <c r="GRI7" s="2"/>
      <c r="GRJ7" s="2"/>
      <c r="GRK7" s="2"/>
      <c r="GRL7" s="2"/>
      <c r="GRM7" s="2"/>
      <c r="GRN7" s="2"/>
      <c r="GRO7" s="2"/>
      <c r="GRP7" s="2"/>
      <c r="GRQ7" s="2"/>
      <c r="GRR7" s="2"/>
      <c r="GRS7" s="2"/>
      <c r="GRT7" s="2"/>
      <c r="GRU7" s="2"/>
      <c r="GRV7" s="2"/>
      <c r="GRW7" s="2"/>
      <c r="GRX7" s="2"/>
      <c r="GRY7" s="2"/>
      <c r="GRZ7" s="2"/>
      <c r="GSA7" s="2"/>
      <c r="GSB7" s="2"/>
      <c r="GSC7" s="2"/>
      <c r="GSD7" s="2"/>
      <c r="GSE7" s="2"/>
      <c r="GSF7" s="2"/>
      <c r="GSG7" s="2"/>
      <c r="GSH7" s="2"/>
      <c r="GSI7" s="2"/>
      <c r="GSJ7" s="2"/>
      <c r="GSK7" s="2"/>
      <c r="GSL7" s="2"/>
      <c r="GSM7" s="2"/>
      <c r="GSN7" s="2"/>
      <c r="GSO7" s="2"/>
      <c r="GSP7" s="2"/>
      <c r="GSQ7" s="2"/>
      <c r="GSR7" s="2"/>
      <c r="GSS7" s="2"/>
      <c r="GST7" s="2"/>
      <c r="GSU7" s="2"/>
      <c r="GSV7" s="2"/>
      <c r="GSW7" s="2"/>
      <c r="GSX7" s="2"/>
      <c r="GSY7" s="2"/>
      <c r="GSZ7" s="2"/>
      <c r="GTA7" s="2"/>
      <c r="GTB7" s="2"/>
      <c r="GTC7" s="2"/>
      <c r="GTD7" s="2"/>
      <c r="GTE7" s="2"/>
      <c r="GTF7" s="2"/>
      <c r="GTG7" s="2"/>
      <c r="GTH7" s="2"/>
      <c r="GTI7" s="2"/>
      <c r="GTJ7" s="2"/>
      <c r="GTK7" s="2"/>
      <c r="GTL7" s="2"/>
      <c r="GTM7" s="2"/>
      <c r="GTN7" s="2"/>
      <c r="GTO7" s="2"/>
      <c r="GTP7" s="2"/>
      <c r="GTQ7" s="2"/>
      <c r="GTR7" s="2"/>
      <c r="GTS7" s="2"/>
      <c r="GTT7" s="2"/>
      <c r="GTU7" s="2"/>
      <c r="GTV7" s="2"/>
      <c r="GTW7" s="2"/>
      <c r="GTX7" s="2"/>
      <c r="GTY7" s="2"/>
      <c r="GTZ7" s="2"/>
      <c r="GUA7" s="2"/>
      <c r="GUB7" s="2"/>
      <c r="GUC7" s="2"/>
      <c r="GUD7" s="2"/>
      <c r="GUE7" s="2"/>
      <c r="GUF7" s="2"/>
      <c r="GUG7" s="2"/>
      <c r="GUH7" s="2"/>
      <c r="GUI7" s="2"/>
      <c r="GUJ7" s="2"/>
      <c r="GUK7" s="2"/>
      <c r="GUL7" s="2"/>
      <c r="GUM7" s="2"/>
      <c r="GUN7" s="2"/>
      <c r="GUO7" s="2"/>
      <c r="GUP7" s="2"/>
      <c r="GUQ7" s="2"/>
      <c r="GUR7" s="2"/>
      <c r="GUS7" s="2"/>
      <c r="GUT7" s="2"/>
      <c r="GUU7" s="2"/>
      <c r="GUV7" s="2"/>
      <c r="GUW7" s="2"/>
      <c r="GUX7" s="2"/>
      <c r="GUY7" s="2"/>
      <c r="GUZ7" s="2"/>
      <c r="GVA7" s="2"/>
      <c r="GVB7" s="2"/>
      <c r="GVC7" s="2"/>
      <c r="GVD7" s="2"/>
      <c r="GVE7" s="2"/>
      <c r="GVF7" s="2"/>
      <c r="GVG7" s="2"/>
      <c r="GVH7" s="2"/>
      <c r="GVI7" s="2"/>
      <c r="GVJ7" s="2"/>
      <c r="GVK7" s="2"/>
      <c r="GVL7" s="2"/>
      <c r="GVM7" s="2"/>
      <c r="GVN7" s="2"/>
      <c r="GVO7" s="2"/>
      <c r="GVP7" s="2"/>
      <c r="GVQ7" s="2"/>
      <c r="GVR7" s="2"/>
      <c r="GVS7" s="2"/>
      <c r="GVT7" s="2"/>
      <c r="GVU7" s="2"/>
      <c r="GVV7" s="2"/>
      <c r="GVW7" s="2"/>
      <c r="GVX7" s="2"/>
      <c r="GVY7" s="2"/>
      <c r="GVZ7" s="2"/>
      <c r="GWA7" s="2"/>
      <c r="GWB7" s="2"/>
      <c r="GWC7" s="2"/>
      <c r="GWD7" s="2"/>
      <c r="GWE7" s="2"/>
      <c r="GWF7" s="2"/>
      <c r="GWG7" s="2"/>
      <c r="GWH7" s="2"/>
      <c r="GWI7" s="2"/>
      <c r="GWJ7" s="2"/>
      <c r="GWK7" s="2"/>
      <c r="GWL7" s="2"/>
      <c r="GWM7" s="2"/>
      <c r="GWN7" s="2"/>
      <c r="GWO7" s="2"/>
      <c r="GWP7" s="2"/>
      <c r="GWQ7" s="2"/>
      <c r="GWR7" s="2"/>
      <c r="GWS7" s="2"/>
      <c r="GWT7" s="2"/>
      <c r="GWU7" s="2"/>
      <c r="GWV7" s="2"/>
      <c r="GWW7" s="2"/>
      <c r="GWX7" s="2"/>
      <c r="GWY7" s="2"/>
      <c r="GWZ7" s="2"/>
      <c r="GXA7" s="2"/>
      <c r="GXB7" s="2"/>
      <c r="GXC7" s="2"/>
      <c r="GXD7" s="2"/>
      <c r="GXE7" s="2"/>
      <c r="GXF7" s="2"/>
      <c r="GXG7" s="2"/>
      <c r="GXH7" s="2"/>
      <c r="GXI7" s="2"/>
      <c r="GXJ7" s="2"/>
      <c r="GXK7" s="2"/>
      <c r="GXL7" s="2"/>
      <c r="GXM7" s="2"/>
      <c r="GXN7" s="2"/>
      <c r="GXO7" s="2"/>
      <c r="GXP7" s="2"/>
      <c r="GXQ7" s="2"/>
      <c r="GXR7" s="2"/>
      <c r="GXS7" s="2"/>
      <c r="GXT7" s="2"/>
      <c r="GXU7" s="2"/>
      <c r="GXV7" s="2"/>
      <c r="GXW7" s="2"/>
      <c r="GXX7" s="2"/>
      <c r="GXY7" s="2"/>
      <c r="GXZ7" s="2"/>
      <c r="GYA7" s="2"/>
      <c r="GYB7" s="2"/>
      <c r="GYC7" s="2"/>
      <c r="GYD7" s="2"/>
      <c r="GYE7" s="2"/>
      <c r="GYF7" s="2"/>
      <c r="GYG7" s="2"/>
      <c r="GYH7" s="2"/>
      <c r="GYI7" s="2"/>
      <c r="GYJ7" s="2"/>
      <c r="GYK7" s="2"/>
      <c r="GYL7" s="2"/>
      <c r="GYM7" s="2"/>
      <c r="GYN7" s="2"/>
      <c r="GYO7" s="2"/>
      <c r="GYP7" s="2"/>
      <c r="GYQ7" s="2"/>
      <c r="GYR7" s="2"/>
      <c r="GYS7" s="2"/>
      <c r="GYT7" s="2"/>
      <c r="GYU7" s="2"/>
      <c r="GYV7" s="2"/>
      <c r="GYW7" s="2"/>
      <c r="GYX7" s="2"/>
      <c r="GYY7" s="2"/>
      <c r="GYZ7" s="2"/>
      <c r="GZA7" s="2"/>
      <c r="GZB7" s="2"/>
      <c r="GZC7" s="2"/>
      <c r="GZD7" s="2"/>
      <c r="GZE7" s="2"/>
      <c r="GZF7" s="2"/>
      <c r="GZG7" s="2"/>
      <c r="GZH7" s="2"/>
      <c r="GZI7" s="2"/>
      <c r="GZJ7" s="2"/>
      <c r="GZK7" s="2"/>
      <c r="GZL7" s="2"/>
      <c r="GZM7" s="2"/>
      <c r="GZN7" s="2"/>
      <c r="GZO7" s="2"/>
      <c r="GZP7" s="2"/>
      <c r="GZQ7" s="2"/>
      <c r="GZR7" s="2"/>
      <c r="GZS7" s="2"/>
      <c r="GZT7" s="2"/>
      <c r="GZU7" s="2"/>
      <c r="GZV7" s="2"/>
      <c r="GZW7" s="2"/>
      <c r="GZX7" s="2"/>
      <c r="GZY7" s="2"/>
      <c r="GZZ7" s="2"/>
      <c r="HAA7" s="2"/>
      <c r="HAB7" s="2"/>
      <c r="HAC7" s="2"/>
      <c r="HAD7" s="2"/>
      <c r="HAE7" s="2"/>
      <c r="HAF7" s="2"/>
      <c r="HAG7" s="2"/>
      <c r="HAH7" s="2"/>
      <c r="HAI7" s="2"/>
      <c r="HAJ7" s="2"/>
      <c r="HAK7" s="2"/>
      <c r="HAL7" s="2"/>
      <c r="HAM7" s="2"/>
      <c r="HAN7" s="2"/>
      <c r="HAO7" s="2"/>
      <c r="HAP7" s="2"/>
      <c r="HAQ7" s="2"/>
      <c r="HAR7" s="2"/>
      <c r="HAS7" s="2"/>
      <c r="HAT7" s="2"/>
      <c r="HAU7" s="2"/>
      <c r="HAV7" s="2"/>
      <c r="HAW7" s="2"/>
      <c r="HAX7" s="2"/>
      <c r="HAY7" s="2"/>
      <c r="HAZ7" s="2"/>
      <c r="HBA7" s="2"/>
      <c r="HBB7" s="2"/>
      <c r="HBC7" s="2"/>
      <c r="HBD7" s="2"/>
      <c r="HBE7" s="2"/>
      <c r="HBF7" s="2"/>
      <c r="HBG7" s="2"/>
      <c r="HBH7" s="2"/>
      <c r="HBI7" s="2"/>
      <c r="HBJ7" s="2"/>
      <c r="HBK7" s="2"/>
      <c r="HBL7" s="2"/>
      <c r="HBM7" s="2"/>
      <c r="HBN7" s="2"/>
      <c r="HBO7" s="2"/>
      <c r="HBP7" s="2"/>
      <c r="HBQ7" s="2"/>
      <c r="HBR7" s="2"/>
      <c r="HBS7" s="2"/>
      <c r="HBT7" s="2"/>
      <c r="HBU7" s="2"/>
      <c r="HBV7" s="2"/>
      <c r="HBW7" s="2"/>
      <c r="HBX7" s="2"/>
      <c r="HBY7" s="2"/>
      <c r="HBZ7" s="2"/>
      <c r="HCA7" s="2"/>
      <c r="HCB7" s="2"/>
      <c r="HCC7" s="2"/>
      <c r="HCD7" s="2"/>
      <c r="HCE7" s="2"/>
      <c r="HCF7" s="2"/>
      <c r="HCG7" s="2"/>
      <c r="HCH7" s="2"/>
      <c r="HCI7" s="2"/>
      <c r="HCJ7" s="2"/>
      <c r="HCK7" s="2"/>
      <c r="HCL7" s="2"/>
      <c r="HCM7" s="2"/>
      <c r="HCN7" s="2"/>
      <c r="HCO7" s="2"/>
      <c r="HCP7" s="2"/>
      <c r="HCQ7" s="2"/>
      <c r="HCR7" s="2"/>
      <c r="HCS7" s="2"/>
      <c r="HCT7" s="2"/>
      <c r="HCU7" s="2"/>
      <c r="HCV7" s="2"/>
      <c r="HCW7" s="2"/>
      <c r="HCX7" s="2"/>
      <c r="HCY7" s="2"/>
      <c r="HCZ7" s="2"/>
      <c r="HDA7" s="2"/>
      <c r="HDB7" s="2"/>
      <c r="HDC7" s="2"/>
      <c r="HDD7" s="2"/>
      <c r="HDE7" s="2"/>
      <c r="HDF7" s="2"/>
      <c r="HDG7" s="2"/>
      <c r="HDH7" s="2"/>
      <c r="HDI7" s="2"/>
      <c r="HDJ7" s="2"/>
      <c r="HDK7" s="2"/>
      <c r="HDL7" s="2"/>
      <c r="HDM7" s="2"/>
      <c r="HDN7" s="2"/>
      <c r="HDO7" s="2"/>
      <c r="HDP7" s="2"/>
      <c r="HDQ7" s="2"/>
      <c r="HDR7" s="2"/>
      <c r="HDS7" s="2"/>
      <c r="HDT7" s="2"/>
      <c r="HDU7" s="2"/>
      <c r="HDV7" s="2"/>
      <c r="HDW7" s="2"/>
      <c r="HDX7" s="2"/>
      <c r="HDY7" s="2"/>
      <c r="HDZ7" s="2"/>
      <c r="HEA7" s="2"/>
      <c r="HEB7" s="2"/>
      <c r="HEC7" s="2"/>
      <c r="HED7" s="2"/>
      <c r="HEE7" s="2"/>
      <c r="HEF7" s="2"/>
      <c r="HEG7" s="2"/>
      <c r="HEH7" s="2"/>
      <c r="HEI7" s="2"/>
      <c r="HEJ7" s="2"/>
      <c r="HEK7" s="2"/>
      <c r="HEL7" s="2"/>
      <c r="HEM7" s="2"/>
      <c r="HEN7" s="2"/>
      <c r="HEO7" s="2"/>
      <c r="HEP7" s="2"/>
      <c r="HEQ7" s="2"/>
      <c r="HER7" s="2"/>
      <c r="HES7" s="2"/>
      <c r="HET7" s="2"/>
      <c r="HEU7" s="2"/>
      <c r="HEV7" s="2"/>
      <c r="HEW7" s="2"/>
      <c r="HEX7" s="2"/>
      <c r="HEY7" s="2"/>
      <c r="HEZ7" s="2"/>
      <c r="HFA7" s="2"/>
      <c r="HFB7" s="2"/>
      <c r="HFC7" s="2"/>
      <c r="HFD7" s="2"/>
      <c r="HFE7" s="2"/>
      <c r="HFF7" s="2"/>
      <c r="HFG7" s="2"/>
      <c r="HFH7" s="2"/>
      <c r="HFI7" s="2"/>
      <c r="HFJ7" s="2"/>
      <c r="HFK7" s="2"/>
      <c r="HFL7" s="2"/>
      <c r="HFM7" s="2"/>
      <c r="HFN7" s="2"/>
      <c r="HFO7" s="2"/>
      <c r="HFP7" s="2"/>
      <c r="HFQ7" s="2"/>
      <c r="HFR7" s="2"/>
      <c r="HFS7" s="2"/>
      <c r="HFT7" s="2"/>
      <c r="HFU7" s="2"/>
      <c r="HFV7" s="2"/>
      <c r="HFW7" s="2"/>
      <c r="HFX7" s="2"/>
      <c r="HFY7" s="2"/>
      <c r="HFZ7" s="2"/>
      <c r="HGA7" s="2"/>
      <c r="HGB7" s="2"/>
      <c r="HGC7" s="2"/>
      <c r="HGD7" s="2"/>
      <c r="HGE7" s="2"/>
      <c r="HGF7" s="2"/>
      <c r="HGG7" s="2"/>
      <c r="HGH7" s="2"/>
      <c r="HGI7" s="2"/>
      <c r="HGJ7" s="2"/>
      <c r="HGK7" s="2"/>
      <c r="HGL7" s="2"/>
      <c r="HGM7" s="2"/>
      <c r="HGN7" s="2"/>
      <c r="HGO7" s="2"/>
      <c r="HGP7" s="2"/>
      <c r="HGQ7" s="2"/>
      <c r="HGR7" s="2"/>
      <c r="HGS7" s="2"/>
      <c r="HGT7" s="2"/>
      <c r="HGU7" s="2"/>
      <c r="HGV7" s="2"/>
      <c r="HGW7" s="2"/>
      <c r="HGX7" s="2"/>
      <c r="HGY7" s="2"/>
      <c r="HGZ7" s="2"/>
      <c r="HHA7" s="2"/>
      <c r="HHB7" s="2"/>
      <c r="HHC7" s="2"/>
      <c r="HHD7" s="2"/>
      <c r="HHE7" s="2"/>
      <c r="HHF7" s="2"/>
      <c r="HHG7" s="2"/>
      <c r="HHH7" s="2"/>
      <c r="HHI7" s="2"/>
      <c r="HHJ7" s="2"/>
      <c r="HHK7" s="2"/>
      <c r="HHL7" s="2"/>
      <c r="HHM7" s="2"/>
      <c r="HHN7" s="2"/>
      <c r="HHO7" s="2"/>
      <c r="HHP7" s="2"/>
      <c r="HHQ7" s="2"/>
      <c r="HHR7" s="2"/>
      <c r="HHS7" s="2"/>
      <c r="HHT7" s="2"/>
      <c r="HHU7" s="2"/>
      <c r="HHV7" s="2"/>
      <c r="HHW7" s="2"/>
      <c r="HHX7" s="2"/>
      <c r="HHY7" s="2"/>
      <c r="HHZ7" s="2"/>
      <c r="HIA7" s="2"/>
      <c r="HIB7" s="2"/>
      <c r="HIC7" s="2"/>
      <c r="HID7" s="2"/>
      <c r="HIE7" s="2"/>
      <c r="HIF7" s="2"/>
      <c r="HIG7" s="2"/>
      <c r="HIH7" s="2"/>
      <c r="HII7" s="2"/>
      <c r="HIJ7" s="2"/>
      <c r="HIK7" s="2"/>
      <c r="HIL7" s="2"/>
      <c r="HIM7" s="2"/>
      <c r="HIN7" s="2"/>
      <c r="HIO7" s="2"/>
      <c r="HIP7" s="2"/>
      <c r="HIQ7" s="2"/>
      <c r="HIR7" s="2"/>
      <c r="HIS7" s="2"/>
      <c r="HIT7" s="2"/>
      <c r="HIU7" s="2"/>
      <c r="HIV7" s="2"/>
      <c r="HIW7" s="2"/>
      <c r="HIX7" s="2"/>
      <c r="HIY7" s="2"/>
      <c r="HIZ7" s="2"/>
      <c r="HJA7" s="2"/>
      <c r="HJB7" s="2"/>
      <c r="HJC7" s="2"/>
      <c r="HJD7" s="2"/>
      <c r="HJE7" s="2"/>
      <c r="HJF7" s="2"/>
      <c r="HJG7" s="2"/>
      <c r="HJH7" s="2"/>
      <c r="HJI7" s="2"/>
      <c r="HJJ7" s="2"/>
      <c r="HJK7" s="2"/>
      <c r="HJL7" s="2"/>
      <c r="HJM7" s="2"/>
      <c r="HJN7" s="2"/>
      <c r="HJO7" s="2"/>
      <c r="HJP7" s="2"/>
      <c r="HJQ7" s="2"/>
      <c r="HJR7" s="2"/>
      <c r="HJS7" s="2"/>
      <c r="HJT7" s="2"/>
      <c r="HJU7" s="2"/>
      <c r="HJV7" s="2"/>
      <c r="HJW7" s="2"/>
      <c r="HJX7" s="2"/>
      <c r="HJY7" s="2"/>
      <c r="HJZ7" s="2"/>
      <c r="HKA7" s="2"/>
      <c r="HKB7" s="2"/>
      <c r="HKC7" s="2"/>
      <c r="HKD7" s="2"/>
      <c r="HKE7" s="2"/>
      <c r="HKF7" s="2"/>
      <c r="HKG7" s="2"/>
      <c r="HKH7" s="2"/>
      <c r="HKI7" s="2"/>
      <c r="HKJ7" s="2"/>
      <c r="HKK7" s="2"/>
      <c r="HKL7" s="2"/>
      <c r="HKM7" s="2"/>
      <c r="HKN7" s="2"/>
      <c r="HKO7" s="2"/>
      <c r="HKP7" s="2"/>
      <c r="HKQ7" s="2"/>
      <c r="HKR7" s="2"/>
      <c r="HKS7" s="2"/>
      <c r="HKT7" s="2"/>
      <c r="HKU7" s="2"/>
      <c r="HKV7" s="2"/>
      <c r="HKW7" s="2"/>
      <c r="HKX7" s="2"/>
      <c r="HKY7" s="2"/>
      <c r="HKZ7" s="2"/>
      <c r="HLA7" s="2"/>
      <c r="HLB7" s="2"/>
      <c r="HLC7" s="2"/>
      <c r="HLD7" s="2"/>
      <c r="HLE7" s="2"/>
      <c r="HLF7" s="2"/>
      <c r="HLG7" s="2"/>
      <c r="HLH7" s="2"/>
      <c r="HLI7" s="2"/>
      <c r="HLJ7" s="2"/>
      <c r="HLK7" s="2"/>
      <c r="HLL7" s="2"/>
      <c r="HLM7" s="2"/>
      <c r="HLN7" s="2"/>
      <c r="HLO7" s="2"/>
      <c r="HLP7" s="2"/>
      <c r="HLQ7" s="2"/>
      <c r="HLR7" s="2"/>
      <c r="HLS7" s="2"/>
      <c r="HLT7" s="2"/>
      <c r="HLU7" s="2"/>
      <c r="HLV7" s="2"/>
      <c r="HLW7" s="2"/>
      <c r="HLX7" s="2"/>
      <c r="HLY7" s="2"/>
      <c r="HLZ7" s="2"/>
      <c r="HMA7" s="2"/>
      <c r="HMB7" s="2"/>
      <c r="HMC7" s="2"/>
      <c r="HMD7" s="2"/>
      <c r="HME7" s="2"/>
      <c r="HMF7" s="2"/>
      <c r="HMG7" s="2"/>
      <c r="HMH7" s="2"/>
      <c r="HMI7" s="2"/>
      <c r="HMJ7" s="2"/>
      <c r="HMK7" s="2"/>
      <c r="HML7" s="2"/>
      <c r="HMM7" s="2"/>
      <c r="HMN7" s="2"/>
      <c r="HMO7" s="2"/>
      <c r="HMP7" s="2"/>
      <c r="HMQ7" s="2"/>
      <c r="HMR7" s="2"/>
      <c r="HMS7" s="2"/>
      <c r="HMT7" s="2"/>
      <c r="HMU7" s="2"/>
      <c r="HMV7" s="2"/>
      <c r="HMW7" s="2"/>
      <c r="HMX7" s="2"/>
      <c r="HMY7" s="2"/>
      <c r="HMZ7" s="2"/>
      <c r="HNA7" s="2"/>
      <c r="HNB7" s="2"/>
      <c r="HNC7" s="2"/>
      <c r="HND7" s="2"/>
      <c r="HNE7" s="2"/>
      <c r="HNF7" s="2"/>
      <c r="HNG7" s="2"/>
      <c r="HNH7" s="2"/>
      <c r="HNI7" s="2"/>
      <c r="HNJ7" s="2"/>
      <c r="HNK7" s="2"/>
      <c r="HNL7" s="2"/>
      <c r="HNM7" s="2"/>
      <c r="HNN7" s="2"/>
      <c r="HNO7" s="2"/>
      <c r="HNP7" s="2"/>
      <c r="HNQ7" s="2"/>
      <c r="HNR7" s="2"/>
      <c r="HNS7" s="2"/>
      <c r="HNT7" s="2"/>
      <c r="HNU7" s="2"/>
      <c r="HNV7" s="2"/>
      <c r="HNW7" s="2"/>
      <c r="HNX7" s="2"/>
      <c r="HNY7" s="2"/>
      <c r="HNZ7" s="2"/>
      <c r="HOA7" s="2"/>
      <c r="HOB7" s="2"/>
      <c r="HOC7" s="2"/>
      <c r="HOD7" s="2"/>
      <c r="HOE7" s="2"/>
      <c r="HOF7" s="2"/>
      <c r="HOG7" s="2"/>
      <c r="HOH7" s="2"/>
      <c r="HOI7" s="2"/>
      <c r="HOJ7" s="2"/>
      <c r="HOK7" s="2"/>
      <c r="HOL7" s="2"/>
      <c r="HOM7" s="2"/>
      <c r="HON7" s="2"/>
      <c r="HOO7" s="2"/>
      <c r="HOP7" s="2"/>
      <c r="HOQ7" s="2"/>
      <c r="HOR7" s="2"/>
      <c r="HOS7" s="2"/>
      <c r="HOT7" s="2"/>
      <c r="HOU7" s="2"/>
      <c r="HOV7" s="2"/>
      <c r="HOW7" s="2"/>
      <c r="HOX7" s="2"/>
      <c r="HOY7" s="2"/>
      <c r="HOZ7" s="2"/>
      <c r="HPA7" s="2"/>
      <c r="HPB7" s="2"/>
      <c r="HPC7" s="2"/>
      <c r="HPD7" s="2"/>
      <c r="HPE7" s="2"/>
      <c r="HPF7" s="2"/>
      <c r="HPG7" s="2"/>
      <c r="HPH7" s="2"/>
      <c r="HPI7" s="2"/>
      <c r="HPJ7" s="2"/>
      <c r="HPK7" s="2"/>
      <c r="HPL7" s="2"/>
      <c r="HPM7" s="2"/>
      <c r="HPN7" s="2"/>
      <c r="HPO7" s="2"/>
      <c r="HPP7" s="2"/>
      <c r="HPQ7" s="2"/>
      <c r="HPR7" s="2"/>
      <c r="HPS7" s="2"/>
      <c r="HPT7" s="2"/>
      <c r="HPU7" s="2"/>
      <c r="HPV7" s="2"/>
      <c r="HPW7" s="2"/>
      <c r="HPX7" s="2"/>
      <c r="HPY7" s="2"/>
      <c r="HPZ7" s="2"/>
      <c r="HQA7" s="2"/>
      <c r="HQB7" s="2"/>
      <c r="HQC7" s="2"/>
      <c r="HQD7" s="2"/>
      <c r="HQE7" s="2"/>
      <c r="HQF7" s="2"/>
      <c r="HQG7" s="2"/>
      <c r="HQH7" s="2"/>
      <c r="HQI7" s="2"/>
      <c r="HQJ7" s="2"/>
      <c r="HQK7" s="2"/>
      <c r="HQL7" s="2"/>
      <c r="HQM7" s="2"/>
      <c r="HQN7" s="2"/>
      <c r="HQO7" s="2"/>
      <c r="HQP7" s="2"/>
      <c r="HQQ7" s="2"/>
      <c r="HQR7" s="2"/>
      <c r="HQS7" s="2"/>
      <c r="HQT7" s="2"/>
      <c r="HQU7" s="2"/>
      <c r="HQV7" s="2"/>
      <c r="HQW7" s="2"/>
      <c r="HQX7" s="2"/>
      <c r="HQY7" s="2"/>
      <c r="HQZ7" s="2"/>
      <c r="HRA7" s="2"/>
      <c r="HRB7" s="2"/>
      <c r="HRC7" s="2"/>
      <c r="HRD7" s="2"/>
      <c r="HRE7" s="2"/>
      <c r="HRF7" s="2"/>
      <c r="HRG7" s="2"/>
      <c r="HRH7" s="2"/>
      <c r="HRI7" s="2"/>
      <c r="HRJ7" s="2"/>
      <c r="HRK7" s="2"/>
      <c r="HRL7" s="2"/>
      <c r="HRM7" s="2"/>
      <c r="HRN7" s="2"/>
      <c r="HRO7" s="2"/>
      <c r="HRP7" s="2"/>
      <c r="HRQ7" s="2"/>
      <c r="HRR7" s="2"/>
      <c r="HRS7" s="2"/>
      <c r="HRT7" s="2"/>
      <c r="HRU7" s="2"/>
      <c r="HRV7" s="2"/>
      <c r="HRW7" s="2"/>
      <c r="HRX7" s="2"/>
      <c r="HRY7" s="2"/>
      <c r="HRZ7" s="2"/>
      <c r="HSA7" s="2"/>
      <c r="HSB7" s="2"/>
      <c r="HSC7" s="2"/>
      <c r="HSD7" s="2"/>
      <c r="HSE7" s="2"/>
      <c r="HSF7" s="2"/>
      <c r="HSG7" s="2"/>
      <c r="HSH7" s="2"/>
      <c r="HSI7" s="2"/>
      <c r="HSJ7" s="2"/>
      <c r="HSK7" s="2"/>
      <c r="HSL7" s="2"/>
      <c r="HSM7" s="2"/>
      <c r="HSN7" s="2"/>
      <c r="HSO7" s="2"/>
      <c r="HSP7" s="2"/>
      <c r="HSQ7" s="2"/>
      <c r="HSR7" s="2"/>
      <c r="HSS7" s="2"/>
      <c r="HST7" s="2"/>
      <c r="HSU7" s="2"/>
      <c r="HSV7" s="2"/>
      <c r="HSW7" s="2"/>
      <c r="HSX7" s="2"/>
      <c r="HSY7" s="2"/>
      <c r="HSZ7" s="2"/>
      <c r="HTA7" s="2"/>
      <c r="HTB7" s="2"/>
      <c r="HTC7" s="2"/>
      <c r="HTD7" s="2"/>
      <c r="HTE7" s="2"/>
      <c r="HTF7" s="2"/>
      <c r="HTG7" s="2"/>
      <c r="HTH7" s="2"/>
      <c r="HTI7" s="2"/>
      <c r="HTJ7" s="2"/>
      <c r="HTK7" s="2"/>
      <c r="HTL7" s="2"/>
      <c r="HTM7" s="2"/>
      <c r="HTN7" s="2"/>
      <c r="HTO7" s="2"/>
      <c r="HTP7" s="2"/>
      <c r="HTQ7" s="2"/>
      <c r="HTR7" s="2"/>
      <c r="HTS7" s="2"/>
      <c r="HTT7" s="2"/>
      <c r="HTU7" s="2"/>
      <c r="HTV7" s="2"/>
      <c r="HTW7" s="2"/>
      <c r="HTX7" s="2"/>
      <c r="HTY7" s="2"/>
      <c r="HTZ7" s="2"/>
      <c r="HUA7" s="2"/>
      <c r="HUB7" s="2"/>
      <c r="HUC7" s="2"/>
      <c r="HUD7" s="2"/>
      <c r="HUE7" s="2"/>
      <c r="HUF7" s="2"/>
      <c r="HUG7" s="2"/>
      <c r="HUH7" s="2"/>
      <c r="HUI7" s="2"/>
      <c r="HUJ7" s="2"/>
      <c r="HUK7" s="2"/>
      <c r="HUL7" s="2"/>
      <c r="HUM7" s="2"/>
      <c r="HUN7" s="2"/>
      <c r="HUO7" s="2"/>
      <c r="HUP7" s="2"/>
      <c r="HUQ7" s="2"/>
      <c r="HUR7" s="2"/>
      <c r="HUS7" s="2"/>
      <c r="HUT7" s="2"/>
      <c r="HUU7" s="2"/>
      <c r="HUV7" s="2"/>
      <c r="HUW7" s="2"/>
      <c r="HUX7" s="2"/>
      <c r="HUY7" s="2"/>
      <c r="HUZ7" s="2"/>
      <c r="HVA7" s="2"/>
      <c r="HVB7" s="2"/>
      <c r="HVC7" s="2"/>
      <c r="HVD7" s="2"/>
      <c r="HVE7" s="2"/>
      <c r="HVF7" s="2"/>
      <c r="HVG7" s="2"/>
      <c r="HVH7" s="2"/>
      <c r="HVI7" s="2"/>
      <c r="HVJ7" s="2"/>
      <c r="HVK7" s="2"/>
      <c r="HVL7" s="2"/>
      <c r="HVM7" s="2"/>
      <c r="HVN7" s="2"/>
      <c r="HVO7" s="2"/>
      <c r="HVP7" s="2"/>
      <c r="HVQ7" s="2"/>
      <c r="HVR7" s="2"/>
      <c r="HVS7" s="2"/>
      <c r="HVT7" s="2"/>
      <c r="HVU7" s="2"/>
      <c r="HVV7" s="2"/>
      <c r="HVW7" s="2"/>
      <c r="HVX7" s="2"/>
      <c r="HVY7" s="2"/>
      <c r="HVZ7" s="2"/>
      <c r="HWA7" s="2"/>
      <c r="HWB7" s="2"/>
      <c r="HWC7" s="2"/>
      <c r="HWD7" s="2"/>
      <c r="HWE7" s="2"/>
      <c r="HWF7" s="2"/>
      <c r="HWG7" s="2"/>
      <c r="HWH7" s="2"/>
      <c r="HWI7" s="2"/>
      <c r="HWJ7" s="2"/>
      <c r="HWK7" s="2"/>
      <c r="HWL7" s="2"/>
      <c r="HWM7" s="2"/>
      <c r="HWN7" s="2"/>
      <c r="HWO7" s="2"/>
      <c r="HWP7" s="2"/>
      <c r="HWQ7" s="2"/>
      <c r="HWR7" s="2"/>
      <c r="HWS7" s="2"/>
      <c r="HWT7" s="2"/>
      <c r="HWU7" s="2"/>
      <c r="HWV7" s="2"/>
      <c r="HWW7" s="2"/>
      <c r="HWX7" s="2"/>
      <c r="HWY7" s="2"/>
      <c r="HWZ7" s="2"/>
      <c r="HXA7" s="2"/>
      <c r="HXB7" s="2"/>
      <c r="HXC7" s="2"/>
      <c r="HXD7" s="2"/>
      <c r="HXE7" s="2"/>
      <c r="HXF7" s="2"/>
      <c r="HXG7" s="2"/>
      <c r="HXH7" s="2"/>
      <c r="HXI7" s="2"/>
      <c r="HXJ7" s="2"/>
      <c r="HXK7" s="2"/>
      <c r="HXL7" s="2"/>
      <c r="HXM7" s="2"/>
      <c r="HXN7" s="2"/>
      <c r="HXO7" s="2"/>
      <c r="HXP7" s="2"/>
      <c r="HXQ7" s="2"/>
      <c r="HXR7" s="2"/>
      <c r="HXS7" s="2"/>
      <c r="HXT7" s="2"/>
      <c r="HXU7" s="2"/>
      <c r="HXV7" s="2"/>
      <c r="HXW7" s="2"/>
      <c r="HXX7" s="2"/>
      <c r="HXY7" s="2"/>
      <c r="HXZ7" s="2"/>
      <c r="HYA7" s="2"/>
      <c r="HYB7" s="2"/>
      <c r="HYC7" s="2"/>
      <c r="HYD7" s="2"/>
      <c r="HYE7" s="2"/>
      <c r="HYF7" s="2"/>
      <c r="HYG7" s="2"/>
      <c r="HYH7" s="2"/>
      <c r="HYI7" s="2"/>
      <c r="HYJ7" s="2"/>
      <c r="HYK7" s="2"/>
      <c r="HYL7" s="2"/>
      <c r="HYM7" s="2"/>
      <c r="HYN7" s="2"/>
      <c r="HYO7" s="2"/>
      <c r="HYP7" s="2"/>
      <c r="HYQ7" s="2"/>
      <c r="HYR7" s="2"/>
      <c r="HYS7" s="2"/>
      <c r="HYT7" s="2"/>
      <c r="HYU7" s="2"/>
      <c r="HYV7" s="2"/>
      <c r="HYW7" s="2"/>
      <c r="HYX7" s="2"/>
      <c r="HYY7" s="2"/>
      <c r="HYZ7" s="2"/>
      <c r="HZA7" s="2"/>
      <c r="HZB7" s="2"/>
      <c r="HZC7" s="2"/>
      <c r="HZD7" s="2"/>
      <c r="HZE7" s="2"/>
      <c r="HZF7" s="2"/>
      <c r="HZG7" s="2"/>
      <c r="HZH7" s="2"/>
      <c r="HZI7" s="2"/>
      <c r="HZJ7" s="2"/>
      <c r="HZK7" s="2"/>
      <c r="HZL7" s="2"/>
      <c r="HZM7" s="2"/>
      <c r="HZN7" s="2"/>
      <c r="HZO7" s="2"/>
      <c r="HZP7" s="2"/>
      <c r="HZQ7" s="2"/>
      <c r="HZR7" s="2"/>
      <c r="HZS7" s="2"/>
      <c r="HZT7" s="2"/>
      <c r="HZU7" s="2"/>
      <c r="HZV7" s="2"/>
      <c r="HZW7" s="2"/>
      <c r="HZX7" s="2"/>
      <c r="HZY7" s="2"/>
      <c r="HZZ7" s="2"/>
      <c r="IAA7" s="2"/>
      <c r="IAB7" s="2"/>
      <c r="IAC7" s="2"/>
      <c r="IAD7" s="2"/>
      <c r="IAE7" s="2"/>
      <c r="IAF7" s="2"/>
      <c r="IAG7" s="2"/>
      <c r="IAH7" s="2"/>
      <c r="IAI7" s="2"/>
      <c r="IAJ7" s="2"/>
      <c r="IAK7" s="2"/>
      <c r="IAL7" s="2"/>
      <c r="IAM7" s="2"/>
      <c r="IAN7" s="2"/>
      <c r="IAO7" s="2"/>
      <c r="IAP7" s="2"/>
      <c r="IAQ7" s="2"/>
      <c r="IAR7" s="2"/>
      <c r="IAS7" s="2"/>
      <c r="IAT7" s="2"/>
      <c r="IAU7" s="2"/>
      <c r="IAV7" s="2"/>
      <c r="IAW7" s="2"/>
      <c r="IAX7" s="2"/>
      <c r="IAY7" s="2"/>
      <c r="IAZ7" s="2"/>
      <c r="IBA7" s="2"/>
      <c r="IBB7" s="2"/>
      <c r="IBC7" s="2"/>
      <c r="IBD7" s="2"/>
      <c r="IBE7" s="2"/>
      <c r="IBF7" s="2"/>
      <c r="IBG7" s="2"/>
      <c r="IBH7" s="2"/>
      <c r="IBI7" s="2"/>
      <c r="IBJ7" s="2"/>
      <c r="IBK7" s="2"/>
      <c r="IBL7" s="2"/>
      <c r="IBM7" s="2"/>
      <c r="IBN7" s="2"/>
      <c r="IBO7" s="2"/>
      <c r="IBP7" s="2"/>
      <c r="IBQ7" s="2"/>
      <c r="IBR7" s="2"/>
      <c r="IBS7" s="2"/>
      <c r="IBT7" s="2"/>
      <c r="IBU7" s="2"/>
      <c r="IBV7" s="2"/>
      <c r="IBW7" s="2"/>
      <c r="IBX7" s="2"/>
      <c r="IBY7" s="2"/>
      <c r="IBZ7" s="2"/>
      <c r="ICA7" s="2"/>
      <c r="ICB7" s="2"/>
      <c r="ICC7" s="2"/>
      <c r="ICD7" s="2"/>
      <c r="ICE7" s="2"/>
      <c r="ICF7" s="2"/>
      <c r="ICG7" s="2"/>
      <c r="ICH7" s="2"/>
      <c r="ICI7" s="2"/>
      <c r="ICJ7" s="2"/>
      <c r="ICK7" s="2"/>
      <c r="ICL7" s="2"/>
      <c r="ICM7" s="2"/>
      <c r="ICN7" s="2"/>
      <c r="ICO7" s="2"/>
      <c r="ICP7" s="2"/>
      <c r="ICQ7" s="2"/>
      <c r="ICR7" s="2"/>
      <c r="ICS7" s="2"/>
      <c r="ICT7" s="2"/>
      <c r="ICU7" s="2"/>
      <c r="ICV7" s="2"/>
      <c r="ICW7" s="2"/>
      <c r="ICX7" s="2"/>
      <c r="ICY7" s="2"/>
      <c r="ICZ7" s="2"/>
      <c r="IDA7" s="2"/>
      <c r="IDB7" s="2"/>
      <c r="IDC7" s="2"/>
      <c r="IDD7" s="2"/>
      <c r="IDE7" s="2"/>
      <c r="IDF7" s="2"/>
      <c r="IDG7" s="2"/>
      <c r="IDH7" s="2"/>
      <c r="IDI7" s="2"/>
      <c r="IDJ7" s="2"/>
      <c r="IDK7" s="2"/>
      <c r="IDL7" s="2"/>
      <c r="IDM7" s="2"/>
      <c r="IDN7" s="2"/>
      <c r="IDO7" s="2"/>
      <c r="IDP7" s="2"/>
      <c r="IDQ7" s="2"/>
      <c r="IDR7" s="2"/>
      <c r="IDS7" s="2"/>
      <c r="IDT7" s="2"/>
      <c r="IDU7" s="2"/>
      <c r="IDV7" s="2"/>
      <c r="IDW7" s="2"/>
      <c r="IDX7" s="2"/>
      <c r="IDY7" s="2"/>
      <c r="IDZ7" s="2"/>
      <c r="IEA7" s="2"/>
      <c r="IEB7" s="2"/>
      <c r="IEC7" s="2"/>
      <c r="IED7" s="2"/>
      <c r="IEE7" s="2"/>
      <c r="IEF7" s="2"/>
      <c r="IEG7" s="2"/>
      <c r="IEH7" s="2"/>
      <c r="IEI7" s="2"/>
      <c r="IEJ7" s="2"/>
      <c r="IEK7" s="2"/>
      <c r="IEL7" s="2"/>
      <c r="IEM7" s="2"/>
      <c r="IEN7" s="2"/>
      <c r="IEO7" s="2"/>
      <c r="IEP7" s="2"/>
      <c r="IEQ7" s="2"/>
      <c r="IER7" s="2"/>
      <c r="IES7" s="2"/>
      <c r="IET7" s="2"/>
      <c r="IEU7" s="2"/>
      <c r="IEV7" s="2"/>
      <c r="IEW7" s="2"/>
      <c r="IEX7" s="2"/>
      <c r="IEY7" s="2"/>
      <c r="IEZ7" s="2"/>
      <c r="IFA7" s="2"/>
      <c r="IFB7" s="2"/>
      <c r="IFC7" s="2"/>
      <c r="IFD7" s="2"/>
      <c r="IFE7" s="2"/>
      <c r="IFF7" s="2"/>
      <c r="IFG7" s="2"/>
      <c r="IFH7" s="2"/>
      <c r="IFI7" s="2"/>
      <c r="IFJ7" s="2"/>
      <c r="IFK7" s="2"/>
      <c r="IFL7" s="2"/>
      <c r="IFM7" s="2"/>
      <c r="IFN7" s="2"/>
      <c r="IFO7" s="2"/>
      <c r="IFP7" s="2"/>
      <c r="IFQ7" s="2"/>
      <c r="IFR7" s="2"/>
      <c r="IFS7" s="2"/>
      <c r="IFT7" s="2"/>
      <c r="IFU7" s="2"/>
      <c r="IFV7" s="2"/>
      <c r="IFW7" s="2"/>
      <c r="IFX7" s="2"/>
      <c r="IFY7" s="2"/>
      <c r="IFZ7" s="2"/>
      <c r="IGA7" s="2"/>
      <c r="IGB7" s="2"/>
      <c r="IGC7" s="2"/>
      <c r="IGD7" s="2"/>
      <c r="IGE7" s="2"/>
      <c r="IGF7" s="2"/>
      <c r="IGG7" s="2"/>
      <c r="IGH7" s="2"/>
      <c r="IGI7" s="2"/>
      <c r="IGJ7" s="2"/>
      <c r="IGK7" s="2"/>
      <c r="IGL7" s="2"/>
      <c r="IGM7" s="2"/>
      <c r="IGN7" s="2"/>
      <c r="IGO7" s="2"/>
      <c r="IGP7" s="2"/>
      <c r="IGQ7" s="2"/>
      <c r="IGR7" s="2"/>
      <c r="IGS7" s="2"/>
      <c r="IGT7" s="2"/>
      <c r="IGU7" s="2"/>
      <c r="IGV7" s="2"/>
      <c r="IGW7" s="2"/>
      <c r="IGX7" s="2"/>
      <c r="IGY7" s="2"/>
      <c r="IGZ7" s="2"/>
      <c r="IHA7" s="2"/>
      <c r="IHB7" s="2"/>
      <c r="IHC7" s="2"/>
      <c r="IHD7" s="2"/>
      <c r="IHE7" s="2"/>
      <c r="IHF7" s="2"/>
      <c r="IHG7" s="2"/>
      <c r="IHH7" s="2"/>
      <c r="IHI7" s="2"/>
      <c r="IHJ7" s="2"/>
      <c r="IHK7" s="2"/>
      <c r="IHL7" s="2"/>
      <c r="IHM7" s="2"/>
      <c r="IHN7" s="2"/>
      <c r="IHO7" s="2"/>
      <c r="IHP7" s="2"/>
      <c r="IHQ7" s="2"/>
      <c r="IHR7" s="2"/>
      <c r="IHS7" s="2"/>
      <c r="IHT7" s="2"/>
      <c r="IHU7" s="2"/>
      <c r="IHV7" s="2"/>
      <c r="IHW7" s="2"/>
      <c r="IHX7" s="2"/>
      <c r="IHY7" s="2"/>
      <c r="IHZ7" s="2"/>
      <c r="IIA7" s="2"/>
      <c r="IIB7" s="2"/>
      <c r="IIC7" s="2"/>
      <c r="IID7" s="2"/>
      <c r="IIE7" s="2"/>
      <c r="IIF7" s="2"/>
      <c r="IIG7" s="2"/>
      <c r="IIH7" s="2"/>
      <c r="III7" s="2"/>
      <c r="IIJ7" s="2"/>
      <c r="IIK7" s="2"/>
      <c r="IIL7" s="2"/>
      <c r="IIM7" s="2"/>
      <c r="IIN7" s="2"/>
      <c r="IIO7" s="2"/>
      <c r="IIP7" s="2"/>
      <c r="IIQ7" s="2"/>
      <c r="IIR7" s="2"/>
      <c r="IIS7" s="2"/>
      <c r="IIT7" s="2"/>
      <c r="IIU7" s="2"/>
      <c r="IIV7" s="2"/>
      <c r="IIW7" s="2"/>
      <c r="IIX7" s="2"/>
      <c r="IIY7" s="2"/>
      <c r="IIZ7" s="2"/>
      <c r="IJA7" s="2"/>
      <c r="IJB7" s="2"/>
      <c r="IJC7" s="2"/>
      <c r="IJD7" s="2"/>
      <c r="IJE7" s="2"/>
      <c r="IJF7" s="2"/>
      <c r="IJG7" s="2"/>
      <c r="IJH7" s="2"/>
      <c r="IJI7" s="2"/>
      <c r="IJJ7" s="2"/>
      <c r="IJK7" s="2"/>
      <c r="IJL7" s="2"/>
      <c r="IJM7" s="2"/>
      <c r="IJN7" s="2"/>
      <c r="IJO7" s="2"/>
      <c r="IJP7" s="2"/>
      <c r="IJQ7" s="2"/>
      <c r="IJR7" s="2"/>
      <c r="IJS7" s="2"/>
      <c r="IJT7" s="2"/>
      <c r="IJU7" s="2"/>
      <c r="IJV7" s="2"/>
      <c r="IJW7" s="2"/>
      <c r="IJX7" s="2"/>
      <c r="IJY7" s="2"/>
      <c r="IJZ7" s="2"/>
      <c r="IKA7" s="2"/>
      <c r="IKB7" s="2"/>
      <c r="IKC7" s="2"/>
      <c r="IKD7" s="2"/>
      <c r="IKE7" s="2"/>
      <c r="IKF7" s="2"/>
      <c r="IKG7" s="2"/>
      <c r="IKH7" s="2"/>
      <c r="IKI7" s="2"/>
      <c r="IKJ7" s="2"/>
      <c r="IKK7" s="2"/>
      <c r="IKL7" s="2"/>
      <c r="IKM7" s="2"/>
      <c r="IKN7" s="2"/>
      <c r="IKO7" s="2"/>
      <c r="IKP7" s="2"/>
      <c r="IKQ7" s="2"/>
      <c r="IKR7" s="2"/>
      <c r="IKS7" s="2"/>
      <c r="IKT7" s="2"/>
      <c r="IKU7" s="2"/>
      <c r="IKV7" s="2"/>
      <c r="IKW7" s="2"/>
      <c r="IKX7" s="2"/>
      <c r="IKY7" s="2"/>
      <c r="IKZ7" s="2"/>
      <c r="ILA7" s="2"/>
      <c r="ILB7" s="2"/>
      <c r="ILC7" s="2"/>
      <c r="ILD7" s="2"/>
      <c r="ILE7" s="2"/>
      <c r="ILF7" s="2"/>
      <c r="ILG7" s="2"/>
      <c r="ILH7" s="2"/>
      <c r="ILI7" s="2"/>
      <c r="ILJ7" s="2"/>
      <c r="ILK7" s="2"/>
      <c r="ILL7" s="2"/>
      <c r="ILM7" s="2"/>
      <c r="ILN7" s="2"/>
      <c r="ILO7" s="2"/>
      <c r="ILP7" s="2"/>
      <c r="ILQ7" s="2"/>
      <c r="ILR7" s="2"/>
      <c r="ILS7" s="2"/>
      <c r="ILT7" s="2"/>
      <c r="ILU7" s="2"/>
      <c r="ILV7" s="2"/>
      <c r="ILW7" s="2"/>
      <c r="ILX7" s="2"/>
      <c r="ILY7" s="2"/>
      <c r="ILZ7" s="2"/>
      <c r="IMA7" s="2"/>
      <c r="IMB7" s="2"/>
      <c r="IMC7" s="2"/>
      <c r="IMD7" s="2"/>
      <c r="IME7" s="2"/>
      <c r="IMF7" s="2"/>
      <c r="IMG7" s="2"/>
      <c r="IMH7" s="2"/>
      <c r="IMI7" s="2"/>
      <c r="IMJ7" s="2"/>
      <c r="IMK7" s="2"/>
      <c r="IML7" s="2"/>
      <c r="IMM7" s="2"/>
      <c r="IMN7" s="2"/>
      <c r="IMO7" s="2"/>
      <c r="IMP7" s="2"/>
      <c r="IMQ7" s="2"/>
      <c r="IMR7" s="2"/>
      <c r="IMS7" s="2"/>
      <c r="IMT7" s="2"/>
      <c r="IMU7" s="2"/>
      <c r="IMV7" s="2"/>
      <c r="IMW7" s="2"/>
      <c r="IMX7" s="2"/>
      <c r="IMY7" s="2"/>
      <c r="IMZ7" s="2"/>
      <c r="INA7" s="2"/>
      <c r="INB7" s="2"/>
      <c r="INC7" s="2"/>
      <c r="IND7" s="2"/>
      <c r="INE7" s="2"/>
      <c r="INF7" s="2"/>
      <c r="ING7" s="2"/>
      <c r="INH7" s="2"/>
      <c r="INI7" s="2"/>
      <c r="INJ7" s="2"/>
      <c r="INK7" s="2"/>
      <c r="INL7" s="2"/>
      <c r="INM7" s="2"/>
      <c r="INN7" s="2"/>
      <c r="INO7" s="2"/>
      <c r="INP7" s="2"/>
      <c r="INQ7" s="2"/>
      <c r="INR7" s="2"/>
      <c r="INS7" s="2"/>
      <c r="INT7" s="2"/>
      <c r="INU7" s="2"/>
      <c r="INV7" s="2"/>
      <c r="INW7" s="2"/>
      <c r="INX7" s="2"/>
      <c r="INY7" s="2"/>
      <c r="INZ7" s="2"/>
      <c r="IOA7" s="2"/>
      <c r="IOB7" s="2"/>
      <c r="IOC7" s="2"/>
      <c r="IOD7" s="2"/>
      <c r="IOE7" s="2"/>
      <c r="IOF7" s="2"/>
      <c r="IOG7" s="2"/>
      <c r="IOH7" s="2"/>
      <c r="IOI7" s="2"/>
      <c r="IOJ7" s="2"/>
      <c r="IOK7" s="2"/>
      <c r="IOL7" s="2"/>
      <c r="IOM7" s="2"/>
      <c r="ION7" s="2"/>
      <c r="IOO7" s="2"/>
      <c r="IOP7" s="2"/>
      <c r="IOQ7" s="2"/>
      <c r="IOR7" s="2"/>
      <c r="IOS7" s="2"/>
      <c r="IOT7" s="2"/>
      <c r="IOU7" s="2"/>
      <c r="IOV7" s="2"/>
      <c r="IOW7" s="2"/>
      <c r="IOX7" s="2"/>
      <c r="IOY7" s="2"/>
      <c r="IOZ7" s="2"/>
      <c r="IPA7" s="2"/>
      <c r="IPB7" s="2"/>
      <c r="IPC7" s="2"/>
      <c r="IPD7" s="2"/>
      <c r="IPE7" s="2"/>
      <c r="IPF7" s="2"/>
      <c r="IPG7" s="2"/>
      <c r="IPH7" s="2"/>
      <c r="IPI7" s="2"/>
      <c r="IPJ7" s="2"/>
      <c r="IPK7" s="2"/>
      <c r="IPL7" s="2"/>
      <c r="IPM7" s="2"/>
      <c r="IPN7" s="2"/>
      <c r="IPO7" s="2"/>
      <c r="IPP7" s="2"/>
      <c r="IPQ7" s="2"/>
      <c r="IPR7" s="2"/>
      <c r="IPS7" s="2"/>
      <c r="IPT7" s="2"/>
      <c r="IPU7" s="2"/>
      <c r="IPV7" s="2"/>
      <c r="IPW7" s="2"/>
      <c r="IPX7" s="2"/>
      <c r="IPY7" s="2"/>
      <c r="IPZ7" s="2"/>
      <c r="IQA7" s="2"/>
      <c r="IQB7" s="2"/>
      <c r="IQC7" s="2"/>
      <c r="IQD7" s="2"/>
      <c r="IQE7" s="2"/>
      <c r="IQF7" s="2"/>
      <c r="IQG7" s="2"/>
      <c r="IQH7" s="2"/>
      <c r="IQI7" s="2"/>
      <c r="IQJ7" s="2"/>
      <c r="IQK7" s="2"/>
      <c r="IQL7" s="2"/>
      <c r="IQM7" s="2"/>
      <c r="IQN7" s="2"/>
      <c r="IQO7" s="2"/>
      <c r="IQP7" s="2"/>
      <c r="IQQ7" s="2"/>
      <c r="IQR7" s="2"/>
      <c r="IQS7" s="2"/>
      <c r="IQT7" s="2"/>
      <c r="IQU7" s="2"/>
      <c r="IQV7" s="2"/>
      <c r="IQW7" s="2"/>
      <c r="IQX7" s="2"/>
      <c r="IQY7" s="2"/>
      <c r="IQZ7" s="2"/>
      <c r="IRA7" s="2"/>
      <c r="IRB7" s="2"/>
      <c r="IRC7" s="2"/>
      <c r="IRD7" s="2"/>
      <c r="IRE7" s="2"/>
      <c r="IRF7" s="2"/>
      <c r="IRG7" s="2"/>
      <c r="IRH7" s="2"/>
      <c r="IRI7" s="2"/>
      <c r="IRJ7" s="2"/>
      <c r="IRK7" s="2"/>
      <c r="IRL7" s="2"/>
      <c r="IRM7" s="2"/>
      <c r="IRN7" s="2"/>
      <c r="IRO7" s="2"/>
      <c r="IRP7" s="2"/>
      <c r="IRQ7" s="2"/>
      <c r="IRR7" s="2"/>
      <c r="IRS7" s="2"/>
      <c r="IRT7" s="2"/>
      <c r="IRU7" s="2"/>
      <c r="IRV7" s="2"/>
      <c r="IRW7" s="2"/>
      <c r="IRX7" s="2"/>
      <c r="IRY7" s="2"/>
      <c r="IRZ7" s="2"/>
      <c r="ISA7" s="2"/>
      <c r="ISB7" s="2"/>
      <c r="ISC7" s="2"/>
      <c r="ISD7" s="2"/>
      <c r="ISE7" s="2"/>
      <c r="ISF7" s="2"/>
      <c r="ISG7" s="2"/>
      <c r="ISH7" s="2"/>
      <c r="ISI7" s="2"/>
      <c r="ISJ7" s="2"/>
      <c r="ISK7" s="2"/>
      <c r="ISL7" s="2"/>
      <c r="ISM7" s="2"/>
      <c r="ISN7" s="2"/>
      <c r="ISO7" s="2"/>
      <c r="ISP7" s="2"/>
      <c r="ISQ7" s="2"/>
      <c r="ISR7" s="2"/>
      <c r="ISS7" s="2"/>
      <c r="IST7" s="2"/>
      <c r="ISU7" s="2"/>
      <c r="ISV7" s="2"/>
      <c r="ISW7" s="2"/>
      <c r="ISX7" s="2"/>
      <c r="ISY7" s="2"/>
      <c r="ISZ7" s="2"/>
      <c r="ITA7" s="2"/>
      <c r="ITB7" s="2"/>
      <c r="ITC7" s="2"/>
      <c r="ITD7" s="2"/>
      <c r="ITE7" s="2"/>
      <c r="ITF7" s="2"/>
      <c r="ITG7" s="2"/>
      <c r="ITH7" s="2"/>
      <c r="ITI7" s="2"/>
      <c r="ITJ7" s="2"/>
      <c r="ITK7" s="2"/>
      <c r="ITL7" s="2"/>
      <c r="ITM7" s="2"/>
      <c r="ITN7" s="2"/>
      <c r="ITO7" s="2"/>
      <c r="ITP7" s="2"/>
      <c r="ITQ7" s="2"/>
      <c r="ITR7" s="2"/>
      <c r="ITS7" s="2"/>
      <c r="ITT7" s="2"/>
      <c r="ITU7" s="2"/>
      <c r="ITV7" s="2"/>
      <c r="ITW7" s="2"/>
      <c r="ITX7" s="2"/>
      <c r="ITY7" s="2"/>
      <c r="ITZ7" s="2"/>
      <c r="IUA7" s="2"/>
      <c r="IUB7" s="2"/>
      <c r="IUC7" s="2"/>
      <c r="IUD7" s="2"/>
      <c r="IUE7" s="2"/>
      <c r="IUF7" s="2"/>
      <c r="IUG7" s="2"/>
      <c r="IUH7" s="2"/>
      <c r="IUI7" s="2"/>
      <c r="IUJ7" s="2"/>
      <c r="IUK7" s="2"/>
      <c r="IUL7" s="2"/>
      <c r="IUM7" s="2"/>
      <c r="IUN7" s="2"/>
      <c r="IUO7" s="2"/>
      <c r="IUP7" s="2"/>
      <c r="IUQ7" s="2"/>
      <c r="IUR7" s="2"/>
      <c r="IUS7" s="2"/>
      <c r="IUT7" s="2"/>
      <c r="IUU7" s="2"/>
      <c r="IUV7" s="2"/>
      <c r="IUW7" s="2"/>
      <c r="IUX7" s="2"/>
      <c r="IUY7" s="2"/>
      <c r="IUZ7" s="2"/>
      <c r="IVA7" s="2"/>
      <c r="IVB7" s="2"/>
      <c r="IVC7" s="2"/>
      <c r="IVD7" s="2"/>
      <c r="IVE7" s="2"/>
      <c r="IVF7" s="2"/>
      <c r="IVG7" s="2"/>
      <c r="IVH7" s="2"/>
      <c r="IVI7" s="2"/>
      <c r="IVJ7" s="2"/>
      <c r="IVK7" s="2"/>
      <c r="IVL7" s="2"/>
      <c r="IVM7" s="2"/>
      <c r="IVN7" s="2"/>
      <c r="IVO7" s="2"/>
      <c r="IVP7" s="2"/>
      <c r="IVQ7" s="2"/>
      <c r="IVR7" s="2"/>
      <c r="IVS7" s="2"/>
      <c r="IVT7" s="2"/>
      <c r="IVU7" s="2"/>
      <c r="IVV7" s="2"/>
      <c r="IVW7" s="2"/>
      <c r="IVX7" s="2"/>
      <c r="IVY7" s="2"/>
      <c r="IVZ7" s="2"/>
      <c r="IWA7" s="2"/>
      <c r="IWB7" s="2"/>
      <c r="IWC7" s="2"/>
      <c r="IWD7" s="2"/>
      <c r="IWE7" s="2"/>
      <c r="IWF7" s="2"/>
      <c r="IWG7" s="2"/>
      <c r="IWH7" s="2"/>
      <c r="IWI7" s="2"/>
      <c r="IWJ7" s="2"/>
      <c r="IWK7" s="2"/>
      <c r="IWL7" s="2"/>
      <c r="IWM7" s="2"/>
      <c r="IWN7" s="2"/>
      <c r="IWO7" s="2"/>
      <c r="IWP7" s="2"/>
      <c r="IWQ7" s="2"/>
      <c r="IWR7" s="2"/>
      <c r="IWS7" s="2"/>
      <c r="IWT7" s="2"/>
      <c r="IWU7" s="2"/>
      <c r="IWV7" s="2"/>
      <c r="IWW7" s="2"/>
      <c r="IWX7" s="2"/>
      <c r="IWY7" s="2"/>
      <c r="IWZ7" s="2"/>
      <c r="IXA7" s="2"/>
      <c r="IXB7" s="2"/>
      <c r="IXC7" s="2"/>
      <c r="IXD7" s="2"/>
      <c r="IXE7" s="2"/>
      <c r="IXF7" s="2"/>
      <c r="IXG7" s="2"/>
      <c r="IXH7" s="2"/>
      <c r="IXI7" s="2"/>
      <c r="IXJ7" s="2"/>
      <c r="IXK7" s="2"/>
      <c r="IXL7" s="2"/>
      <c r="IXM7" s="2"/>
      <c r="IXN7" s="2"/>
      <c r="IXO7" s="2"/>
      <c r="IXP7" s="2"/>
      <c r="IXQ7" s="2"/>
      <c r="IXR7" s="2"/>
      <c r="IXS7" s="2"/>
      <c r="IXT7" s="2"/>
      <c r="IXU7" s="2"/>
      <c r="IXV7" s="2"/>
      <c r="IXW7" s="2"/>
      <c r="IXX7" s="2"/>
      <c r="IXY7" s="2"/>
      <c r="IXZ7" s="2"/>
      <c r="IYA7" s="2"/>
      <c r="IYB7" s="2"/>
      <c r="IYC7" s="2"/>
      <c r="IYD7" s="2"/>
      <c r="IYE7" s="2"/>
      <c r="IYF7" s="2"/>
      <c r="IYG7" s="2"/>
      <c r="IYH7" s="2"/>
      <c r="IYI7" s="2"/>
      <c r="IYJ7" s="2"/>
      <c r="IYK7" s="2"/>
      <c r="IYL7" s="2"/>
      <c r="IYM7" s="2"/>
      <c r="IYN7" s="2"/>
      <c r="IYO7" s="2"/>
      <c r="IYP7" s="2"/>
      <c r="IYQ7" s="2"/>
      <c r="IYR7" s="2"/>
      <c r="IYS7" s="2"/>
      <c r="IYT7" s="2"/>
      <c r="IYU7" s="2"/>
      <c r="IYV7" s="2"/>
      <c r="IYW7" s="2"/>
      <c r="IYX7" s="2"/>
      <c r="IYY7" s="2"/>
      <c r="IYZ7" s="2"/>
      <c r="IZA7" s="2"/>
      <c r="IZB7" s="2"/>
      <c r="IZC7" s="2"/>
      <c r="IZD7" s="2"/>
      <c r="IZE7" s="2"/>
      <c r="IZF7" s="2"/>
      <c r="IZG7" s="2"/>
      <c r="IZH7" s="2"/>
      <c r="IZI7" s="2"/>
      <c r="IZJ7" s="2"/>
      <c r="IZK7" s="2"/>
      <c r="IZL7" s="2"/>
      <c r="IZM7" s="2"/>
      <c r="IZN7" s="2"/>
      <c r="IZO7" s="2"/>
      <c r="IZP7" s="2"/>
      <c r="IZQ7" s="2"/>
      <c r="IZR7" s="2"/>
      <c r="IZS7" s="2"/>
      <c r="IZT7" s="2"/>
      <c r="IZU7" s="2"/>
      <c r="IZV7" s="2"/>
      <c r="IZW7" s="2"/>
      <c r="IZX7" s="2"/>
      <c r="IZY7" s="2"/>
      <c r="IZZ7" s="2"/>
      <c r="JAA7" s="2"/>
      <c r="JAB7" s="2"/>
      <c r="JAC7" s="2"/>
      <c r="JAD7" s="2"/>
      <c r="JAE7" s="2"/>
      <c r="JAF7" s="2"/>
      <c r="JAG7" s="2"/>
      <c r="JAH7" s="2"/>
      <c r="JAI7" s="2"/>
      <c r="JAJ7" s="2"/>
      <c r="JAK7" s="2"/>
      <c r="JAL7" s="2"/>
      <c r="JAM7" s="2"/>
      <c r="JAN7" s="2"/>
      <c r="JAO7" s="2"/>
      <c r="JAP7" s="2"/>
      <c r="JAQ7" s="2"/>
      <c r="JAR7" s="2"/>
      <c r="JAS7" s="2"/>
      <c r="JAT7" s="2"/>
      <c r="JAU7" s="2"/>
      <c r="JAV7" s="2"/>
      <c r="JAW7" s="2"/>
      <c r="JAX7" s="2"/>
      <c r="JAY7" s="2"/>
      <c r="JAZ7" s="2"/>
      <c r="JBA7" s="2"/>
      <c r="JBB7" s="2"/>
      <c r="JBC7" s="2"/>
      <c r="JBD7" s="2"/>
      <c r="JBE7" s="2"/>
      <c r="JBF7" s="2"/>
      <c r="JBG7" s="2"/>
      <c r="JBH7" s="2"/>
      <c r="JBI7" s="2"/>
      <c r="JBJ7" s="2"/>
      <c r="JBK7" s="2"/>
      <c r="JBL7" s="2"/>
      <c r="JBM7" s="2"/>
      <c r="JBN7" s="2"/>
      <c r="JBO7" s="2"/>
      <c r="JBP7" s="2"/>
      <c r="JBQ7" s="2"/>
      <c r="JBR7" s="2"/>
      <c r="JBS7" s="2"/>
      <c r="JBT7" s="2"/>
      <c r="JBU7" s="2"/>
      <c r="JBV7" s="2"/>
      <c r="JBW7" s="2"/>
      <c r="JBX7" s="2"/>
      <c r="JBY7" s="2"/>
      <c r="JBZ7" s="2"/>
      <c r="JCA7" s="2"/>
      <c r="JCB7" s="2"/>
      <c r="JCC7" s="2"/>
      <c r="JCD7" s="2"/>
      <c r="JCE7" s="2"/>
      <c r="JCF7" s="2"/>
      <c r="JCG7" s="2"/>
      <c r="JCH7" s="2"/>
      <c r="JCI7" s="2"/>
      <c r="JCJ7" s="2"/>
      <c r="JCK7" s="2"/>
      <c r="JCL7" s="2"/>
      <c r="JCM7" s="2"/>
      <c r="JCN7" s="2"/>
      <c r="JCO7" s="2"/>
      <c r="JCP7" s="2"/>
      <c r="JCQ7" s="2"/>
      <c r="JCR7" s="2"/>
      <c r="JCS7" s="2"/>
      <c r="JCT7" s="2"/>
      <c r="JCU7" s="2"/>
      <c r="JCV7" s="2"/>
      <c r="JCW7" s="2"/>
      <c r="JCX7" s="2"/>
      <c r="JCY7" s="2"/>
      <c r="JCZ7" s="2"/>
      <c r="JDA7" s="2"/>
      <c r="JDB7" s="2"/>
      <c r="JDC7" s="2"/>
      <c r="JDD7" s="2"/>
      <c r="JDE7" s="2"/>
      <c r="JDF7" s="2"/>
      <c r="JDG7" s="2"/>
      <c r="JDH7" s="2"/>
      <c r="JDI7" s="2"/>
      <c r="JDJ7" s="2"/>
      <c r="JDK7" s="2"/>
      <c r="JDL7" s="2"/>
      <c r="JDM7" s="2"/>
      <c r="JDN7" s="2"/>
      <c r="JDO7" s="2"/>
      <c r="JDP7" s="2"/>
      <c r="JDQ7" s="2"/>
      <c r="JDR7" s="2"/>
      <c r="JDS7" s="2"/>
      <c r="JDT7" s="2"/>
      <c r="JDU7" s="2"/>
      <c r="JDV7" s="2"/>
      <c r="JDW7" s="2"/>
      <c r="JDX7" s="2"/>
      <c r="JDY7" s="2"/>
      <c r="JDZ7" s="2"/>
      <c r="JEA7" s="2"/>
      <c r="JEB7" s="2"/>
      <c r="JEC7" s="2"/>
      <c r="JED7" s="2"/>
      <c r="JEE7" s="2"/>
      <c r="JEF7" s="2"/>
      <c r="JEG7" s="2"/>
      <c r="JEH7" s="2"/>
      <c r="JEI7" s="2"/>
      <c r="JEJ7" s="2"/>
      <c r="JEK7" s="2"/>
      <c r="JEL7" s="2"/>
      <c r="JEM7" s="2"/>
      <c r="JEN7" s="2"/>
      <c r="JEO7" s="2"/>
      <c r="JEP7" s="2"/>
      <c r="JEQ7" s="2"/>
      <c r="JER7" s="2"/>
      <c r="JES7" s="2"/>
      <c r="JET7" s="2"/>
      <c r="JEU7" s="2"/>
      <c r="JEV7" s="2"/>
      <c r="JEW7" s="2"/>
      <c r="JEX7" s="2"/>
      <c r="JEY7" s="2"/>
      <c r="JEZ7" s="2"/>
      <c r="JFA7" s="2"/>
      <c r="JFB7" s="2"/>
      <c r="JFC7" s="2"/>
      <c r="JFD7" s="2"/>
      <c r="JFE7" s="2"/>
      <c r="JFF7" s="2"/>
      <c r="JFG7" s="2"/>
      <c r="JFH7" s="2"/>
      <c r="JFI7" s="2"/>
      <c r="JFJ7" s="2"/>
      <c r="JFK7" s="2"/>
      <c r="JFL7" s="2"/>
      <c r="JFM7" s="2"/>
      <c r="JFN7" s="2"/>
      <c r="JFO7" s="2"/>
      <c r="JFP7" s="2"/>
      <c r="JFQ7" s="2"/>
      <c r="JFR7" s="2"/>
      <c r="JFS7" s="2"/>
      <c r="JFT7" s="2"/>
      <c r="JFU7" s="2"/>
      <c r="JFV7" s="2"/>
      <c r="JFW7" s="2"/>
      <c r="JFX7" s="2"/>
      <c r="JFY7" s="2"/>
      <c r="JFZ7" s="2"/>
      <c r="JGA7" s="2"/>
      <c r="JGB7" s="2"/>
      <c r="JGC7" s="2"/>
      <c r="JGD7" s="2"/>
      <c r="JGE7" s="2"/>
      <c r="JGF7" s="2"/>
      <c r="JGG7" s="2"/>
      <c r="JGH7" s="2"/>
      <c r="JGI7" s="2"/>
      <c r="JGJ7" s="2"/>
      <c r="JGK7" s="2"/>
      <c r="JGL7" s="2"/>
      <c r="JGM7" s="2"/>
      <c r="JGN7" s="2"/>
      <c r="JGO7" s="2"/>
      <c r="JGP7" s="2"/>
      <c r="JGQ7" s="2"/>
      <c r="JGR7" s="2"/>
      <c r="JGS7" s="2"/>
      <c r="JGT7" s="2"/>
      <c r="JGU7" s="2"/>
      <c r="JGV7" s="2"/>
      <c r="JGW7" s="2"/>
      <c r="JGX7" s="2"/>
      <c r="JGY7" s="2"/>
      <c r="JGZ7" s="2"/>
      <c r="JHA7" s="2"/>
      <c r="JHB7" s="2"/>
      <c r="JHC7" s="2"/>
      <c r="JHD7" s="2"/>
      <c r="JHE7" s="2"/>
      <c r="JHF7" s="2"/>
      <c r="JHG7" s="2"/>
      <c r="JHH7" s="2"/>
      <c r="JHI7" s="2"/>
      <c r="JHJ7" s="2"/>
      <c r="JHK7" s="2"/>
      <c r="JHL7" s="2"/>
      <c r="JHM7" s="2"/>
      <c r="JHN7" s="2"/>
      <c r="JHO7" s="2"/>
      <c r="JHP7" s="2"/>
      <c r="JHQ7" s="2"/>
      <c r="JHR7" s="2"/>
      <c r="JHS7" s="2"/>
      <c r="JHT7" s="2"/>
      <c r="JHU7" s="2"/>
      <c r="JHV7" s="2"/>
      <c r="JHW7" s="2"/>
      <c r="JHX7" s="2"/>
      <c r="JHY7" s="2"/>
      <c r="JHZ7" s="2"/>
      <c r="JIA7" s="2"/>
      <c r="JIB7" s="2"/>
      <c r="JIC7" s="2"/>
      <c r="JID7" s="2"/>
      <c r="JIE7" s="2"/>
      <c r="JIF7" s="2"/>
      <c r="JIG7" s="2"/>
      <c r="JIH7" s="2"/>
      <c r="JII7" s="2"/>
      <c r="JIJ7" s="2"/>
      <c r="JIK7" s="2"/>
      <c r="JIL7" s="2"/>
      <c r="JIM7" s="2"/>
      <c r="JIN7" s="2"/>
      <c r="JIO7" s="2"/>
      <c r="JIP7" s="2"/>
      <c r="JIQ7" s="2"/>
      <c r="JIR7" s="2"/>
      <c r="JIS7" s="2"/>
      <c r="JIT7" s="2"/>
      <c r="JIU7" s="2"/>
      <c r="JIV7" s="2"/>
      <c r="JIW7" s="2"/>
      <c r="JIX7" s="2"/>
      <c r="JIY7" s="2"/>
      <c r="JIZ7" s="2"/>
      <c r="JJA7" s="2"/>
      <c r="JJB7" s="2"/>
      <c r="JJC7" s="2"/>
      <c r="JJD7" s="2"/>
      <c r="JJE7" s="2"/>
      <c r="JJF7" s="2"/>
      <c r="JJG7" s="2"/>
      <c r="JJH7" s="2"/>
      <c r="JJI7" s="2"/>
      <c r="JJJ7" s="2"/>
      <c r="JJK7" s="2"/>
      <c r="JJL7" s="2"/>
      <c r="JJM7" s="2"/>
      <c r="JJN7" s="2"/>
      <c r="JJO7" s="2"/>
      <c r="JJP7" s="2"/>
      <c r="JJQ7" s="2"/>
      <c r="JJR7" s="2"/>
      <c r="JJS7" s="2"/>
      <c r="JJT7" s="2"/>
      <c r="JJU7" s="2"/>
      <c r="JJV7" s="2"/>
      <c r="JJW7" s="2"/>
      <c r="JJX7" s="2"/>
      <c r="JJY7" s="2"/>
      <c r="JJZ7" s="2"/>
      <c r="JKA7" s="2"/>
      <c r="JKB7" s="2"/>
      <c r="JKC7" s="2"/>
      <c r="JKD7" s="2"/>
      <c r="JKE7" s="2"/>
      <c r="JKF7" s="2"/>
      <c r="JKG7" s="2"/>
      <c r="JKH7" s="2"/>
      <c r="JKI7" s="2"/>
      <c r="JKJ7" s="2"/>
      <c r="JKK7" s="2"/>
      <c r="JKL7" s="2"/>
      <c r="JKM7" s="2"/>
      <c r="JKN7" s="2"/>
      <c r="JKO7" s="2"/>
      <c r="JKP7" s="2"/>
      <c r="JKQ7" s="2"/>
      <c r="JKR7" s="2"/>
      <c r="JKS7" s="2"/>
      <c r="JKT7" s="2"/>
      <c r="JKU7" s="2"/>
      <c r="JKV7" s="2"/>
      <c r="JKW7" s="2"/>
      <c r="JKX7" s="2"/>
      <c r="JKY7" s="2"/>
      <c r="JKZ7" s="2"/>
      <c r="JLA7" s="2"/>
      <c r="JLB7" s="2"/>
      <c r="JLC7" s="2"/>
      <c r="JLD7" s="2"/>
      <c r="JLE7" s="2"/>
      <c r="JLF7" s="2"/>
      <c r="JLG7" s="2"/>
      <c r="JLH7" s="2"/>
      <c r="JLI7" s="2"/>
      <c r="JLJ7" s="2"/>
      <c r="JLK7" s="2"/>
      <c r="JLL7" s="2"/>
      <c r="JLM7" s="2"/>
      <c r="JLN7" s="2"/>
      <c r="JLO7" s="2"/>
      <c r="JLP7" s="2"/>
      <c r="JLQ7" s="2"/>
      <c r="JLR7" s="2"/>
      <c r="JLS7" s="2"/>
      <c r="JLT7" s="2"/>
      <c r="JLU7" s="2"/>
      <c r="JLV7" s="2"/>
      <c r="JLW7" s="2"/>
      <c r="JLX7" s="2"/>
      <c r="JLY7" s="2"/>
      <c r="JLZ7" s="2"/>
      <c r="JMA7" s="2"/>
      <c r="JMB7" s="2"/>
      <c r="JMC7" s="2"/>
      <c r="JMD7" s="2"/>
      <c r="JME7" s="2"/>
      <c r="JMF7" s="2"/>
      <c r="JMG7" s="2"/>
      <c r="JMH7" s="2"/>
      <c r="JMI7" s="2"/>
      <c r="JMJ7" s="2"/>
      <c r="JMK7" s="2"/>
      <c r="JML7" s="2"/>
      <c r="JMM7" s="2"/>
      <c r="JMN7" s="2"/>
      <c r="JMO7" s="2"/>
      <c r="JMP7" s="2"/>
      <c r="JMQ7" s="2"/>
      <c r="JMR7" s="2"/>
      <c r="JMS7" s="2"/>
      <c r="JMT7" s="2"/>
      <c r="JMU7" s="2"/>
      <c r="JMV7" s="2"/>
      <c r="JMW7" s="2"/>
      <c r="JMX7" s="2"/>
      <c r="JMY7" s="2"/>
      <c r="JMZ7" s="2"/>
      <c r="JNA7" s="2"/>
      <c r="JNB7" s="2"/>
      <c r="JNC7" s="2"/>
      <c r="JND7" s="2"/>
      <c r="JNE7" s="2"/>
      <c r="JNF7" s="2"/>
      <c r="JNG7" s="2"/>
      <c r="JNH7" s="2"/>
      <c r="JNI7" s="2"/>
      <c r="JNJ7" s="2"/>
      <c r="JNK7" s="2"/>
      <c r="JNL7" s="2"/>
      <c r="JNM7" s="2"/>
      <c r="JNN7" s="2"/>
      <c r="JNO7" s="2"/>
      <c r="JNP7" s="2"/>
      <c r="JNQ7" s="2"/>
      <c r="JNR7" s="2"/>
      <c r="JNS7" s="2"/>
      <c r="JNT7" s="2"/>
      <c r="JNU7" s="2"/>
      <c r="JNV7" s="2"/>
      <c r="JNW7" s="2"/>
      <c r="JNX7" s="2"/>
      <c r="JNY7" s="2"/>
      <c r="JNZ7" s="2"/>
      <c r="JOA7" s="2"/>
      <c r="JOB7" s="2"/>
      <c r="JOC7" s="2"/>
      <c r="JOD7" s="2"/>
      <c r="JOE7" s="2"/>
      <c r="JOF7" s="2"/>
      <c r="JOG7" s="2"/>
      <c r="JOH7" s="2"/>
      <c r="JOI7" s="2"/>
      <c r="JOJ7" s="2"/>
      <c r="JOK7" s="2"/>
      <c r="JOL7" s="2"/>
      <c r="JOM7" s="2"/>
      <c r="JON7" s="2"/>
      <c r="JOO7" s="2"/>
      <c r="JOP7" s="2"/>
      <c r="JOQ7" s="2"/>
      <c r="JOR7" s="2"/>
      <c r="JOS7" s="2"/>
      <c r="JOT7" s="2"/>
      <c r="JOU7" s="2"/>
      <c r="JOV7" s="2"/>
      <c r="JOW7" s="2"/>
      <c r="JOX7" s="2"/>
      <c r="JOY7" s="2"/>
      <c r="JOZ7" s="2"/>
      <c r="JPA7" s="2"/>
      <c r="JPB7" s="2"/>
      <c r="JPC7" s="2"/>
      <c r="JPD7" s="2"/>
      <c r="JPE7" s="2"/>
      <c r="JPF7" s="2"/>
      <c r="JPG7" s="2"/>
      <c r="JPH7" s="2"/>
      <c r="JPI7" s="2"/>
      <c r="JPJ7" s="2"/>
      <c r="JPK7" s="2"/>
      <c r="JPL7" s="2"/>
      <c r="JPM7" s="2"/>
      <c r="JPN7" s="2"/>
      <c r="JPO7" s="2"/>
      <c r="JPP7" s="2"/>
      <c r="JPQ7" s="2"/>
      <c r="JPR7" s="2"/>
      <c r="JPS7" s="2"/>
      <c r="JPT7" s="2"/>
      <c r="JPU7" s="2"/>
      <c r="JPV7" s="2"/>
      <c r="JPW7" s="2"/>
      <c r="JPX7" s="2"/>
      <c r="JPY7" s="2"/>
      <c r="JPZ7" s="2"/>
      <c r="JQA7" s="2"/>
      <c r="JQB7" s="2"/>
      <c r="JQC7" s="2"/>
      <c r="JQD7" s="2"/>
      <c r="JQE7" s="2"/>
      <c r="JQF7" s="2"/>
      <c r="JQG7" s="2"/>
      <c r="JQH7" s="2"/>
      <c r="JQI7" s="2"/>
      <c r="JQJ7" s="2"/>
      <c r="JQK7" s="2"/>
      <c r="JQL7" s="2"/>
      <c r="JQM7" s="2"/>
      <c r="JQN7" s="2"/>
      <c r="JQO7" s="2"/>
      <c r="JQP7" s="2"/>
      <c r="JQQ7" s="2"/>
      <c r="JQR7" s="2"/>
      <c r="JQS7" s="2"/>
      <c r="JQT7" s="2"/>
      <c r="JQU7" s="2"/>
      <c r="JQV7" s="2"/>
      <c r="JQW7" s="2"/>
      <c r="JQX7" s="2"/>
      <c r="JQY7" s="2"/>
      <c r="JQZ7" s="2"/>
      <c r="JRA7" s="2"/>
      <c r="JRB7" s="2"/>
      <c r="JRC7" s="2"/>
      <c r="JRD7" s="2"/>
      <c r="JRE7" s="2"/>
      <c r="JRF7" s="2"/>
      <c r="JRG7" s="2"/>
      <c r="JRH7" s="2"/>
      <c r="JRI7" s="2"/>
      <c r="JRJ7" s="2"/>
      <c r="JRK7" s="2"/>
      <c r="JRL7" s="2"/>
      <c r="JRM7" s="2"/>
      <c r="JRN7" s="2"/>
      <c r="JRO7" s="2"/>
      <c r="JRP7" s="2"/>
      <c r="JRQ7" s="2"/>
      <c r="JRR7" s="2"/>
      <c r="JRS7" s="2"/>
      <c r="JRT7" s="2"/>
      <c r="JRU7" s="2"/>
      <c r="JRV7" s="2"/>
      <c r="JRW7" s="2"/>
      <c r="JRX7" s="2"/>
      <c r="JRY7" s="2"/>
      <c r="JRZ7" s="2"/>
      <c r="JSA7" s="2"/>
      <c r="JSB7" s="2"/>
      <c r="JSC7" s="2"/>
      <c r="JSD7" s="2"/>
      <c r="JSE7" s="2"/>
      <c r="JSF7" s="2"/>
      <c r="JSG7" s="2"/>
      <c r="JSH7" s="2"/>
      <c r="JSI7" s="2"/>
      <c r="JSJ7" s="2"/>
      <c r="JSK7" s="2"/>
      <c r="JSL7" s="2"/>
      <c r="JSM7" s="2"/>
      <c r="JSN7" s="2"/>
      <c r="JSO7" s="2"/>
      <c r="JSP7" s="2"/>
      <c r="JSQ7" s="2"/>
      <c r="JSR7" s="2"/>
      <c r="JSS7" s="2"/>
      <c r="JST7" s="2"/>
      <c r="JSU7" s="2"/>
      <c r="JSV7" s="2"/>
      <c r="JSW7" s="2"/>
      <c r="JSX7" s="2"/>
      <c r="JSY7" s="2"/>
      <c r="JSZ7" s="2"/>
      <c r="JTA7" s="2"/>
      <c r="JTB7" s="2"/>
      <c r="JTC7" s="2"/>
      <c r="JTD7" s="2"/>
      <c r="JTE7" s="2"/>
      <c r="JTF7" s="2"/>
      <c r="JTG7" s="2"/>
      <c r="JTH7" s="2"/>
      <c r="JTI7" s="2"/>
      <c r="JTJ7" s="2"/>
      <c r="JTK7" s="2"/>
      <c r="JTL7" s="2"/>
      <c r="JTM7" s="2"/>
      <c r="JTN7" s="2"/>
      <c r="JTO7" s="2"/>
      <c r="JTP7" s="2"/>
      <c r="JTQ7" s="2"/>
      <c r="JTR7" s="2"/>
      <c r="JTS7" s="2"/>
      <c r="JTT7" s="2"/>
      <c r="JTU7" s="2"/>
      <c r="JTV7" s="2"/>
      <c r="JTW7" s="2"/>
      <c r="JTX7" s="2"/>
      <c r="JTY7" s="2"/>
      <c r="JTZ7" s="2"/>
      <c r="JUA7" s="2"/>
      <c r="JUB7" s="2"/>
      <c r="JUC7" s="2"/>
      <c r="JUD7" s="2"/>
      <c r="JUE7" s="2"/>
      <c r="JUF7" s="2"/>
      <c r="JUG7" s="2"/>
      <c r="JUH7" s="2"/>
      <c r="JUI7" s="2"/>
      <c r="JUJ7" s="2"/>
      <c r="JUK7" s="2"/>
      <c r="JUL7" s="2"/>
      <c r="JUM7" s="2"/>
      <c r="JUN7" s="2"/>
      <c r="JUO7" s="2"/>
      <c r="JUP7" s="2"/>
      <c r="JUQ7" s="2"/>
      <c r="JUR7" s="2"/>
      <c r="JUS7" s="2"/>
      <c r="JUT7" s="2"/>
      <c r="JUU7" s="2"/>
      <c r="JUV7" s="2"/>
      <c r="JUW7" s="2"/>
      <c r="JUX7" s="2"/>
      <c r="JUY7" s="2"/>
      <c r="JUZ7" s="2"/>
      <c r="JVA7" s="2"/>
      <c r="JVB7" s="2"/>
      <c r="JVC7" s="2"/>
      <c r="JVD7" s="2"/>
      <c r="JVE7" s="2"/>
      <c r="JVF7" s="2"/>
      <c r="JVG7" s="2"/>
      <c r="JVH7" s="2"/>
      <c r="JVI7" s="2"/>
      <c r="JVJ7" s="2"/>
      <c r="JVK7" s="2"/>
      <c r="JVL7" s="2"/>
      <c r="JVM7" s="2"/>
      <c r="JVN7" s="2"/>
      <c r="JVO7" s="2"/>
      <c r="JVP7" s="2"/>
      <c r="JVQ7" s="2"/>
      <c r="JVR7" s="2"/>
      <c r="JVS7" s="2"/>
      <c r="JVT7" s="2"/>
      <c r="JVU7" s="2"/>
      <c r="JVV7" s="2"/>
      <c r="JVW7" s="2"/>
      <c r="JVX7" s="2"/>
      <c r="JVY7" s="2"/>
      <c r="JVZ7" s="2"/>
      <c r="JWA7" s="2"/>
      <c r="JWB7" s="2"/>
      <c r="JWC7" s="2"/>
      <c r="JWD7" s="2"/>
      <c r="JWE7" s="2"/>
      <c r="JWF7" s="2"/>
      <c r="JWG7" s="2"/>
      <c r="JWH7" s="2"/>
      <c r="JWI7" s="2"/>
      <c r="JWJ7" s="2"/>
      <c r="JWK7" s="2"/>
      <c r="JWL7" s="2"/>
      <c r="JWM7" s="2"/>
      <c r="JWN7" s="2"/>
      <c r="JWO7" s="2"/>
      <c r="JWP7" s="2"/>
      <c r="JWQ7" s="2"/>
      <c r="JWR7" s="2"/>
      <c r="JWS7" s="2"/>
      <c r="JWT7" s="2"/>
      <c r="JWU7" s="2"/>
      <c r="JWV7" s="2"/>
      <c r="JWW7" s="2"/>
      <c r="JWX7" s="2"/>
      <c r="JWY7" s="2"/>
      <c r="JWZ7" s="2"/>
      <c r="JXA7" s="2"/>
      <c r="JXB7" s="2"/>
      <c r="JXC7" s="2"/>
      <c r="JXD7" s="2"/>
      <c r="JXE7" s="2"/>
      <c r="JXF7" s="2"/>
      <c r="JXG7" s="2"/>
      <c r="JXH7" s="2"/>
      <c r="JXI7" s="2"/>
      <c r="JXJ7" s="2"/>
      <c r="JXK7" s="2"/>
      <c r="JXL7" s="2"/>
      <c r="JXM7" s="2"/>
      <c r="JXN7" s="2"/>
      <c r="JXO7" s="2"/>
      <c r="JXP7" s="2"/>
      <c r="JXQ7" s="2"/>
      <c r="JXR7" s="2"/>
      <c r="JXS7" s="2"/>
      <c r="JXT7" s="2"/>
      <c r="JXU7" s="2"/>
      <c r="JXV7" s="2"/>
      <c r="JXW7" s="2"/>
      <c r="JXX7" s="2"/>
      <c r="JXY7" s="2"/>
      <c r="JXZ7" s="2"/>
      <c r="JYA7" s="2"/>
      <c r="JYB7" s="2"/>
      <c r="JYC7" s="2"/>
      <c r="JYD7" s="2"/>
      <c r="JYE7" s="2"/>
      <c r="JYF7" s="2"/>
      <c r="JYG7" s="2"/>
      <c r="JYH7" s="2"/>
      <c r="JYI7" s="2"/>
      <c r="JYJ7" s="2"/>
      <c r="JYK7" s="2"/>
      <c r="JYL7" s="2"/>
      <c r="JYM7" s="2"/>
      <c r="JYN7" s="2"/>
      <c r="JYO7" s="2"/>
      <c r="JYP7" s="2"/>
      <c r="JYQ7" s="2"/>
      <c r="JYR7" s="2"/>
      <c r="JYS7" s="2"/>
      <c r="JYT7" s="2"/>
      <c r="JYU7" s="2"/>
      <c r="JYV7" s="2"/>
      <c r="JYW7" s="2"/>
      <c r="JYX7" s="2"/>
      <c r="JYY7" s="2"/>
      <c r="JYZ7" s="2"/>
      <c r="JZA7" s="2"/>
      <c r="JZB7" s="2"/>
      <c r="JZC7" s="2"/>
      <c r="JZD7" s="2"/>
      <c r="JZE7" s="2"/>
      <c r="JZF7" s="2"/>
      <c r="JZG7" s="2"/>
      <c r="JZH7" s="2"/>
      <c r="JZI7" s="2"/>
      <c r="JZJ7" s="2"/>
      <c r="JZK7" s="2"/>
      <c r="JZL7" s="2"/>
      <c r="JZM7" s="2"/>
      <c r="JZN7" s="2"/>
      <c r="JZO7" s="2"/>
      <c r="JZP7" s="2"/>
      <c r="JZQ7" s="2"/>
      <c r="JZR7" s="2"/>
      <c r="JZS7" s="2"/>
      <c r="JZT7" s="2"/>
      <c r="JZU7" s="2"/>
      <c r="JZV7" s="2"/>
      <c r="JZW7" s="2"/>
      <c r="JZX7" s="2"/>
      <c r="JZY7" s="2"/>
      <c r="JZZ7" s="2"/>
      <c r="KAA7" s="2"/>
      <c r="KAB7" s="2"/>
      <c r="KAC7" s="2"/>
      <c r="KAD7" s="2"/>
      <c r="KAE7" s="2"/>
      <c r="KAF7" s="2"/>
      <c r="KAG7" s="2"/>
      <c r="KAH7" s="2"/>
      <c r="KAI7" s="2"/>
      <c r="KAJ7" s="2"/>
      <c r="KAK7" s="2"/>
      <c r="KAL7" s="2"/>
      <c r="KAM7" s="2"/>
      <c r="KAN7" s="2"/>
      <c r="KAO7" s="2"/>
      <c r="KAP7" s="2"/>
      <c r="KAQ7" s="2"/>
      <c r="KAR7" s="2"/>
      <c r="KAS7" s="2"/>
      <c r="KAT7" s="2"/>
      <c r="KAU7" s="2"/>
      <c r="KAV7" s="2"/>
      <c r="KAW7" s="2"/>
      <c r="KAX7" s="2"/>
      <c r="KAY7" s="2"/>
      <c r="KAZ7" s="2"/>
      <c r="KBA7" s="2"/>
      <c r="KBB7" s="2"/>
      <c r="KBC7" s="2"/>
      <c r="KBD7" s="2"/>
      <c r="KBE7" s="2"/>
      <c r="KBF7" s="2"/>
      <c r="KBG7" s="2"/>
      <c r="KBH7" s="2"/>
      <c r="KBI7" s="2"/>
      <c r="KBJ7" s="2"/>
      <c r="KBK7" s="2"/>
      <c r="KBL7" s="2"/>
      <c r="KBM7" s="2"/>
      <c r="KBN7" s="2"/>
      <c r="KBO7" s="2"/>
      <c r="KBP7" s="2"/>
      <c r="KBQ7" s="2"/>
      <c r="KBR7" s="2"/>
      <c r="KBS7" s="2"/>
      <c r="KBT7" s="2"/>
      <c r="KBU7" s="2"/>
      <c r="KBV7" s="2"/>
      <c r="KBW7" s="2"/>
      <c r="KBX7" s="2"/>
      <c r="KBY7" s="2"/>
      <c r="KBZ7" s="2"/>
      <c r="KCA7" s="2"/>
      <c r="KCB7" s="2"/>
      <c r="KCC7" s="2"/>
      <c r="KCD7" s="2"/>
      <c r="KCE7" s="2"/>
      <c r="KCF7" s="2"/>
      <c r="KCG7" s="2"/>
      <c r="KCH7" s="2"/>
      <c r="KCI7" s="2"/>
      <c r="KCJ7" s="2"/>
      <c r="KCK7" s="2"/>
      <c r="KCL7" s="2"/>
      <c r="KCM7" s="2"/>
      <c r="KCN7" s="2"/>
      <c r="KCO7" s="2"/>
      <c r="KCP7" s="2"/>
      <c r="KCQ7" s="2"/>
      <c r="KCR7" s="2"/>
      <c r="KCS7" s="2"/>
      <c r="KCT7" s="2"/>
      <c r="KCU7" s="2"/>
      <c r="KCV7" s="2"/>
      <c r="KCW7" s="2"/>
      <c r="KCX7" s="2"/>
      <c r="KCY7" s="2"/>
      <c r="KCZ7" s="2"/>
      <c r="KDA7" s="2"/>
      <c r="KDB7" s="2"/>
      <c r="KDC7" s="2"/>
      <c r="KDD7" s="2"/>
      <c r="KDE7" s="2"/>
      <c r="KDF7" s="2"/>
      <c r="KDG7" s="2"/>
      <c r="KDH7" s="2"/>
      <c r="KDI7" s="2"/>
      <c r="KDJ7" s="2"/>
      <c r="KDK7" s="2"/>
      <c r="KDL7" s="2"/>
      <c r="KDM7" s="2"/>
      <c r="KDN7" s="2"/>
      <c r="KDO7" s="2"/>
      <c r="KDP7" s="2"/>
      <c r="KDQ7" s="2"/>
      <c r="KDR7" s="2"/>
      <c r="KDS7" s="2"/>
      <c r="KDT7" s="2"/>
      <c r="KDU7" s="2"/>
      <c r="KDV7" s="2"/>
      <c r="KDW7" s="2"/>
      <c r="KDX7" s="2"/>
      <c r="KDY7" s="2"/>
      <c r="KDZ7" s="2"/>
      <c r="KEA7" s="2"/>
      <c r="KEB7" s="2"/>
      <c r="KEC7" s="2"/>
      <c r="KED7" s="2"/>
      <c r="KEE7" s="2"/>
      <c r="KEF7" s="2"/>
      <c r="KEG7" s="2"/>
      <c r="KEH7" s="2"/>
      <c r="KEI7" s="2"/>
      <c r="KEJ7" s="2"/>
      <c r="KEK7" s="2"/>
      <c r="KEL7" s="2"/>
      <c r="KEM7" s="2"/>
      <c r="KEN7" s="2"/>
      <c r="KEO7" s="2"/>
      <c r="KEP7" s="2"/>
      <c r="KEQ7" s="2"/>
      <c r="KER7" s="2"/>
      <c r="KES7" s="2"/>
      <c r="KET7" s="2"/>
      <c r="KEU7" s="2"/>
      <c r="KEV7" s="2"/>
      <c r="KEW7" s="2"/>
      <c r="KEX7" s="2"/>
      <c r="KEY7" s="2"/>
      <c r="KEZ7" s="2"/>
      <c r="KFA7" s="2"/>
      <c r="KFB7" s="2"/>
      <c r="KFC7" s="2"/>
      <c r="KFD7" s="2"/>
      <c r="KFE7" s="2"/>
      <c r="KFF7" s="2"/>
      <c r="KFG7" s="2"/>
      <c r="KFH7" s="2"/>
      <c r="KFI7" s="2"/>
      <c r="KFJ7" s="2"/>
      <c r="KFK7" s="2"/>
      <c r="KFL7" s="2"/>
      <c r="KFM7" s="2"/>
      <c r="KFN7" s="2"/>
      <c r="KFO7" s="2"/>
      <c r="KFP7" s="2"/>
      <c r="KFQ7" s="2"/>
      <c r="KFR7" s="2"/>
      <c r="KFS7" s="2"/>
      <c r="KFT7" s="2"/>
      <c r="KFU7" s="2"/>
      <c r="KFV7" s="2"/>
      <c r="KFW7" s="2"/>
      <c r="KFX7" s="2"/>
      <c r="KFY7" s="2"/>
      <c r="KFZ7" s="2"/>
      <c r="KGA7" s="2"/>
      <c r="KGB7" s="2"/>
      <c r="KGC7" s="2"/>
      <c r="KGD7" s="2"/>
      <c r="KGE7" s="2"/>
      <c r="KGF7" s="2"/>
      <c r="KGG7" s="2"/>
      <c r="KGH7" s="2"/>
      <c r="KGI7" s="2"/>
      <c r="KGJ7" s="2"/>
      <c r="KGK7" s="2"/>
      <c r="KGL7" s="2"/>
      <c r="KGM7" s="2"/>
      <c r="KGN7" s="2"/>
      <c r="KGO7" s="2"/>
      <c r="KGP7" s="2"/>
      <c r="KGQ7" s="2"/>
      <c r="KGR7" s="2"/>
      <c r="KGS7" s="2"/>
      <c r="KGT7" s="2"/>
      <c r="KGU7" s="2"/>
      <c r="KGV7" s="2"/>
      <c r="KGW7" s="2"/>
      <c r="KGX7" s="2"/>
      <c r="KGY7" s="2"/>
      <c r="KGZ7" s="2"/>
      <c r="KHA7" s="2"/>
      <c r="KHB7" s="2"/>
      <c r="KHC7" s="2"/>
      <c r="KHD7" s="2"/>
      <c r="KHE7" s="2"/>
      <c r="KHF7" s="2"/>
      <c r="KHG7" s="2"/>
      <c r="KHH7" s="2"/>
      <c r="KHI7" s="2"/>
      <c r="KHJ7" s="2"/>
      <c r="KHK7" s="2"/>
      <c r="KHL7" s="2"/>
      <c r="KHM7" s="2"/>
      <c r="KHN7" s="2"/>
      <c r="KHO7" s="2"/>
      <c r="KHP7" s="2"/>
      <c r="KHQ7" s="2"/>
      <c r="KHR7" s="2"/>
      <c r="KHS7" s="2"/>
      <c r="KHT7" s="2"/>
      <c r="KHU7" s="2"/>
      <c r="KHV7" s="2"/>
      <c r="KHW7" s="2"/>
      <c r="KHX7" s="2"/>
      <c r="KHY7" s="2"/>
      <c r="KHZ7" s="2"/>
      <c r="KIA7" s="2"/>
      <c r="KIB7" s="2"/>
      <c r="KIC7" s="2"/>
      <c r="KID7" s="2"/>
      <c r="KIE7" s="2"/>
      <c r="KIF7" s="2"/>
      <c r="KIG7" s="2"/>
      <c r="KIH7" s="2"/>
      <c r="KII7" s="2"/>
      <c r="KIJ7" s="2"/>
      <c r="KIK7" s="2"/>
      <c r="KIL7" s="2"/>
      <c r="KIM7" s="2"/>
      <c r="KIN7" s="2"/>
      <c r="KIO7" s="2"/>
      <c r="KIP7" s="2"/>
      <c r="KIQ7" s="2"/>
      <c r="KIR7" s="2"/>
      <c r="KIS7" s="2"/>
      <c r="KIT7" s="2"/>
      <c r="KIU7" s="2"/>
      <c r="KIV7" s="2"/>
      <c r="KIW7" s="2"/>
      <c r="KIX7" s="2"/>
      <c r="KIY7" s="2"/>
      <c r="KIZ7" s="2"/>
      <c r="KJA7" s="2"/>
      <c r="KJB7" s="2"/>
      <c r="KJC7" s="2"/>
      <c r="KJD7" s="2"/>
      <c r="KJE7" s="2"/>
      <c r="KJF7" s="2"/>
      <c r="KJG7" s="2"/>
      <c r="KJH7" s="2"/>
      <c r="KJI7" s="2"/>
      <c r="KJJ7" s="2"/>
      <c r="KJK7" s="2"/>
      <c r="KJL7" s="2"/>
      <c r="KJM7" s="2"/>
      <c r="KJN7" s="2"/>
      <c r="KJO7" s="2"/>
      <c r="KJP7" s="2"/>
      <c r="KJQ7" s="2"/>
      <c r="KJR7" s="2"/>
      <c r="KJS7" s="2"/>
      <c r="KJT7" s="2"/>
      <c r="KJU7" s="2"/>
      <c r="KJV7" s="2"/>
      <c r="KJW7" s="2"/>
      <c r="KJX7" s="2"/>
      <c r="KJY7" s="2"/>
      <c r="KJZ7" s="2"/>
      <c r="KKA7" s="2"/>
      <c r="KKB7" s="2"/>
      <c r="KKC7" s="2"/>
      <c r="KKD7" s="2"/>
      <c r="KKE7" s="2"/>
      <c r="KKF7" s="2"/>
      <c r="KKG7" s="2"/>
      <c r="KKH7" s="2"/>
      <c r="KKI7" s="2"/>
      <c r="KKJ7" s="2"/>
      <c r="KKK7" s="2"/>
      <c r="KKL7" s="2"/>
      <c r="KKM7" s="2"/>
      <c r="KKN7" s="2"/>
      <c r="KKO7" s="2"/>
      <c r="KKP7" s="2"/>
      <c r="KKQ7" s="2"/>
      <c r="KKR7" s="2"/>
      <c r="KKS7" s="2"/>
      <c r="KKT7" s="2"/>
      <c r="KKU7" s="2"/>
      <c r="KKV7" s="2"/>
      <c r="KKW7" s="2"/>
      <c r="KKX7" s="2"/>
      <c r="KKY7" s="2"/>
      <c r="KKZ7" s="2"/>
      <c r="KLA7" s="2"/>
      <c r="KLB7" s="2"/>
      <c r="KLC7" s="2"/>
      <c r="KLD7" s="2"/>
      <c r="KLE7" s="2"/>
      <c r="KLF7" s="2"/>
      <c r="KLG7" s="2"/>
      <c r="KLH7" s="2"/>
      <c r="KLI7" s="2"/>
      <c r="KLJ7" s="2"/>
      <c r="KLK7" s="2"/>
      <c r="KLL7" s="2"/>
      <c r="KLM7" s="2"/>
      <c r="KLN7" s="2"/>
      <c r="KLO7" s="2"/>
      <c r="KLP7" s="2"/>
      <c r="KLQ7" s="2"/>
      <c r="KLR7" s="2"/>
      <c r="KLS7" s="2"/>
      <c r="KLT7" s="2"/>
      <c r="KLU7" s="2"/>
      <c r="KLV7" s="2"/>
      <c r="KLW7" s="2"/>
      <c r="KLX7" s="2"/>
      <c r="KLY7" s="2"/>
      <c r="KLZ7" s="2"/>
      <c r="KMA7" s="2"/>
      <c r="KMB7" s="2"/>
      <c r="KMC7" s="2"/>
      <c r="KMD7" s="2"/>
      <c r="KME7" s="2"/>
      <c r="KMF7" s="2"/>
      <c r="KMG7" s="2"/>
      <c r="KMH7" s="2"/>
      <c r="KMI7" s="2"/>
      <c r="KMJ7" s="2"/>
      <c r="KMK7" s="2"/>
      <c r="KML7" s="2"/>
      <c r="KMM7" s="2"/>
      <c r="KMN7" s="2"/>
      <c r="KMO7" s="2"/>
      <c r="KMP7" s="2"/>
      <c r="KMQ7" s="2"/>
      <c r="KMR7" s="2"/>
      <c r="KMS7" s="2"/>
      <c r="KMT7" s="2"/>
      <c r="KMU7" s="2"/>
      <c r="KMV7" s="2"/>
      <c r="KMW7" s="2"/>
      <c r="KMX7" s="2"/>
      <c r="KMY7" s="2"/>
      <c r="KMZ7" s="2"/>
      <c r="KNA7" s="2"/>
      <c r="KNB7" s="2"/>
      <c r="KNC7" s="2"/>
      <c r="KND7" s="2"/>
      <c r="KNE7" s="2"/>
      <c r="KNF7" s="2"/>
      <c r="KNG7" s="2"/>
      <c r="KNH7" s="2"/>
      <c r="KNI7" s="2"/>
      <c r="KNJ7" s="2"/>
      <c r="KNK7" s="2"/>
      <c r="KNL7" s="2"/>
      <c r="KNM7" s="2"/>
      <c r="KNN7" s="2"/>
      <c r="KNO7" s="2"/>
      <c r="KNP7" s="2"/>
      <c r="KNQ7" s="2"/>
      <c r="KNR7" s="2"/>
      <c r="KNS7" s="2"/>
      <c r="KNT7" s="2"/>
      <c r="KNU7" s="2"/>
      <c r="KNV7" s="2"/>
      <c r="KNW7" s="2"/>
      <c r="KNX7" s="2"/>
      <c r="KNY7" s="2"/>
      <c r="KNZ7" s="2"/>
      <c r="KOA7" s="2"/>
      <c r="KOB7" s="2"/>
      <c r="KOC7" s="2"/>
      <c r="KOD7" s="2"/>
      <c r="KOE7" s="2"/>
      <c r="KOF7" s="2"/>
      <c r="KOG7" s="2"/>
      <c r="KOH7" s="2"/>
      <c r="KOI7" s="2"/>
      <c r="KOJ7" s="2"/>
      <c r="KOK7" s="2"/>
      <c r="KOL7" s="2"/>
      <c r="KOM7" s="2"/>
      <c r="KON7" s="2"/>
      <c r="KOO7" s="2"/>
      <c r="KOP7" s="2"/>
      <c r="KOQ7" s="2"/>
      <c r="KOR7" s="2"/>
      <c r="KOS7" s="2"/>
      <c r="KOT7" s="2"/>
      <c r="KOU7" s="2"/>
      <c r="KOV7" s="2"/>
      <c r="KOW7" s="2"/>
      <c r="KOX7" s="2"/>
      <c r="KOY7" s="2"/>
      <c r="KOZ7" s="2"/>
      <c r="KPA7" s="2"/>
      <c r="KPB7" s="2"/>
      <c r="KPC7" s="2"/>
      <c r="KPD7" s="2"/>
      <c r="KPE7" s="2"/>
      <c r="KPF7" s="2"/>
      <c r="KPG7" s="2"/>
      <c r="KPH7" s="2"/>
      <c r="KPI7" s="2"/>
      <c r="KPJ7" s="2"/>
      <c r="KPK7" s="2"/>
      <c r="KPL7" s="2"/>
      <c r="KPM7" s="2"/>
      <c r="KPN7" s="2"/>
      <c r="KPO7" s="2"/>
      <c r="KPP7" s="2"/>
      <c r="KPQ7" s="2"/>
      <c r="KPR7" s="2"/>
      <c r="KPS7" s="2"/>
      <c r="KPT7" s="2"/>
      <c r="KPU7" s="2"/>
      <c r="KPV7" s="2"/>
      <c r="KPW7" s="2"/>
      <c r="KPX7" s="2"/>
      <c r="KPY7" s="2"/>
      <c r="KPZ7" s="2"/>
      <c r="KQA7" s="2"/>
      <c r="KQB7" s="2"/>
      <c r="KQC7" s="2"/>
      <c r="KQD7" s="2"/>
      <c r="KQE7" s="2"/>
      <c r="KQF7" s="2"/>
      <c r="KQG7" s="2"/>
      <c r="KQH7" s="2"/>
      <c r="KQI7" s="2"/>
      <c r="KQJ7" s="2"/>
      <c r="KQK7" s="2"/>
      <c r="KQL7" s="2"/>
      <c r="KQM7" s="2"/>
      <c r="KQN7" s="2"/>
      <c r="KQO7" s="2"/>
      <c r="KQP7" s="2"/>
      <c r="KQQ7" s="2"/>
      <c r="KQR7" s="2"/>
      <c r="KQS7" s="2"/>
      <c r="KQT7" s="2"/>
      <c r="KQU7" s="2"/>
      <c r="KQV7" s="2"/>
      <c r="KQW7" s="2"/>
      <c r="KQX7" s="2"/>
      <c r="KQY7" s="2"/>
      <c r="KQZ7" s="2"/>
      <c r="KRA7" s="2"/>
      <c r="KRB7" s="2"/>
      <c r="KRC7" s="2"/>
      <c r="KRD7" s="2"/>
      <c r="KRE7" s="2"/>
      <c r="KRF7" s="2"/>
      <c r="KRG7" s="2"/>
      <c r="KRH7" s="2"/>
      <c r="KRI7" s="2"/>
      <c r="KRJ7" s="2"/>
      <c r="KRK7" s="2"/>
      <c r="KRL7" s="2"/>
      <c r="KRM7" s="2"/>
      <c r="KRN7" s="2"/>
      <c r="KRO7" s="2"/>
      <c r="KRP7" s="2"/>
      <c r="KRQ7" s="2"/>
      <c r="KRR7" s="2"/>
      <c r="KRS7" s="2"/>
      <c r="KRT7" s="2"/>
      <c r="KRU7" s="2"/>
      <c r="KRV7" s="2"/>
      <c r="KRW7" s="2"/>
      <c r="KRX7" s="2"/>
      <c r="KRY7" s="2"/>
      <c r="KRZ7" s="2"/>
      <c r="KSA7" s="2"/>
      <c r="KSB7" s="2"/>
      <c r="KSC7" s="2"/>
      <c r="KSD7" s="2"/>
      <c r="KSE7" s="2"/>
      <c r="KSF7" s="2"/>
      <c r="KSG7" s="2"/>
      <c r="KSH7" s="2"/>
      <c r="KSI7" s="2"/>
      <c r="KSJ7" s="2"/>
      <c r="KSK7" s="2"/>
      <c r="KSL7" s="2"/>
      <c r="KSM7" s="2"/>
      <c r="KSN7" s="2"/>
      <c r="KSO7" s="2"/>
      <c r="KSP7" s="2"/>
      <c r="KSQ7" s="2"/>
      <c r="KSR7" s="2"/>
      <c r="KSS7" s="2"/>
      <c r="KST7" s="2"/>
      <c r="KSU7" s="2"/>
      <c r="KSV7" s="2"/>
      <c r="KSW7" s="2"/>
      <c r="KSX7" s="2"/>
      <c r="KSY7" s="2"/>
      <c r="KSZ7" s="2"/>
      <c r="KTA7" s="2"/>
      <c r="KTB7" s="2"/>
      <c r="KTC7" s="2"/>
      <c r="KTD7" s="2"/>
      <c r="KTE7" s="2"/>
      <c r="KTF7" s="2"/>
      <c r="KTG7" s="2"/>
      <c r="KTH7" s="2"/>
      <c r="KTI7" s="2"/>
      <c r="KTJ7" s="2"/>
      <c r="KTK7" s="2"/>
      <c r="KTL7" s="2"/>
      <c r="KTM7" s="2"/>
      <c r="KTN7" s="2"/>
      <c r="KTO7" s="2"/>
      <c r="KTP7" s="2"/>
      <c r="KTQ7" s="2"/>
      <c r="KTR7" s="2"/>
      <c r="KTS7" s="2"/>
      <c r="KTT7" s="2"/>
      <c r="KTU7" s="2"/>
      <c r="KTV7" s="2"/>
      <c r="KTW7" s="2"/>
      <c r="KTX7" s="2"/>
      <c r="KTY7" s="2"/>
      <c r="KTZ7" s="2"/>
      <c r="KUA7" s="2"/>
      <c r="KUB7" s="2"/>
      <c r="KUC7" s="2"/>
      <c r="KUD7" s="2"/>
      <c r="KUE7" s="2"/>
      <c r="KUF7" s="2"/>
      <c r="KUG7" s="2"/>
      <c r="KUH7" s="2"/>
      <c r="KUI7" s="2"/>
      <c r="KUJ7" s="2"/>
      <c r="KUK7" s="2"/>
      <c r="KUL7" s="2"/>
      <c r="KUM7" s="2"/>
      <c r="KUN7" s="2"/>
      <c r="KUO7" s="2"/>
      <c r="KUP7" s="2"/>
      <c r="KUQ7" s="2"/>
      <c r="KUR7" s="2"/>
      <c r="KUS7" s="2"/>
      <c r="KUT7" s="2"/>
      <c r="KUU7" s="2"/>
      <c r="KUV7" s="2"/>
      <c r="KUW7" s="2"/>
      <c r="KUX7" s="2"/>
      <c r="KUY7" s="2"/>
      <c r="KUZ7" s="2"/>
      <c r="KVA7" s="2"/>
      <c r="KVB7" s="2"/>
      <c r="KVC7" s="2"/>
      <c r="KVD7" s="2"/>
      <c r="KVE7" s="2"/>
      <c r="KVF7" s="2"/>
      <c r="KVG7" s="2"/>
      <c r="KVH7" s="2"/>
      <c r="KVI7" s="2"/>
      <c r="KVJ7" s="2"/>
      <c r="KVK7" s="2"/>
      <c r="KVL7" s="2"/>
      <c r="KVM7" s="2"/>
      <c r="KVN7" s="2"/>
      <c r="KVO7" s="2"/>
      <c r="KVP7" s="2"/>
      <c r="KVQ7" s="2"/>
      <c r="KVR7" s="2"/>
      <c r="KVS7" s="2"/>
      <c r="KVT7" s="2"/>
      <c r="KVU7" s="2"/>
      <c r="KVV7" s="2"/>
      <c r="KVW7" s="2"/>
      <c r="KVX7" s="2"/>
      <c r="KVY7" s="2"/>
      <c r="KVZ7" s="2"/>
      <c r="KWA7" s="2"/>
      <c r="KWB7" s="2"/>
      <c r="KWC7" s="2"/>
      <c r="KWD7" s="2"/>
      <c r="KWE7" s="2"/>
      <c r="KWF7" s="2"/>
      <c r="KWG7" s="2"/>
      <c r="KWH7" s="2"/>
      <c r="KWI7" s="2"/>
      <c r="KWJ7" s="2"/>
      <c r="KWK7" s="2"/>
      <c r="KWL7" s="2"/>
      <c r="KWM7" s="2"/>
      <c r="KWN7" s="2"/>
      <c r="KWO7" s="2"/>
      <c r="KWP7" s="2"/>
      <c r="KWQ7" s="2"/>
      <c r="KWR7" s="2"/>
      <c r="KWS7" s="2"/>
      <c r="KWT7" s="2"/>
      <c r="KWU7" s="2"/>
      <c r="KWV7" s="2"/>
      <c r="KWW7" s="2"/>
      <c r="KWX7" s="2"/>
      <c r="KWY7" s="2"/>
      <c r="KWZ7" s="2"/>
      <c r="KXA7" s="2"/>
      <c r="KXB7" s="2"/>
      <c r="KXC7" s="2"/>
      <c r="KXD7" s="2"/>
      <c r="KXE7" s="2"/>
      <c r="KXF7" s="2"/>
      <c r="KXG7" s="2"/>
      <c r="KXH7" s="2"/>
      <c r="KXI7" s="2"/>
      <c r="KXJ7" s="2"/>
      <c r="KXK7" s="2"/>
      <c r="KXL7" s="2"/>
      <c r="KXM7" s="2"/>
      <c r="KXN7" s="2"/>
      <c r="KXO7" s="2"/>
      <c r="KXP7" s="2"/>
      <c r="KXQ7" s="2"/>
      <c r="KXR7" s="2"/>
      <c r="KXS7" s="2"/>
      <c r="KXT7" s="2"/>
      <c r="KXU7" s="2"/>
      <c r="KXV7" s="2"/>
      <c r="KXW7" s="2"/>
      <c r="KXX7" s="2"/>
      <c r="KXY7" s="2"/>
      <c r="KXZ7" s="2"/>
      <c r="KYA7" s="2"/>
      <c r="KYB7" s="2"/>
      <c r="KYC7" s="2"/>
      <c r="KYD7" s="2"/>
      <c r="KYE7" s="2"/>
      <c r="KYF7" s="2"/>
      <c r="KYG7" s="2"/>
      <c r="KYH7" s="2"/>
      <c r="KYI7" s="2"/>
      <c r="KYJ7" s="2"/>
      <c r="KYK7" s="2"/>
      <c r="KYL7" s="2"/>
      <c r="KYM7" s="2"/>
      <c r="KYN7" s="2"/>
      <c r="KYO7" s="2"/>
      <c r="KYP7" s="2"/>
      <c r="KYQ7" s="2"/>
      <c r="KYR7" s="2"/>
      <c r="KYS7" s="2"/>
      <c r="KYT7" s="2"/>
      <c r="KYU7" s="2"/>
      <c r="KYV7" s="2"/>
      <c r="KYW7" s="2"/>
      <c r="KYX7" s="2"/>
      <c r="KYY7" s="2"/>
      <c r="KYZ7" s="2"/>
      <c r="KZA7" s="2"/>
      <c r="KZB7" s="2"/>
      <c r="KZC7" s="2"/>
      <c r="KZD7" s="2"/>
      <c r="KZE7" s="2"/>
      <c r="KZF7" s="2"/>
      <c r="KZG7" s="2"/>
      <c r="KZH7" s="2"/>
      <c r="KZI7" s="2"/>
      <c r="KZJ7" s="2"/>
      <c r="KZK7" s="2"/>
      <c r="KZL7" s="2"/>
      <c r="KZM7" s="2"/>
      <c r="KZN7" s="2"/>
      <c r="KZO7" s="2"/>
      <c r="KZP7" s="2"/>
      <c r="KZQ7" s="2"/>
      <c r="KZR7" s="2"/>
      <c r="KZS7" s="2"/>
      <c r="KZT7" s="2"/>
      <c r="KZU7" s="2"/>
      <c r="KZV7" s="2"/>
      <c r="KZW7" s="2"/>
      <c r="KZX7" s="2"/>
      <c r="KZY7" s="2"/>
      <c r="KZZ7" s="2"/>
      <c r="LAA7" s="2"/>
      <c r="LAB7" s="2"/>
      <c r="LAC7" s="2"/>
      <c r="LAD7" s="2"/>
      <c r="LAE7" s="2"/>
      <c r="LAF7" s="2"/>
      <c r="LAG7" s="2"/>
      <c r="LAH7" s="2"/>
      <c r="LAI7" s="2"/>
      <c r="LAJ7" s="2"/>
      <c r="LAK7" s="2"/>
      <c r="LAL7" s="2"/>
      <c r="LAM7" s="2"/>
      <c r="LAN7" s="2"/>
      <c r="LAO7" s="2"/>
      <c r="LAP7" s="2"/>
      <c r="LAQ7" s="2"/>
      <c r="LAR7" s="2"/>
      <c r="LAS7" s="2"/>
      <c r="LAT7" s="2"/>
      <c r="LAU7" s="2"/>
      <c r="LAV7" s="2"/>
      <c r="LAW7" s="2"/>
      <c r="LAX7" s="2"/>
      <c r="LAY7" s="2"/>
      <c r="LAZ7" s="2"/>
      <c r="LBA7" s="2"/>
      <c r="LBB7" s="2"/>
      <c r="LBC7" s="2"/>
      <c r="LBD7" s="2"/>
      <c r="LBE7" s="2"/>
      <c r="LBF7" s="2"/>
      <c r="LBG7" s="2"/>
      <c r="LBH7" s="2"/>
      <c r="LBI7" s="2"/>
      <c r="LBJ7" s="2"/>
      <c r="LBK7" s="2"/>
      <c r="LBL7" s="2"/>
      <c r="LBM7" s="2"/>
      <c r="LBN7" s="2"/>
      <c r="LBO7" s="2"/>
      <c r="LBP7" s="2"/>
      <c r="LBQ7" s="2"/>
      <c r="LBR7" s="2"/>
      <c r="LBS7" s="2"/>
      <c r="LBT7" s="2"/>
      <c r="LBU7" s="2"/>
      <c r="LBV7" s="2"/>
      <c r="LBW7" s="2"/>
      <c r="LBX7" s="2"/>
      <c r="LBY7" s="2"/>
      <c r="LBZ7" s="2"/>
      <c r="LCA7" s="2"/>
      <c r="LCB7" s="2"/>
      <c r="LCC7" s="2"/>
      <c r="LCD7" s="2"/>
      <c r="LCE7" s="2"/>
      <c r="LCF7" s="2"/>
      <c r="LCG7" s="2"/>
      <c r="LCH7" s="2"/>
      <c r="LCI7" s="2"/>
      <c r="LCJ7" s="2"/>
      <c r="LCK7" s="2"/>
      <c r="LCL7" s="2"/>
      <c r="LCM7" s="2"/>
      <c r="LCN7" s="2"/>
      <c r="LCO7" s="2"/>
      <c r="LCP7" s="2"/>
      <c r="LCQ7" s="2"/>
      <c r="LCR7" s="2"/>
      <c r="LCS7" s="2"/>
      <c r="LCT7" s="2"/>
      <c r="LCU7" s="2"/>
      <c r="LCV7" s="2"/>
      <c r="LCW7" s="2"/>
      <c r="LCX7" s="2"/>
      <c r="LCY7" s="2"/>
      <c r="LCZ7" s="2"/>
      <c r="LDA7" s="2"/>
      <c r="LDB7" s="2"/>
      <c r="LDC7" s="2"/>
      <c r="LDD7" s="2"/>
      <c r="LDE7" s="2"/>
      <c r="LDF7" s="2"/>
      <c r="LDG7" s="2"/>
      <c r="LDH7" s="2"/>
      <c r="LDI7" s="2"/>
      <c r="LDJ7" s="2"/>
      <c r="LDK7" s="2"/>
      <c r="LDL7" s="2"/>
      <c r="LDM7" s="2"/>
      <c r="LDN7" s="2"/>
      <c r="LDO7" s="2"/>
      <c r="LDP7" s="2"/>
      <c r="LDQ7" s="2"/>
      <c r="LDR7" s="2"/>
      <c r="LDS7" s="2"/>
      <c r="LDT7" s="2"/>
      <c r="LDU7" s="2"/>
      <c r="LDV7" s="2"/>
      <c r="LDW7" s="2"/>
      <c r="LDX7" s="2"/>
      <c r="LDY7" s="2"/>
      <c r="LDZ7" s="2"/>
      <c r="LEA7" s="2"/>
      <c r="LEB7" s="2"/>
      <c r="LEC7" s="2"/>
      <c r="LED7" s="2"/>
      <c r="LEE7" s="2"/>
      <c r="LEF7" s="2"/>
      <c r="LEG7" s="2"/>
      <c r="LEH7" s="2"/>
      <c r="LEI7" s="2"/>
      <c r="LEJ7" s="2"/>
      <c r="LEK7" s="2"/>
      <c r="LEL7" s="2"/>
      <c r="LEM7" s="2"/>
      <c r="LEN7" s="2"/>
      <c r="LEO7" s="2"/>
      <c r="LEP7" s="2"/>
      <c r="LEQ7" s="2"/>
      <c r="LER7" s="2"/>
      <c r="LES7" s="2"/>
      <c r="LET7" s="2"/>
      <c r="LEU7" s="2"/>
      <c r="LEV7" s="2"/>
      <c r="LEW7" s="2"/>
      <c r="LEX7" s="2"/>
      <c r="LEY7" s="2"/>
      <c r="LEZ7" s="2"/>
      <c r="LFA7" s="2"/>
      <c r="LFB7" s="2"/>
      <c r="LFC7" s="2"/>
      <c r="LFD7" s="2"/>
      <c r="LFE7" s="2"/>
      <c r="LFF7" s="2"/>
      <c r="LFG7" s="2"/>
      <c r="LFH7" s="2"/>
      <c r="LFI7" s="2"/>
      <c r="LFJ7" s="2"/>
      <c r="LFK7" s="2"/>
      <c r="LFL7" s="2"/>
      <c r="LFM7" s="2"/>
      <c r="LFN7" s="2"/>
      <c r="LFO7" s="2"/>
      <c r="LFP7" s="2"/>
      <c r="LFQ7" s="2"/>
      <c r="LFR7" s="2"/>
      <c r="LFS7" s="2"/>
      <c r="LFT7" s="2"/>
      <c r="LFU7" s="2"/>
      <c r="LFV7" s="2"/>
      <c r="LFW7" s="2"/>
      <c r="LFX7" s="2"/>
      <c r="LFY7" s="2"/>
      <c r="LFZ7" s="2"/>
      <c r="LGA7" s="2"/>
      <c r="LGB7" s="2"/>
      <c r="LGC7" s="2"/>
      <c r="LGD7" s="2"/>
      <c r="LGE7" s="2"/>
      <c r="LGF7" s="2"/>
      <c r="LGG7" s="2"/>
      <c r="LGH7" s="2"/>
      <c r="LGI7" s="2"/>
      <c r="LGJ7" s="2"/>
      <c r="LGK7" s="2"/>
      <c r="LGL7" s="2"/>
      <c r="LGM7" s="2"/>
      <c r="LGN7" s="2"/>
      <c r="LGO7" s="2"/>
      <c r="LGP7" s="2"/>
      <c r="LGQ7" s="2"/>
      <c r="LGR7" s="2"/>
      <c r="LGS7" s="2"/>
      <c r="LGT7" s="2"/>
      <c r="LGU7" s="2"/>
      <c r="LGV7" s="2"/>
      <c r="LGW7" s="2"/>
      <c r="LGX7" s="2"/>
      <c r="LGY7" s="2"/>
      <c r="LGZ7" s="2"/>
      <c r="LHA7" s="2"/>
      <c r="LHB7" s="2"/>
      <c r="LHC7" s="2"/>
      <c r="LHD7" s="2"/>
      <c r="LHE7" s="2"/>
      <c r="LHF7" s="2"/>
      <c r="LHG7" s="2"/>
      <c r="LHH7" s="2"/>
      <c r="LHI7" s="2"/>
      <c r="LHJ7" s="2"/>
      <c r="LHK7" s="2"/>
      <c r="LHL7" s="2"/>
      <c r="LHM7" s="2"/>
      <c r="LHN7" s="2"/>
      <c r="LHO7" s="2"/>
      <c r="LHP7" s="2"/>
      <c r="LHQ7" s="2"/>
      <c r="LHR7" s="2"/>
      <c r="LHS7" s="2"/>
      <c r="LHT7" s="2"/>
      <c r="LHU7" s="2"/>
      <c r="LHV7" s="2"/>
      <c r="LHW7" s="2"/>
      <c r="LHX7" s="2"/>
      <c r="LHY7" s="2"/>
      <c r="LHZ7" s="2"/>
      <c r="LIA7" s="2"/>
      <c r="LIB7" s="2"/>
      <c r="LIC7" s="2"/>
      <c r="LID7" s="2"/>
      <c r="LIE7" s="2"/>
      <c r="LIF7" s="2"/>
      <c r="LIG7" s="2"/>
      <c r="LIH7" s="2"/>
      <c r="LII7" s="2"/>
      <c r="LIJ7" s="2"/>
      <c r="LIK7" s="2"/>
      <c r="LIL7" s="2"/>
      <c r="LIM7" s="2"/>
      <c r="LIN7" s="2"/>
      <c r="LIO7" s="2"/>
      <c r="LIP7" s="2"/>
      <c r="LIQ7" s="2"/>
      <c r="LIR7" s="2"/>
      <c r="LIS7" s="2"/>
      <c r="LIT7" s="2"/>
      <c r="LIU7" s="2"/>
      <c r="LIV7" s="2"/>
      <c r="LIW7" s="2"/>
      <c r="LIX7" s="2"/>
      <c r="LIY7" s="2"/>
      <c r="LIZ7" s="2"/>
      <c r="LJA7" s="2"/>
      <c r="LJB7" s="2"/>
      <c r="LJC7" s="2"/>
      <c r="LJD7" s="2"/>
      <c r="LJE7" s="2"/>
      <c r="LJF7" s="2"/>
      <c r="LJG7" s="2"/>
      <c r="LJH7" s="2"/>
      <c r="LJI7" s="2"/>
      <c r="LJJ7" s="2"/>
      <c r="LJK7" s="2"/>
      <c r="LJL7" s="2"/>
      <c r="LJM7" s="2"/>
      <c r="LJN7" s="2"/>
      <c r="LJO7" s="2"/>
      <c r="LJP7" s="2"/>
      <c r="LJQ7" s="2"/>
      <c r="LJR7" s="2"/>
      <c r="LJS7" s="2"/>
      <c r="LJT7" s="2"/>
      <c r="LJU7" s="2"/>
      <c r="LJV7" s="2"/>
      <c r="LJW7" s="2"/>
      <c r="LJX7" s="2"/>
      <c r="LJY7" s="2"/>
      <c r="LJZ7" s="2"/>
      <c r="LKA7" s="2"/>
      <c r="LKB7" s="2"/>
      <c r="LKC7" s="2"/>
      <c r="LKD7" s="2"/>
      <c r="LKE7" s="2"/>
      <c r="LKF7" s="2"/>
      <c r="LKG7" s="2"/>
      <c r="LKH7" s="2"/>
      <c r="LKI7" s="2"/>
      <c r="LKJ7" s="2"/>
      <c r="LKK7" s="2"/>
      <c r="LKL7" s="2"/>
      <c r="LKM7" s="2"/>
      <c r="LKN7" s="2"/>
      <c r="LKO7" s="2"/>
      <c r="LKP7" s="2"/>
      <c r="LKQ7" s="2"/>
      <c r="LKR7" s="2"/>
      <c r="LKS7" s="2"/>
      <c r="LKT7" s="2"/>
      <c r="LKU7" s="2"/>
      <c r="LKV7" s="2"/>
      <c r="LKW7" s="2"/>
      <c r="LKX7" s="2"/>
      <c r="LKY7" s="2"/>
      <c r="LKZ7" s="2"/>
      <c r="LLA7" s="2"/>
      <c r="LLB7" s="2"/>
      <c r="LLC7" s="2"/>
      <c r="LLD7" s="2"/>
      <c r="LLE7" s="2"/>
      <c r="LLF7" s="2"/>
      <c r="LLG7" s="2"/>
      <c r="LLH7" s="2"/>
      <c r="LLI7" s="2"/>
      <c r="LLJ7" s="2"/>
      <c r="LLK7" s="2"/>
      <c r="LLL7" s="2"/>
      <c r="LLM7" s="2"/>
      <c r="LLN7" s="2"/>
      <c r="LLO7" s="2"/>
      <c r="LLP7" s="2"/>
      <c r="LLQ7" s="2"/>
      <c r="LLR7" s="2"/>
      <c r="LLS7" s="2"/>
      <c r="LLT7" s="2"/>
      <c r="LLU7" s="2"/>
      <c r="LLV7" s="2"/>
      <c r="LLW7" s="2"/>
      <c r="LLX7" s="2"/>
      <c r="LLY7" s="2"/>
      <c r="LLZ7" s="2"/>
      <c r="LMA7" s="2"/>
      <c r="LMB7" s="2"/>
      <c r="LMC7" s="2"/>
      <c r="LMD7" s="2"/>
      <c r="LME7" s="2"/>
      <c r="LMF7" s="2"/>
      <c r="LMG7" s="2"/>
      <c r="LMH7" s="2"/>
      <c r="LMI7" s="2"/>
      <c r="LMJ7" s="2"/>
      <c r="LMK7" s="2"/>
      <c r="LML7" s="2"/>
      <c r="LMM7" s="2"/>
      <c r="LMN7" s="2"/>
      <c r="LMO7" s="2"/>
      <c r="LMP7" s="2"/>
      <c r="LMQ7" s="2"/>
      <c r="LMR7" s="2"/>
      <c r="LMS7" s="2"/>
      <c r="LMT7" s="2"/>
      <c r="LMU7" s="2"/>
      <c r="LMV7" s="2"/>
      <c r="LMW7" s="2"/>
      <c r="LMX7" s="2"/>
      <c r="LMY7" s="2"/>
      <c r="LMZ7" s="2"/>
      <c r="LNA7" s="2"/>
      <c r="LNB7" s="2"/>
      <c r="LNC7" s="2"/>
      <c r="LND7" s="2"/>
      <c r="LNE7" s="2"/>
      <c r="LNF7" s="2"/>
      <c r="LNG7" s="2"/>
      <c r="LNH7" s="2"/>
      <c r="LNI7" s="2"/>
      <c r="LNJ7" s="2"/>
      <c r="LNK7" s="2"/>
      <c r="LNL7" s="2"/>
      <c r="LNM7" s="2"/>
      <c r="LNN7" s="2"/>
      <c r="LNO7" s="2"/>
      <c r="LNP7" s="2"/>
      <c r="LNQ7" s="2"/>
      <c r="LNR7" s="2"/>
      <c r="LNS7" s="2"/>
      <c r="LNT7" s="2"/>
      <c r="LNU7" s="2"/>
      <c r="LNV7" s="2"/>
      <c r="LNW7" s="2"/>
      <c r="LNX7" s="2"/>
      <c r="LNY7" s="2"/>
      <c r="LNZ7" s="2"/>
      <c r="LOA7" s="2"/>
      <c r="LOB7" s="2"/>
      <c r="LOC7" s="2"/>
      <c r="LOD7" s="2"/>
      <c r="LOE7" s="2"/>
      <c r="LOF7" s="2"/>
      <c r="LOG7" s="2"/>
      <c r="LOH7" s="2"/>
      <c r="LOI7" s="2"/>
      <c r="LOJ7" s="2"/>
      <c r="LOK7" s="2"/>
      <c r="LOL7" s="2"/>
      <c r="LOM7" s="2"/>
      <c r="LON7" s="2"/>
      <c r="LOO7" s="2"/>
      <c r="LOP7" s="2"/>
      <c r="LOQ7" s="2"/>
      <c r="LOR7" s="2"/>
      <c r="LOS7" s="2"/>
      <c r="LOT7" s="2"/>
      <c r="LOU7" s="2"/>
      <c r="LOV7" s="2"/>
      <c r="LOW7" s="2"/>
      <c r="LOX7" s="2"/>
      <c r="LOY7" s="2"/>
      <c r="LOZ7" s="2"/>
      <c r="LPA7" s="2"/>
      <c r="LPB7" s="2"/>
      <c r="LPC7" s="2"/>
      <c r="LPD7" s="2"/>
      <c r="LPE7" s="2"/>
      <c r="LPF7" s="2"/>
      <c r="LPG7" s="2"/>
      <c r="LPH7" s="2"/>
      <c r="LPI7" s="2"/>
      <c r="LPJ7" s="2"/>
      <c r="LPK7" s="2"/>
      <c r="LPL7" s="2"/>
      <c r="LPM7" s="2"/>
      <c r="LPN7" s="2"/>
      <c r="LPO7" s="2"/>
      <c r="LPP7" s="2"/>
      <c r="LPQ7" s="2"/>
      <c r="LPR7" s="2"/>
      <c r="LPS7" s="2"/>
      <c r="LPT7" s="2"/>
      <c r="LPU7" s="2"/>
      <c r="LPV7" s="2"/>
      <c r="LPW7" s="2"/>
      <c r="LPX7" s="2"/>
      <c r="LPY7" s="2"/>
      <c r="LPZ7" s="2"/>
      <c r="LQA7" s="2"/>
      <c r="LQB7" s="2"/>
      <c r="LQC7" s="2"/>
      <c r="LQD7" s="2"/>
      <c r="LQE7" s="2"/>
      <c r="LQF7" s="2"/>
      <c r="LQG7" s="2"/>
      <c r="LQH7" s="2"/>
      <c r="LQI7" s="2"/>
      <c r="LQJ7" s="2"/>
      <c r="LQK7" s="2"/>
      <c r="LQL7" s="2"/>
      <c r="LQM7" s="2"/>
      <c r="LQN7" s="2"/>
      <c r="LQO7" s="2"/>
      <c r="LQP7" s="2"/>
      <c r="LQQ7" s="2"/>
      <c r="LQR7" s="2"/>
      <c r="LQS7" s="2"/>
      <c r="LQT7" s="2"/>
      <c r="LQU7" s="2"/>
      <c r="LQV7" s="2"/>
      <c r="LQW7" s="2"/>
      <c r="LQX7" s="2"/>
      <c r="LQY7" s="2"/>
      <c r="LQZ7" s="2"/>
      <c r="LRA7" s="2"/>
      <c r="LRB7" s="2"/>
      <c r="LRC7" s="2"/>
      <c r="LRD7" s="2"/>
      <c r="LRE7" s="2"/>
      <c r="LRF7" s="2"/>
      <c r="LRG7" s="2"/>
      <c r="LRH7" s="2"/>
      <c r="LRI7" s="2"/>
      <c r="LRJ7" s="2"/>
      <c r="LRK7" s="2"/>
      <c r="LRL7" s="2"/>
      <c r="LRM7" s="2"/>
      <c r="LRN7" s="2"/>
      <c r="LRO7" s="2"/>
      <c r="LRP7" s="2"/>
      <c r="LRQ7" s="2"/>
      <c r="LRR7" s="2"/>
      <c r="LRS7" s="2"/>
      <c r="LRT7" s="2"/>
      <c r="LRU7" s="2"/>
      <c r="LRV7" s="2"/>
      <c r="LRW7" s="2"/>
      <c r="LRX7" s="2"/>
      <c r="LRY7" s="2"/>
      <c r="LRZ7" s="2"/>
      <c r="LSA7" s="2"/>
      <c r="LSB7" s="2"/>
      <c r="LSC7" s="2"/>
      <c r="LSD7" s="2"/>
      <c r="LSE7" s="2"/>
      <c r="LSF7" s="2"/>
      <c r="LSG7" s="2"/>
      <c r="LSH7" s="2"/>
      <c r="LSI7" s="2"/>
      <c r="LSJ7" s="2"/>
      <c r="LSK7" s="2"/>
      <c r="LSL7" s="2"/>
      <c r="LSM7" s="2"/>
      <c r="LSN7" s="2"/>
      <c r="LSO7" s="2"/>
      <c r="LSP7" s="2"/>
      <c r="LSQ7" s="2"/>
      <c r="LSR7" s="2"/>
      <c r="LSS7" s="2"/>
      <c r="LST7" s="2"/>
      <c r="LSU7" s="2"/>
      <c r="LSV7" s="2"/>
      <c r="LSW7" s="2"/>
      <c r="LSX7" s="2"/>
      <c r="LSY7" s="2"/>
      <c r="LSZ7" s="2"/>
      <c r="LTA7" s="2"/>
      <c r="LTB7" s="2"/>
      <c r="LTC7" s="2"/>
      <c r="LTD7" s="2"/>
      <c r="LTE7" s="2"/>
      <c r="LTF7" s="2"/>
      <c r="LTG7" s="2"/>
      <c r="LTH7" s="2"/>
      <c r="LTI7" s="2"/>
      <c r="LTJ7" s="2"/>
      <c r="LTK7" s="2"/>
      <c r="LTL7" s="2"/>
      <c r="LTM7" s="2"/>
      <c r="LTN7" s="2"/>
      <c r="LTO7" s="2"/>
      <c r="LTP7" s="2"/>
      <c r="LTQ7" s="2"/>
      <c r="LTR7" s="2"/>
      <c r="LTS7" s="2"/>
      <c r="LTT7" s="2"/>
      <c r="LTU7" s="2"/>
      <c r="LTV7" s="2"/>
      <c r="LTW7" s="2"/>
      <c r="LTX7" s="2"/>
      <c r="LTY7" s="2"/>
      <c r="LTZ7" s="2"/>
      <c r="LUA7" s="2"/>
      <c r="LUB7" s="2"/>
      <c r="LUC7" s="2"/>
      <c r="LUD7" s="2"/>
      <c r="LUE7" s="2"/>
      <c r="LUF7" s="2"/>
      <c r="LUG7" s="2"/>
      <c r="LUH7" s="2"/>
      <c r="LUI7" s="2"/>
      <c r="LUJ7" s="2"/>
      <c r="LUK7" s="2"/>
      <c r="LUL7" s="2"/>
      <c r="LUM7" s="2"/>
      <c r="LUN7" s="2"/>
      <c r="LUO7" s="2"/>
      <c r="LUP7" s="2"/>
      <c r="LUQ7" s="2"/>
      <c r="LUR7" s="2"/>
      <c r="LUS7" s="2"/>
      <c r="LUT7" s="2"/>
      <c r="LUU7" s="2"/>
      <c r="LUV7" s="2"/>
      <c r="LUW7" s="2"/>
      <c r="LUX7" s="2"/>
      <c r="LUY7" s="2"/>
      <c r="LUZ7" s="2"/>
      <c r="LVA7" s="2"/>
      <c r="LVB7" s="2"/>
      <c r="LVC7" s="2"/>
      <c r="LVD7" s="2"/>
      <c r="LVE7" s="2"/>
      <c r="LVF7" s="2"/>
      <c r="LVG7" s="2"/>
      <c r="LVH7" s="2"/>
      <c r="LVI7" s="2"/>
      <c r="LVJ7" s="2"/>
      <c r="LVK7" s="2"/>
      <c r="LVL7" s="2"/>
      <c r="LVM7" s="2"/>
      <c r="LVN7" s="2"/>
      <c r="LVO7" s="2"/>
      <c r="LVP7" s="2"/>
      <c r="LVQ7" s="2"/>
      <c r="LVR7" s="2"/>
      <c r="LVS7" s="2"/>
      <c r="LVT7" s="2"/>
      <c r="LVU7" s="2"/>
      <c r="LVV7" s="2"/>
      <c r="LVW7" s="2"/>
      <c r="LVX7" s="2"/>
      <c r="LVY7" s="2"/>
      <c r="LVZ7" s="2"/>
      <c r="LWA7" s="2"/>
      <c r="LWB7" s="2"/>
      <c r="LWC7" s="2"/>
      <c r="LWD7" s="2"/>
      <c r="LWE7" s="2"/>
      <c r="LWF7" s="2"/>
      <c r="LWG7" s="2"/>
      <c r="LWH7" s="2"/>
      <c r="LWI7" s="2"/>
      <c r="LWJ7" s="2"/>
      <c r="LWK7" s="2"/>
      <c r="LWL7" s="2"/>
      <c r="LWM7" s="2"/>
      <c r="LWN7" s="2"/>
      <c r="LWO7" s="2"/>
      <c r="LWP7" s="2"/>
      <c r="LWQ7" s="2"/>
      <c r="LWR7" s="2"/>
      <c r="LWS7" s="2"/>
      <c r="LWT7" s="2"/>
      <c r="LWU7" s="2"/>
      <c r="LWV7" s="2"/>
      <c r="LWW7" s="2"/>
      <c r="LWX7" s="2"/>
      <c r="LWY7" s="2"/>
      <c r="LWZ7" s="2"/>
      <c r="LXA7" s="2"/>
      <c r="LXB7" s="2"/>
      <c r="LXC7" s="2"/>
      <c r="LXD7" s="2"/>
      <c r="LXE7" s="2"/>
      <c r="LXF7" s="2"/>
      <c r="LXG7" s="2"/>
      <c r="LXH7" s="2"/>
      <c r="LXI7" s="2"/>
      <c r="LXJ7" s="2"/>
      <c r="LXK7" s="2"/>
      <c r="LXL7" s="2"/>
      <c r="LXM7" s="2"/>
      <c r="LXN7" s="2"/>
      <c r="LXO7" s="2"/>
      <c r="LXP7" s="2"/>
      <c r="LXQ7" s="2"/>
      <c r="LXR7" s="2"/>
      <c r="LXS7" s="2"/>
      <c r="LXT7" s="2"/>
      <c r="LXU7" s="2"/>
      <c r="LXV7" s="2"/>
      <c r="LXW7" s="2"/>
      <c r="LXX7" s="2"/>
      <c r="LXY7" s="2"/>
      <c r="LXZ7" s="2"/>
      <c r="LYA7" s="2"/>
      <c r="LYB7" s="2"/>
      <c r="LYC7" s="2"/>
      <c r="LYD7" s="2"/>
      <c r="LYE7" s="2"/>
      <c r="LYF7" s="2"/>
      <c r="LYG7" s="2"/>
      <c r="LYH7" s="2"/>
      <c r="LYI7" s="2"/>
      <c r="LYJ7" s="2"/>
      <c r="LYK7" s="2"/>
      <c r="LYL7" s="2"/>
      <c r="LYM7" s="2"/>
      <c r="LYN7" s="2"/>
      <c r="LYO7" s="2"/>
      <c r="LYP7" s="2"/>
      <c r="LYQ7" s="2"/>
      <c r="LYR7" s="2"/>
      <c r="LYS7" s="2"/>
      <c r="LYT7" s="2"/>
      <c r="LYU7" s="2"/>
      <c r="LYV7" s="2"/>
      <c r="LYW7" s="2"/>
      <c r="LYX7" s="2"/>
      <c r="LYY7" s="2"/>
      <c r="LYZ7" s="2"/>
      <c r="LZA7" s="2"/>
      <c r="LZB7" s="2"/>
      <c r="LZC7" s="2"/>
      <c r="LZD7" s="2"/>
      <c r="LZE7" s="2"/>
      <c r="LZF7" s="2"/>
      <c r="LZG7" s="2"/>
      <c r="LZH7" s="2"/>
      <c r="LZI7" s="2"/>
      <c r="LZJ7" s="2"/>
      <c r="LZK7" s="2"/>
      <c r="LZL7" s="2"/>
      <c r="LZM7" s="2"/>
      <c r="LZN7" s="2"/>
      <c r="LZO7" s="2"/>
      <c r="LZP7" s="2"/>
      <c r="LZQ7" s="2"/>
      <c r="LZR7" s="2"/>
      <c r="LZS7" s="2"/>
      <c r="LZT7" s="2"/>
      <c r="LZU7" s="2"/>
      <c r="LZV7" s="2"/>
      <c r="LZW7" s="2"/>
      <c r="LZX7" s="2"/>
      <c r="LZY7" s="2"/>
      <c r="LZZ7" s="2"/>
      <c r="MAA7" s="2"/>
      <c r="MAB7" s="2"/>
      <c r="MAC7" s="2"/>
      <c r="MAD7" s="2"/>
      <c r="MAE7" s="2"/>
      <c r="MAF7" s="2"/>
      <c r="MAG7" s="2"/>
      <c r="MAH7" s="2"/>
      <c r="MAI7" s="2"/>
      <c r="MAJ7" s="2"/>
      <c r="MAK7" s="2"/>
      <c r="MAL7" s="2"/>
      <c r="MAM7" s="2"/>
      <c r="MAN7" s="2"/>
      <c r="MAO7" s="2"/>
      <c r="MAP7" s="2"/>
      <c r="MAQ7" s="2"/>
      <c r="MAR7" s="2"/>
      <c r="MAS7" s="2"/>
      <c r="MAT7" s="2"/>
      <c r="MAU7" s="2"/>
      <c r="MAV7" s="2"/>
      <c r="MAW7" s="2"/>
      <c r="MAX7" s="2"/>
      <c r="MAY7" s="2"/>
      <c r="MAZ7" s="2"/>
      <c r="MBA7" s="2"/>
      <c r="MBB7" s="2"/>
      <c r="MBC7" s="2"/>
      <c r="MBD7" s="2"/>
      <c r="MBE7" s="2"/>
      <c r="MBF7" s="2"/>
      <c r="MBG7" s="2"/>
      <c r="MBH7" s="2"/>
      <c r="MBI7" s="2"/>
      <c r="MBJ7" s="2"/>
      <c r="MBK7" s="2"/>
      <c r="MBL7" s="2"/>
      <c r="MBM7" s="2"/>
      <c r="MBN7" s="2"/>
      <c r="MBO7" s="2"/>
      <c r="MBP7" s="2"/>
      <c r="MBQ7" s="2"/>
      <c r="MBR7" s="2"/>
      <c r="MBS7" s="2"/>
      <c r="MBT7" s="2"/>
      <c r="MBU7" s="2"/>
      <c r="MBV7" s="2"/>
      <c r="MBW7" s="2"/>
      <c r="MBX7" s="2"/>
      <c r="MBY7" s="2"/>
      <c r="MBZ7" s="2"/>
      <c r="MCA7" s="2"/>
      <c r="MCB7" s="2"/>
      <c r="MCC7" s="2"/>
      <c r="MCD7" s="2"/>
      <c r="MCE7" s="2"/>
      <c r="MCF7" s="2"/>
      <c r="MCG7" s="2"/>
      <c r="MCH7" s="2"/>
      <c r="MCI7" s="2"/>
      <c r="MCJ7" s="2"/>
      <c r="MCK7" s="2"/>
      <c r="MCL7" s="2"/>
      <c r="MCM7" s="2"/>
      <c r="MCN7" s="2"/>
      <c r="MCO7" s="2"/>
      <c r="MCP7" s="2"/>
      <c r="MCQ7" s="2"/>
      <c r="MCR7" s="2"/>
      <c r="MCS7" s="2"/>
      <c r="MCT7" s="2"/>
      <c r="MCU7" s="2"/>
      <c r="MCV7" s="2"/>
      <c r="MCW7" s="2"/>
      <c r="MCX7" s="2"/>
      <c r="MCY7" s="2"/>
      <c r="MCZ7" s="2"/>
      <c r="MDA7" s="2"/>
      <c r="MDB7" s="2"/>
      <c r="MDC7" s="2"/>
      <c r="MDD7" s="2"/>
      <c r="MDE7" s="2"/>
      <c r="MDF7" s="2"/>
      <c r="MDG7" s="2"/>
      <c r="MDH7" s="2"/>
      <c r="MDI7" s="2"/>
      <c r="MDJ7" s="2"/>
      <c r="MDK7" s="2"/>
      <c r="MDL7" s="2"/>
      <c r="MDM7" s="2"/>
      <c r="MDN7" s="2"/>
      <c r="MDO7" s="2"/>
      <c r="MDP7" s="2"/>
      <c r="MDQ7" s="2"/>
      <c r="MDR7" s="2"/>
      <c r="MDS7" s="2"/>
      <c r="MDT7" s="2"/>
      <c r="MDU7" s="2"/>
      <c r="MDV7" s="2"/>
      <c r="MDW7" s="2"/>
      <c r="MDX7" s="2"/>
      <c r="MDY7" s="2"/>
      <c r="MDZ7" s="2"/>
      <c r="MEA7" s="2"/>
      <c r="MEB7" s="2"/>
      <c r="MEC7" s="2"/>
      <c r="MED7" s="2"/>
      <c r="MEE7" s="2"/>
      <c r="MEF7" s="2"/>
      <c r="MEG7" s="2"/>
      <c r="MEH7" s="2"/>
      <c r="MEI7" s="2"/>
      <c r="MEJ7" s="2"/>
      <c r="MEK7" s="2"/>
      <c r="MEL7" s="2"/>
      <c r="MEM7" s="2"/>
      <c r="MEN7" s="2"/>
      <c r="MEO7" s="2"/>
      <c r="MEP7" s="2"/>
      <c r="MEQ7" s="2"/>
      <c r="MER7" s="2"/>
      <c r="MES7" s="2"/>
      <c r="MET7" s="2"/>
      <c r="MEU7" s="2"/>
      <c r="MEV7" s="2"/>
      <c r="MEW7" s="2"/>
      <c r="MEX7" s="2"/>
      <c r="MEY7" s="2"/>
      <c r="MEZ7" s="2"/>
      <c r="MFA7" s="2"/>
      <c r="MFB7" s="2"/>
      <c r="MFC7" s="2"/>
      <c r="MFD7" s="2"/>
      <c r="MFE7" s="2"/>
      <c r="MFF7" s="2"/>
      <c r="MFG7" s="2"/>
      <c r="MFH7" s="2"/>
      <c r="MFI7" s="2"/>
      <c r="MFJ7" s="2"/>
      <c r="MFK7" s="2"/>
      <c r="MFL7" s="2"/>
      <c r="MFM7" s="2"/>
      <c r="MFN7" s="2"/>
      <c r="MFO7" s="2"/>
      <c r="MFP7" s="2"/>
      <c r="MFQ7" s="2"/>
      <c r="MFR7" s="2"/>
      <c r="MFS7" s="2"/>
      <c r="MFT7" s="2"/>
      <c r="MFU7" s="2"/>
      <c r="MFV7" s="2"/>
      <c r="MFW7" s="2"/>
      <c r="MFX7" s="2"/>
      <c r="MFY7" s="2"/>
      <c r="MFZ7" s="2"/>
      <c r="MGA7" s="2"/>
      <c r="MGB7" s="2"/>
      <c r="MGC7" s="2"/>
      <c r="MGD7" s="2"/>
      <c r="MGE7" s="2"/>
      <c r="MGF7" s="2"/>
      <c r="MGG7" s="2"/>
      <c r="MGH7" s="2"/>
      <c r="MGI7" s="2"/>
      <c r="MGJ7" s="2"/>
      <c r="MGK7" s="2"/>
      <c r="MGL7" s="2"/>
      <c r="MGM7" s="2"/>
      <c r="MGN7" s="2"/>
      <c r="MGO7" s="2"/>
      <c r="MGP7" s="2"/>
      <c r="MGQ7" s="2"/>
      <c r="MGR7" s="2"/>
      <c r="MGS7" s="2"/>
      <c r="MGT7" s="2"/>
      <c r="MGU7" s="2"/>
      <c r="MGV7" s="2"/>
      <c r="MGW7" s="2"/>
      <c r="MGX7" s="2"/>
      <c r="MGY7" s="2"/>
      <c r="MGZ7" s="2"/>
      <c r="MHA7" s="2"/>
      <c r="MHB7" s="2"/>
      <c r="MHC7" s="2"/>
      <c r="MHD7" s="2"/>
      <c r="MHE7" s="2"/>
      <c r="MHF7" s="2"/>
      <c r="MHG7" s="2"/>
      <c r="MHH7" s="2"/>
      <c r="MHI7" s="2"/>
      <c r="MHJ7" s="2"/>
      <c r="MHK7" s="2"/>
      <c r="MHL7" s="2"/>
      <c r="MHM7" s="2"/>
      <c r="MHN7" s="2"/>
      <c r="MHO7" s="2"/>
      <c r="MHP7" s="2"/>
      <c r="MHQ7" s="2"/>
      <c r="MHR7" s="2"/>
      <c r="MHS7" s="2"/>
      <c r="MHT7" s="2"/>
      <c r="MHU7" s="2"/>
      <c r="MHV7" s="2"/>
      <c r="MHW7" s="2"/>
      <c r="MHX7" s="2"/>
      <c r="MHY7" s="2"/>
      <c r="MHZ7" s="2"/>
      <c r="MIA7" s="2"/>
      <c r="MIB7" s="2"/>
      <c r="MIC7" s="2"/>
      <c r="MID7" s="2"/>
      <c r="MIE7" s="2"/>
      <c r="MIF7" s="2"/>
      <c r="MIG7" s="2"/>
      <c r="MIH7" s="2"/>
      <c r="MII7" s="2"/>
      <c r="MIJ7" s="2"/>
      <c r="MIK7" s="2"/>
      <c r="MIL7" s="2"/>
      <c r="MIM7" s="2"/>
      <c r="MIN7" s="2"/>
      <c r="MIO7" s="2"/>
      <c r="MIP7" s="2"/>
      <c r="MIQ7" s="2"/>
      <c r="MIR7" s="2"/>
      <c r="MIS7" s="2"/>
      <c r="MIT7" s="2"/>
      <c r="MIU7" s="2"/>
      <c r="MIV7" s="2"/>
      <c r="MIW7" s="2"/>
      <c r="MIX7" s="2"/>
      <c r="MIY7" s="2"/>
      <c r="MIZ7" s="2"/>
      <c r="MJA7" s="2"/>
      <c r="MJB7" s="2"/>
      <c r="MJC7" s="2"/>
      <c r="MJD7" s="2"/>
      <c r="MJE7" s="2"/>
      <c r="MJF7" s="2"/>
      <c r="MJG7" s="2"/>
      <c r="MJH7" s="2"/>
      <c r="MJI7" s="2"/>
      <c r="MJJ7" s="2"/>
      <c r="MJK7" s="2"/>
      <c r="MJL7" s="2"/>
      <c r="MJM7" s="2"/>
      <c r="MJN7" s="2"/>
      <c r="MJO7" s="2"/>
      <c r="MJP7" s="2"/>
      <c r="MJQ7" s="2"/>
      <c r="MJR7" s="2"/>
      <c r="MJS7" s="2"/>
      <c r="MJT7" s="2"/>
      <c r="MJU7" s="2"/>
      <c r="MJV7" s="2"/>
      <c r="MJW7" s="2"/>
      <c r="MJX7" s="2"/>
      <c r="MJY7" s="2"/>
      <c r="MJZ7" s="2"/>
      <c r="MKA7" s="2"/>
      <c r="MKB7" s="2"/>
      <c r="MKC7" s="2"/>
      <c r="MKD7" s="2"/>
      <c r="MKE7" s="2"/>
      <c r="MKF7" s="2"/>
      <c r="MKG7" s="2"/>
      <c r="MKH7" s="2"/>
      <c r="MKI7" s="2"/>
      <c r="MKJ7" s="2"/>
      <c r="MKK7" s="2"/>
      <c r="MKL7" s="2"/>
      <c r="MKM7" s="2"/>
      <c r="MKN7" s="2"/>
      <c r="MKO7" s="2"/>
      <c r="MKP7" s="2"/>
      <c r="MKQ7" s="2"/>
      <c r="MKR7" s="2"/>
      <c r="MKS7" s="2"/>
      <c r="MKT7" s="2"/>
      <c r="MKU7" s="2"/>
      <c r="MKV7" s="2"/>
      <c r="MKW7" s="2"/>
      <c r="MKX7" s="2"/>
      <c r="MKY7" s="2"/>
      <c r="MKZ7" s="2"/>
      <c r="MLA7" s="2"/>
      <c r="MLB7" s="2"/>
      <c r="MLC7" s="2"/>
      <c r="MLD7" s="2"/>
      <c r="MLE7" s="2"/>
      <c r="MLF7" s="2"/>
      <c r="MLG7" s="2"/>
      <c r="MLH7" s="2"/>
      <c r="MLI7" s="2"/>
      <c r="MLJ7" s="2"/>
      <c r="MLK7" s="2"/>
      <c r="MLL7" s="2"/>
      <c r="MLM7" s="2"/>
      <c r="MLN7" s="2"/>
      <c r="MLO7" s="2"/>
      <c r="MLP7" s="2"/>
      <c r="MLQ7" s="2"/>
      <c r="MLR7" s="2"/>
      <c r="MLS7" s="2"/>
      <c r="MLT7" s="2"/>
      <c r="MLU7" s="2"/>
      <c r="MLV7" s="2"/>
      <c r="MLW7" s="2"/>
      <c r="MLX7" s="2"/>
      <c r="MLY7" s="2"/>
      <c r="MLZ7" s="2"/>
      <c r="MMA7" s="2"/>
      <c r="MMB7" s="2"/>
      <c r="MMC7" s="2"/>
      <c r="MMD7" s="2"/>
      <c r="MME7" s="2"/>
      <c r="MMF7" s="2"/>
      <c r="MMG7" s="2"/>
      <c r="MMH7" s="2"/>
      <c r="MMI7" s="2"/>
      <c r="MMJ7" s="2"/>
      <c r="MMK7" s="2"/>
      <c r="MML7" s="2"/>
      <c r="MMM7" s="2"/>
      <c r="MMN7" s="2"/>
      <c r="MMO7" s="2"/>
      <c r="MMP7" s="2"/>
      <c r="MMQ7" s="2"/>
      <c r="MMR7" s="2"/>
      <c r="MMS7" s="2"/>
      <c r="MMT7" s="2"/>
      <c r="MMU7" s="2"/>
      <c r="MMV7" s="2"/>
      <c r="MMW7" s="2"/>
      <c r="MMX7" s="2"/>
      <c r="MMY7" s="2"/>
      <c r="MMZ7" s="2"/>
      <c r="MNA7" s="2"/>
      <c r="MNB7" s="2"/>
      <c r="MNC7" s="2"/>
      <c r="MND7" s="2"/>
      <c r="MNE7" s="2"/>
      <c r="MNF7" s="2"/>
      <c r="MNG7" s="2"/>
      <c r="MNH7" s="2"/>
      <c r="MNI7" s="2"/>
      <c r="MNJ7" s="2"/>
      <c r="MNK7" s="2"/>
      <c r="MNL7" s="2"/>
      <c r="MNM7" s="2"/>
      <c r="MNN7" s="2"/>
      <c r="MNO7" s="2"/>
      <c r="MNP7" s="2"/>
      <c r="MNQ7" s="2"/>
      <c r="MNR7" s="2"/>
      <c r="MNS7" s="2"/>
      <c r="MNT7" s="2"/>
      <c r="MNU7" s="2"/>
      <c r="MNV7" s="2"/>
      <c r="MNW7" s="2"/>
      <c r="MNX7" s="2"/>
      <c r="MNY7" s="2"/>
      <c r="MNZ7" s="2"/>
      <c r="MOA7" s="2"/>
      <c r="MOB7" s="2"/>
      <c r="MOC7" s="2"/>
      <c r="MOD7" s="2"/>
      <c r="MOE7" s="2"/>
      <c r="MOF7" s="2"/>
      <c r="MOG7" s="2"/>
      <c r="MOH7" s="2"/>
      <c r="MOI7" s="2"/>
      <c r="MOJ7" s="2"/>
      <c r="MOK7" s="2"/>
      <c r="MOL7" s="2"/>
      <c r="MOM7" s="2"/>
      <c r="MON7" s="2"/>
      <c r="MOO7" s="2"/>
      <c r="MOP7" s="2"/>
      <c r="MOQ7" s="2"/>
      <c r="MOR7" s="2"/>
      <c r="MOS7" s="2"/>
      <c r="MOT7" s="2"/>
      <c r="MOU7" s="2"/>
      <c r="MOV7" s="2"/>
      <c r="MOW7" s="2"/>
      <c r="MOX7" s="2"/>
      <c r="MOY7" s="2"/>
      <c r="MOZ7" s="2"/>
      <c r="MPA7" s="2"/>
      <c r="MPB7" s="2"/>
      <c r="MPC7" s="2"/>
      <c r="MPD7" s="2"/>
      <c r="MPE7" s="2"/>
      <c r="MPF7" s="2"/>
      <c r="MPG7" s="2"/>
      <c r="MPH7" s="2"/>
      <c r="MPI7" s="2"/>
      <c r="MPJ7" s="2"/>
      <c r="MPK7" s="2"/>
      <c r="MPL7" s="2"/>
      <c r="MPM7" s="2"/>
      <c r="MPN7" s="2"/>
      <c r="MPO7" s="2"/>
      <c r="MPP7" s="2"/>
      <c r="MPQ7" s="2"/>
      <c r="MPR7" s="2"/>
      <c r="MPS7" s="2"/>
      <c r="MPT7" s="2"/>
      <c r="MPU7" s="2"/>
      <c r="MPV7" s="2"/>
      <c r="MPW7" s="2"/>
      <c r="MPX7" s="2"/>
      <c r="MPY7" s="2"/>
      <c r="MPZ7" s="2"/>
      <c r="MQA7" s="2"/>
      <c r="MQB7" s="2"/>
      <c r="MQC7" s="2"/>
      <c r="MQD7" s="2"/>
      <c r="MQE7" s="2"/>
      <c r="MQF7" s="2"/>
      <c r="MQG7" s="2"/>
      <c r="MQH7" s="2"/>
      <c r="MQI7" s="2"/>
      <c r="MQJ7" s="2"/>
      <c r="MQK7" s="2"/>
      <c r="MQL7" s="2"/>
      <c r="MQM7" s="2"/>
      <c r="MQN7" s="2"/>
      <c r="MQO7" s="2"/>
      <c r="MQP7" s="2"/>
      <c r="MQQ7" s="2"/>
      <c r="MQR7" s="2"/>
      <c r="MQS7" s="2"/>
      <c r="MQT7" s="2"/>
      <c r="MQU7" s="2"/>
      <c r="MQV7" s="2"/>
      <c r="MQW7" s="2"/>
      <c r="MQX7" s="2"/>
      <c r="MQY7" s="2"/>
      <c r="MQZ7" s="2"/>
      <c r="MRA7" s="2"/>
      <c r="MRB7" s="2"/>
      <c r="MRC7" s="2"/>
      <c r="MRD7" s="2"/>
      <c r="MRE7" s="2"/>
      <c r="MRF7" s="2"/>
      <c r="MRG7" s="2"/>
      <c r="MRH7" s="2"/>
      <c r="MRI7" s="2"/>
      <c r="MRJ7" s="2"/>
      <c r="MRK7" s="2"/>
      <c r="MRL7" s="2"/>
      <c r="MRM7" s="2"/>
      <c r="MRN7" s="2"/>
      <c r="MRO7" s="2"/>
      <c r="MRP7" s="2"/>
      <c r="MRQ7" s="2"/>
      <c r="MRR7" s="2"/>
      <c r="MRS7" s="2"/>
      <c r="MRT7" s="2"/>
      <c r="MRU7" s="2"/>
      <c r="MRV7" s="2"/>
      <c r="MRW7" s="2"/>
      <c r="MRX7" s="2"/>
      <c r="MRY7" s="2"/>
      <c r="MRZ7" s="2"/>
      <c r="MSA7" s="2"/>
      <c r="MSB7" s="2"/>
      <c r="MSC7" s="2"/>
      <c r="MSD7" s="2"/>
      <c r="MSE7" s="2"/>
      <c r="MSF7" s="2"/>
      <c r="MSG7" s="2"/>
      <c r="MSH7" s="2"/>
      <c r="MSI7" s="2"/>
      <c r="MSJ7" s="2"/>
      <c r="MSK7" s="2"/>
      <c r="MSL7" s="2"/>
      <c r="MSM7" s="2"/>
      <c r="MSN7" s="2"/>
      <c r="MSO7" s="2"/>
      <c r="MSP7" s="2"/>
      <c r="MSQ7" s="2"/>
      <c r="MSR7" s="2"/>
      <c r="MSS7" s="2"/>
      <c r="MST7" s="2"/>
      <c r="MSU7" s="2"/>
      <c r="MSV7" s="2"/>
      <c r="MSW7" s="2"/>
      <c r="MSX7" s="2"/>
      <c r="MSY7" s="2"/>
      <c r="MSZ7" s="2"/>
      <c r="MTA7" s="2"/>
      <c r="MTB7" s="2"/>
      <c r="MTC7" s="2"/>
      <c r="MTD7" s="2"/>
      <c r="MTE7" s="2"/>
      <c r="MTF7" s="2"/>
      <c r="MTG7" s="2"/>
      <c r="MTH7" s="2"/>
      <c r="MTI7" s="2"/>
      <c r="MTJ7" s="2"/>
      <c r="MTK7" s="2"/>
      <c r="MTL7" s="2"/>
      <c r="MTM7" s="2"/>
      <c r="MTN7" s="2"/>
      <c r="MTO7" s="2"/>
      <c r="MTP7" s="2"/>
      <c r="MTQ7" s="2"/>
      <c r="MTR7" s="2"/>
      <c r="MTS7" s="2"/>
      <c r="MTT7" s="2"/>
      <c r="MTU7" s="2"/>
      <c r="MTV7" s="2"/>
      <c r="MTW7" s="2"/>
      <c r="MTX7" s="2"/>
      <c r="MTY7" s="2"/>
      <c r="MTZ7" s="2"/>
      <c r="MUA7" s="2"/>
      <c r="MUB7" s="2"/>
      <c r="MUC7" s="2"/>
      <c r="MUD7" s="2"/>
      <c r="MUE7" s="2"/>
      <c r="MUF7" s="2"/>
      <c r="MUG7" s="2"/>
      <c r="MUH7" s="2"/>
      <c r="MUI7" s="2"/>
      <c r="MUJ7" s="2"/>
      <c r="MUK7" s="2"/>
      <c r="MUL7" s="2"/>
      <c r="MUM7" s="2"/>
      <c r="MUN7" s="2"/>
      <c r="MUO7" s="2"/>
      <c r="MUP7" s="2"/>
      <c r="MUQ7" s="2"/>
      <c r="MUR7" s="2"/>
      <c r="MUS7" s="2"/>
      <c r="MUT7" s="2"/>
      <c r="MUU7" s="2"/>
      <c r="MUV7" s="2"/>
      <c r="MUW7" s="2"/>
      <c r="MUX7" s="2"/>
      <c r="MUY7" s="2"/>
      <c r="MUZ7" s="2"/>
      <c r="MVA7" s="2"/>
      <c r="MVB7" s="2"/>
      <c r="MVC7" s="2"/>
      <c r="MVD7" s="2"/>
      <c r="MVE7" s="2"/>
      <c r="MVF7" s="2"/>
      <c r="MVG7" s="2"/>
      <c r="MVH7" s="2"/>
      <c r="MVI7" s="2"/>
      <c r="MVJ7" s="2"/>
      <c r="MVK7" s="2"/>
      <c r="MVL7" s="2"/>
      <c r="MVM7" s="2"/>
      <c r="MVN7" s="2"/>
      <c r="MVO7" s="2"/>
      <c r="MVP7" s="2"/>
      <c r="MVQ7" s="2"/>
      <c r="MVR7" s="2"/>
      <c r="MVS7" s="2"/>
      <c r="MVT7" s="2"/>
      <c r="MVU7" s="2"/>
      <c r="MVV7" s="2"/>
      <c r="MVW7" s="2"/>
      <c r="MVX7" s="2"/>
      <c r="MVY7" s="2"/>
      <c r="MVZ7" s="2"/>
      <c r="MWA7" s="2"/>
      <c r="MWB7" s="2"/>
      <c r="MWC7" s="2"/>
      <c r="MWD7" s="2"/>
      <c r="MWE7" s="2"/>
      <c r="MWF7" s="2"/>
      <c r="MWG7" s="2"/>
      <c r="MWH7" s="2"/>
      <c r="MWI7" s="2"/>
      <c r="MWJ7" s="2"/>
      <c r="MWK7" s="2"/>
      <c r="MWL7" s="2"/>
      <c r="MWM7" s="2"/>
      <c r="MWN7" s="2"/>
      <c r="MWO7" s="2"/>
      <c r="MWP7" s="2"/>
      <c r="MWQ7" s="2"/>
      <c r="MWR7" s="2"/>
      <c r="MWS7" s="2"/>
      <c r="MWT7" s="2"/>
      <c r="MWU7" s="2"/>
      <c r="MWV7" s="2"/>
      <c r="MWW7" s="2"/>
      <c r="MWX7" s="2"/>
      <c r="MWY7" s="2"/>
      <c r="MWZ7" s="2"/>
      <c r="MXA7" s="2"/>
      <c r="MXB7" s="2"/>
      <c r="MXC7" s="2"/>
      <c r="MXD7" s="2"/>
      <c r="MXE7" s="2"/>
      <c r="MXF7" s="2"/>
      <c r="MXG7" s="2"/>
      <c r="MXH7" s="2"/>
      <c r="MXI7" s="2"/>
      <c r="MXJ7" s="2"/>
      <c r="MXK7" s="2"/>
      <c r="MXL7" s="2"/>
      <c r="MXM7" s="2"/>
      <c r="MXN7" s="2"/>
      <c r="MXO7" s="2"/>
      <c r="MXP7" s="2"/>
      <c r="MXQ7" s="2"/>
      <c r="MXR7" s="2"/>
      <c r="MXS7" s="2"/>
      <c r="MXT7" s="2"/>
      <c r="MXU7" s="2"/>
      <c r="MXV7" s="2"/>
      <c r="MXW7" s="2"/>
      <c r="MXX7" s="2"/>
      <c r="MXY7" s="2"/>
      <c r="MXZ7" s="2"/>
      <c r="MYA7" s="2"/>
      <c r="MYB7" s="2"/>
      <c r="MYC7" s="2"/>
      <c r="MYD7" s="2"/>
      <c r="MYE7" s="2"/>
      <c r="MYF7" s="2"/>
      <c r="MYG7" s="2"/>
      <c r="MYH7" s="2"/>
      <c r="MYI7" s="2"/>
      <c r="MYJ7" s="2"/>
      <c r="MYK7" s="2"/>
      <c r="MYL7" s="2"/>
      <c r="MYM7" s="2"/>
      <c r="MYN7" s="2"/>
      <c r="MYO7" s="2"/>
      <c r="MYP7" s="2"/>
      <c r="MYQ7" s="2"/>
      <c r="MYR7" s="2"/>
      <c r="MYS7" s="2"/>
      <c r="MYT7" s="2"/>
      <c r="MYU7" s="2"/>
      <c r="MYV7" s="2"/>
      <c r="MYW7" s="2"/>
      <c r="MYX7" s="2"/>
      <c r="MYY7" s="2"/>
      <c r="MYZ7" s="2"/>
      <c r="MZA7" s="2"/>
      <c r="MZB7" s="2"/>
      <c r="MZC7" s="2"/>
      <c r="MZD7" s="2"/>
      <c r="MZE7" s="2"/>
      <c r="MZF7" s="2"/>
      <c r="MZG7" s="2"/>
      <c r="MZH7" s="2"/>
      <c r="MZI7" s="2"/>
      <c r="MZJ7" s="2"/>
      <c r="MZK7" s="2"/>
      <c r="MZL7" s="2"/>
      <c r="MZM7" s="2"/>
      <c r="MZN7" s="2"/>
      <c r="MZO7" s="2"/>
      <c r="MZP7" s="2"/>
      <c r="MZQ7" s="2"/>
      <c r="MZR7" s="2"/>
      <c r="MZS7" s="2"/>
      <c r="MZT7" s="2"/>
      <c r="MZU7" s="2"/>
      <c r="MZV7" s="2"/>
      <c r="MZW7" s="2"/>
      <c r="MZX7" s="2"/>
      <c r="MZY7" s="2"/>
      <c r="MZZ7" s="2"/>
      <c r="NAA7" s="2"/>
      <c r="NAB7" s="2"/>
      <c r="NAC7" s="2"/>
      <c r="NAD7" s="2"/>
      <c r="NAE7" s="2"/>
      <c r="NAF7" s="2"/>
      <c r="NAG7" s="2"/>
      <c r="NAH7" s="2"/>
      <c r="NAI7" s="2"/>
      <c r="NAJ7" s="2"/>
      <c r="NAK7" s="2"/>
      <c r="NAL7" s="2"/>
      <c r="NAM7" s="2"/>
      <c r="NAN7" s="2"/>
      <c r="NAO7" s="2"/>
      <c r="NAP7" s="2"/>
      <c r="NAQ7" s="2"/>
      <c r="NAR7" s="2"/>
      <c r="NAS7" s="2"/>
      <c r="NAT7" s="2"/>
      <c r="NAU7" s="2"/>
      <c r="NAV7" s="2"/>
      <c r="NAW7" s="2"/>
      <c r="NAX7" s="2"/>
      <c r="NAY7" s="2"/>
      <c r="NAZ7" s="2"/>
      <c r="NBA7" s="2"/>
      <c r="NBB7" s="2"/>
      <c r="NBC7" s="2"/>
      <c r="NBD7" s="2"/>
      <c r="NBE7" s="2"/>
      <c r="NBF7" s="2"/>
      <c r="NBG7" s="2"/>
      <c r="NBH7" s="2"/>
      <c r="NBI7" s="2"/>
      <c r="NBJ7" s="2"/>
      <c r="NBK7" s="2"/>
      <c r="NBL7" s="2"/>
      <c r="NBM7" s="2"/>
      <c r="NBN7" s="2"/>
      <c r="NBO7" s="2"/>
      <c r="NBP7" s="2"/>
      <c r="NBQ7" s="2"/>
      <c r="NBR7" s="2"/>
      <c r="NBS7" s="2"/>
      <c r="NBT7" s="2"/>
      <c r="NBU7" s="2"/>
      <c r="NBV7" s="2"/>
      <c r="NBW7" s="2"/>
      <c r="NBX7" s="2"/>
      <c r="NBY7" s="2"/>
      <c r="NBZ7" s="2"/>
      <c r="NCA7" s="2"/>
      <c r="NCB7" s="2"/>
      <c r="NCC7" s="2"/>
      <c r="NCD7" s="2"/>
      <c r="NCE7" s="2"/>
      <c r="NCF7" s="2"/>
      <c r="NCG7" s="2"/>
      <c r="NCH7" s="2"/>
      <c r="NCI7" s="2"/>
      <c r="NCJ7" s="2"/>
      <c r="NCK7" s="2"/>
      <c r="NCL7" s="2"/>
      <c r="NCM7" s="2"/>
      <c r="NCN7" s="2"/>
      <c r="NCO7" s="2"/>
      <c r="NCP7" s="2"/>
      <c r="NCQ7" s="2"/>
      <c r="NCR7" s="2"/>
      <c r="NCS7" s="2"/>
      <c r="NCT7" s="2"/>
      <c r="NCU7" s="2"/>
      <c r="NCV7" s="2"/>
      <c r="NCW7" s="2"/>
      <c r="NCX7" s="2"/>
      <c r="NCY7" s="2"/>
      <c r="NCZ7" s="2"/>
      <c r="NDA7" s="2"/>
      <c r="NDB7" s="2"/>
      <c r="NDC7" s="2"/>
      <c r="NDD7" s="2"/>
      <c r="NDE7" s="2"/>
      <c r="NDF7" s="2"/>
      <c r="NDG7" s="2"/>
      <c r="NDH7" s="2"/>
      <c r="NDI7" s="2"/>
      <c r="NDJ7" s="2"/>
      <c r="NDK7" s="2"/>
      <c r="NDL7" s="2"/>
      <c r="NDM7" s="2"/>
      <c r="NDN7" s="2"/>
      <c r="NDO7" s="2"/>
      <c r="NDP7" s="2"/>
      <c r="NDQ7" s="2"/>
      <c r="NDR7" s="2"/>
      <c r="NDS7" s="2"/>
      <c r="NDT7" s="2"/>
      <c r="NDU7" s="2"/>
      <c r="NDV7" s="2"/>
      <c r="NDW7" s="2"/>
      <c r="NDX7" s="2"/>
      <c r="NDY7" s="2"/>
      <c r="NDZ7" s="2"/>
      <c r="NEA7" s="2"/>
      <c r="NEB7" s="2"/>
      <c r="NEC7" s="2"/>
      <c r="NED7" s="2"/>
      <c r="NEE7" s="2"/>
      <c r="NEF7" s="2"/>
      <c r="NEG7" s="2"/>
      <c r="NEH7" s="2"/>
      <c r="NEI7" s="2"/>
      <c r="NEJ7" s="2"/>
      <c r="NEK7" s="2"/>
      <c r="NEL7" s="2"/>
      <c r="NEM7" s="2"/>
      <c r="NEN7" s="2"/>
      <c r="NEO7" s="2"/>
      <c r="NEP7" s="2"/>
      <c r="NEQ7" s="2"/>
      <c r="NER7" s="2"/>
      <c r="NES7" s="2"/>
      <c r="NET7" s="2"/>
      <c r="NEU7" s="2"/>
      <c r="NEV7" s="2"/>
      <c r="NEW7" s="2"/>
      <c r="NEX7" s="2"/>
      <c r="NEY7" s="2"/>
      <c r="NEZ7" s="2"/>
      <c r="NFA7" s="2"/>
      <c r="NFB7" s="2"/>
      <c r="NFC7" s="2"/>
      <c r="NFD7" s="2"/>
      <c r="NFE7" s="2"/>
      <c r="NFF7" s="2"/>
      <c r="NFG7" s="2"/>
      <c r="NFH7" s="2"/>
      <c r="NFI7" s="2"/>
      <c r="NFJ7" s="2"/>
      <c r="NFK7" s="2"/>
      <c r="NFL7" s="2"/>
      <c r="NFM7" s="2"/>
      <c r="NFN7" s="2"/>
      <c r="NFO7" s="2"/>
      <c r="NFP7" s="2"/>
      <c r="NFQ7" s="2"/>
      <c r="NFR7" s="2"/>
      <c r="NFS7" s="2"/>
      <c r="NFT7" s="2"/>
      <c r="NFU7" s="2"/>
      <c r="NFV7" s="2"/>
      <c r="NFW7" s="2"/>
      <c r="NFX7" s="2"/>
      <c r="NFY7" s="2"/>
      <c r="NFZ7" s="2"/>
      <c r="NGA7" s="2"/>
      <c r="NGB7" s="2"/>
      <c r="NGC7" s="2"/>
      <c r="NGD7" s="2"/>
      <c r="NGE7" s="2"/>
      <c r="NGF7" s="2"/>
      <c r="NGG7" s="2"/>
      <c r="NGH7" s="2"/>
      <c r="NGI7" s="2"/>
      <c r="NGJ7" s="2"/>
      <c r="NGK7" s="2"/>
      <c r="NGL7" s="2"/>
      <c r="NGM7" s="2"/>
      <c r="NGN7" s="2"/>
      <c r="NGO7" s="2"/>
      <c r="NGP7" s="2"/>
      <c r="NGQ7" s="2"/>
      <c r="NGR7" s="2"/>
      <c r="NGS7" s="2"/>
      <c r="NGT7" s="2"/>
      <c r="NGU7" s="2"/>
      <c r="NGV7" s="2"/>
      <c r="NGW7" s="2"/>
      <c r="NGX7" s="2"/>
      <c r="NGY7" s="2"/>
      <c r="NGZ7" s="2"/>
      <c r="NHA7" s="2"/>
      <c r="NHB7" s="2"/>
      <c r="NHC7" s="2"/>
      <c r="NHD7" s="2"/>
      <c r="NHE7" s="2"/>
      <c r="NHF7" s="2"/>
      <c r="NHG7" s="2"/>
      <c r="NHH7" s="2"/>
      <c r="NHI7" s="2"/>
      <c r="NHJ7" s="2"/>
      <c r="NHK7" s="2"/>
      <c r="NHL7" s="2"/>
      <c r="NHM7" s="2"/>
      <c r="NHN7" s="2"/>
      <c r="NHO7" s="2"/>
      <c r="NHP7" s="2"/>
      <c r="NHQ7" s="2"/>
      <c r="NHR7" s="2"/>
      <c r="NHS7" s="2"/>
      <c r="NHT7" s="2"/>
      <c r="NHU7" s="2"/>
      <c r="NHV7" s="2"/>
      <c r="NHW7" s="2"/>
      <c r="NHX7" s="2"/>
      <c r="NHY7" s="2"/>
      <c r="NHZ7" s="2"/>
      <c r="NIA7" s="2"/>
      <c r="NIB7" s="2"/>
      <c r="NIC7" s="2"/>
      <c r="NID7" s="2"/>
      <c r="NIE7" s="2"/>
      <c r="NIF7" s="2"/>
      <c r="NIG7" s="2"/>
      <c r="NIH7" s="2"/>
      <c r="NII7" s="2"/>
      <c r="NIJ7" s="2"/>
      <c r="NIK7" s="2"/>
      <c r="NIL7" s="2"/>
      <c r="NIM7" s="2"/>
      <c r="NIN7" s="2"/>
      <c r="NIO7" s="2"/>
      <c r="NIP7" s="2"/>
      <c r="NIQ7" s="2"/>
      <c r="NIR7" s="2"/>
      <c r="NIS7" s="2"/>
      <c r="NIT7" s="2"/>
      <c r="NIU7" s="2"/>
      <c r="NIV7" s="2"/>
      <c r="NIW7" s="2"/>
      <c r="NIX7" s="2"/>
      <c r="NIY7" s="2"/>
      <c r="NIZ7" s="2"/>
      <c r="NJA7" s="2"/>
      <c r="NJB7" s="2"/>
      <c r="NJC7" s="2"/>
      <c r="NJD7" s="2"/>
      <c r="NJE7" s="2"/>
      <c r="NJF7" s="2"/>
      <c r="NJG7" s="2"/>
      <c r="NJH7" s="2"/>
      <c r="NJI7" s="2"/>
      <c r="NJJ7" s="2"/>
      <c r="NJK7" s="2"/>
      <c r="NJL7" s="2"/>
      <c r="NJM7" s="2"/>
      <c r="NJN7" s="2"/>
      <c r="NJO7" s="2"/>
      <c r="NJP7" s="2"/>
      <c r="NJQ7" s="2"/>
      <c r="NJR7" s="2"/>
      <c r="NJS7" s="2"/>
      <c r="NJT7" s="2"/>
      <c r="NJU7" s="2"/>
      <c r="NJV7" s="2"/>
      <c r="NJW7" s="2"/>
      <c r="NJX7" s="2"/>
      <c r="NJY7" s="2"/>
      <c r="NJZ7" s="2"/>
      <c r="NKA7" s="2"/>
      <c r="NKB7" s="2"/>
      <c r="NKC7" s="2"/>
      <c r="NKD7" s="2"/>
      <c r="NKE7" s="2"/>
      <c r="NKF7" s="2"/>
      <c r="NKG7" s="2"/>
      <c r="NKH7" s="2"/>
      <c r="NKI7" s="2"/>
      <c r="NKJ7" s="2"/>
      <c r="NKK7" s="2"/>
      <c r="NKL7" s="2"/>
      <c r="NKM7" s="2"/>
      <c r="NKN7" s="2"/>
      <c r="NKO7" s="2"/>
      <c r="NKP7" s="2"/>
      <c r="NKQ7" s="2"/>
      <c r="NKR7" s="2"/>
      <c r="NKS7" s="2"/>
      <c r="NKT7" s="2"/>
      <c r="NKU7" s="2"/>
      <c r="NKV7" s="2"/>
      <c r="NKW7" s="2"/>
      <c r="NKX7" s="2"/>
      <c r="NKY7" s="2"/>
      <c r="NKZ7" s="2"/>
      <c r="NLA7" s="2"/>
      <c r="NLB7" s="2"/>
      <c r="NLC7" s="2"/>
      <c r="NLD7" s="2"/>
      <c r="NLE7" s="2"/>
      <c r="NLF7" s="2"/>
      <c r="NLG7" s="2"/>
      <c r="NLH7" s="2"/>
      <c r="NLI7" s="2"/>
      <c r="NLJ7" s="2"/>
      <c r="NLK7" s="2"/>
      <c r="NLL7" s="2"/>
      <c r="NLM7" s="2"/>
      <c r="NLN7" s="2"/>
      <c r="NLO7" s="2"/>
      <c r="NLP7" s="2"/>
      <c r="NLQ7" s="2"/>
      <c r="NLR7" s="2"/>
      <c r="NLS7" s="2"/>
      <c r="NLT7" s="2"/>
      <c r="NLU7" s="2"/>
      <c r="NLV7" s="2"/>
      <c r="NLW7" s="2"/>
      <c r="NLX7" s="2"/>
      <c r="NLY7" s="2"/>
      <c r="NLZ7" s="2"/>
      <c r="NMA7" s="2"/>
      <c r="NMB7" s="2"/>
      <c r="NMC7" s="2"/>
      <c r="NMD7" s="2"/>
      <c r="NME7" s="2"/>
      <c r="NMF7" s="2"/>
      <c r="NMG7" s="2"/>
      <c r="NMH7" s="2"/>
      <c r="NMI7" s="2"/>
      <c r="NMJ7" s="2"/>
      <c r="NMK7" s="2"/>
      <c r="NML7" s="2"/>
      <c r="NMM7" s="2"/>
      <c r="NMN7" s="2"/>
      <c r="NMO7" s="2"/>
      <c r="NMP7" s="2"/>
      <c r="NMQ7" s="2"/>
      <c r="NMR7" s="2"/>
      <c r="NMS7" s="2"/>
      <c r="NMT7" s="2"/>
      <c r="NMU7" s="2"/>
      <c r="NMV7" s="2"/>
      <c r="NMW7" s="2"/>
      <c r="NMX7" s="2"/>
      <c r="NMY7" s="2"/>
      <c r="NMZ7" s="2"/>
      <c r="NNA7" s="2"/>
      <c r="NNB7" s="2"/>
      <c r="NNC7" s="2"/>
      <c r="NND7" s="2"/>
      <c r="NNE7" s="2"/>
      <c r="NNF7" s="2"/>
      <c r="NNG7" s="2"/>
      <c r="NNH7" s="2"/>
      <c r="NNI7" s="2"/>
      <c r="NNJ7" s="2"/>
      <c r="NNK7" s="2"/>
      <c r="NNL7" s="2"/>
      <c r="NNM7" s="2"/>
      <c r="NNN7" s="2"/>
      <c r="NNO7" s="2"/>
      <c r="NNP7" s="2"/>
      <c r="NNQ7" s="2"/>
      <c r="NNR7" s="2"/>
      <c r="NNS7" s="2"/>
      <c r="NNT7" s="2"/>
      <c r="NNU7" s="2"/>
      <c r="NNV7" s="2"/>
      <c r="NNW7" s="2"/>
      <c r="NNX7" s="2"/>
      <c r="NNY7" s="2"/>
      <c r="NNZ7" s="2"/>
      <c r="NOA7" s="2"/>
      <c r="NOB7" s="2"/>
      <c r="NOC7" s="2"/>
      <c r="NOD7" s="2"/>
      <c r="NOE7" s="2"/>
      <c r="NOF7" s="2"/>
      <c r="NOG7" s="2"/>
      <c r="NOH7" s="2"/>
      <c r="NOI7" s="2"/>
      <c r="NOJ7" s="2"/>
      <c r="NOK7" s="2"/>
      <c r="NOL7" s="2"/>
      <c r="NOM7" s="2"/>
      <c r="NON7" s="2"/>
      <c r="NOO7" s="2"/>
      <c r="NOP7" s="2"/>
      <c r="NOQ7" s="2"/>
      <c r="NOR7" s="2"/>
      <c r="NOS7" s="2"/>
      <c r="NOT7" s="2"/>
      <c r="NOU7" s="2"/>
      <c r="NOV7" s="2"/>
      <c r="NOW7" s="2"/>
      <c r="NOX7" s="2"/>
      <c r="NOY7" s="2"/>
      <c r="NOZ7" s="2"/>
      <c r="NPA7" s="2"/>
      <c r="NPB7" s="2"/>
      <c r="NPC7" s="2"/>
      <c r="NPD7" s="2"/>
      <c r="NPE7" s="2"/>
      <c r="NPF7" s="2"/>
      <c r="NPG7" s="2"/>
      <c r="NPH7" s="2"/>
      <c r="NPI7" s="2"/>
      <c r="NPJ7" s="2"/>
      <c r="NPK7" s="2"/>
      <c r="NPL7" s="2"/>
      <c r="NPM7" s="2"/>
      <c r="NPN7" s="2"/>
      <c r="NPO7" s="2"/>
      <c r="NPP7" s="2"/>
      <c r="NPQ7" s="2"/>
      <c r="NPR7" s="2"/>
      <c r="NPS7" s="2"/>
      <c r="NPT7" s="2"/>
      <c r="NPU7" s="2"/>
      <c r="NPV7" s="2"/>
      <c r="NPW7" s="2"/>
      <c r="NPX7" s="2"/>
      <c r="NPY7" s="2"/>
      <c r="NPZ7" s="2"/>
      <c r="NQA7" s="2"/>
      <c r="NQB7" s="2"/>
      <c r="NQC7" s="2"/>
      <c r="NQD7" s="2"/>
      <c r="NQE7" s="2"/>
      <c r="NQF7" s="2"/>
      <c r="NQG7" s="2"/>
      <c r="NQH7" s="2"/>
      <c r="NQI7" s="2"/>
      <c r="NQJ7" s="2"/>
      <c r="NQK7" s="2"/>
      <c r="NQL7" s="2"/>
      <c r="NQM7" s="2"/>
      <c r="NQN7" s="2"/>
      <c r="NQO7" s="2"/>
      <c r="NQP7" s="2"/>
      <c r="NQQ7" s="2"/>
      <c r="NQR7" s="2"/>
      <c r="NQS7" s="2"/>
      <c r="NQT7" s="2"/>
      <c r="NQU7" s="2"/>
      <c r="NQV7" s="2"/>
      <c r="NQW7" s="2"/>
      <c r="NQX7" s="2"/>
      <c r="NQY7" s="2"/>
      <c r="NQZ7" s="2"/>
      <c r="NRA7" s="2"/>
      <c r="NRB7" s="2"/>
      <c r="NRC7" s="2"/>
      <c r="NRD7" s="2"/>
      <c r="NRE7" s="2"/>
      <c r="NRF7" s="2"/>
      <c r="NRG7" s="2"/>
      <c r="NRH7" s="2"/>
      <c r="NRI7" s="2"/>
      <c r="NRJ7" s="2"/>
      <c r="NRK7" s="2"/>
      <c r="NRL7" s="2"/>
      <c r="NRM7" s="2"/>
      <c r="NRN7" s="2"/>
      <c r="NRO7" s="2"/>
      <c r="NRP7" s="2"/>
      <c r="NRQ7" s="2"/>
      <c r="NRR7" s="2"/>
      <c r="NRS7" s="2"/>
      <c r="NRT7" s="2"/>
      <c r="NRU7" s="2"/>
      <c r="NRV7" s="2"/>
      <c r="NRW7" s="2"/>
      <c r="NRX7" s="2"/>
      <c r="NRY7" s="2"/>
      <c r="NRZ7" s="2"/>
      <c r="NSA7" s="2"/>
      <c r="NSB7" s="2"/>
      <c r="NSC7" s="2"/>
      <c r="NSD7" s="2"/>
      <c r="NSE7" s="2"/>
      <c r="NSF7" s="2"/>
      <c r="NSG7" s="2"/>
      <c r="NSH7" s="2"/>
      <c r="NSI7" s="2"/>
      <c r="NSJ7" s="2"/>
      <c r="NSK7" s="2"/>
      <c r="NSL7" s="2"/>
      <c r="NSM7" s="2"/>
      <c r="NSN7" s="2"/>
      <c r="NSO7" s="2"/>
      <c r="NSP7" s="2"/>
      <c r="NSQ7" s="2"/>
      <c r="NSR7" s="2"/>
      <c r="NSS7" s="2"/>
      <c r="NST7" s="2"/>
      <c r="NSU7" s="2"/>
      <c r="NSV7" s="2"/>
      <c r="NSW7" s="2"/>
      <c r="NSX7" s="2"/>
      <c r="NSY7" s="2"/>
      <c r="NSZ7" s="2"/>
      <c r="NTA7" s="2"/>
      <c r="NTB7" s="2"/>
      <c r="NTC7" s="2"/>
      <c r="NTD7" s="2"/>
      <c r="NTE7" s="2"/>
      <c r="NTF7" s="2"/>
      <c r="NTG7" s="2"/>
      <c r="NTH7" s="2"/>
      <c r="NTI7" s="2"/>
      <c r="NTJ7" s="2"/>
      <c r="NTK7" s="2"/>
      <c r="NTL7" s="2"/>
      <c r="NTM7" s="2"/>
      <c r="NTN7" s="2"/>
      <c r="NTO7" s="2"/>
      <c r="NTP7" s="2"/>
      <c r="NTQ7" s="2"/>
      <c r="NTR7" s="2"/>
      <c r="NTS7" s="2"/>
      <c r="NTT7" s="2"/>
      <c r="NTU7" s="2"/>
      <c r="NTV7" s="2"/>
      <c r="NTW7" s="2"/>
      <c r="NTX7" s="2"/>
      <c r="NTY7" s="2"/>
      <c r="NTZ7" s="2"/>
      <c r="NUA7" s="2"/>
      <c r="NUB7" s="2"/>
      <c r="NUC7" s="2"/>
      <c r="NUD7" s="2"/>
      <c r="NUE7" s="2"/>
      <c r="NUF7" s="2"/>
      <c r="NUG7" s="2"/>
      <c r="NUH7" s="2"/>
      <c r="NUI7" s="2"/>
      <c r="NUJ7" s="2"/>
      <c r="NUK7" s="2"/>
      <c r="NUL7" s="2"/>
      <c r="NUM7" s="2"/>
      <c r="NUN7" s="2"/>
      <c r="NUO7" s="2"/>
      <c r="NUP7" s="2"/>
      <c r="NUQ7" s="2"/>
      <c r="NUR7" s="2"/>
      <c r="NUS7" s="2"/>
      <c r="NUT7" s="2"/>
      <c r="NUU7" s="2"/>
      <c r="NUV7" s="2"/>
      <c r="NUW7" s="2"/>
      <c r="NUX7" s="2"/>
      <c r="NUY7" s="2"/>
      <c r="NUZ7" s="2"/>
      <c r="NVA7" s="2"/>
      <c r="NVB7" s="2"/>
      <c r="NVC7" s="2"/>
      <c r="NVD7" s="2"/>
      <c r="NVE7" s="2"/>
      <c r="NVF7" s="2"/>
      <c r="NVG7" s="2"/>
      <c r="NVH7" s="2"/>
      <c r="NVI7" s="2"/>
      <c r="NVJ7" s="2"/>
      <c r="NVK7" s="2"/>
      <c r="NVL7" s="2"/>
      <c r="NVM7" s="2"/>
      <c r="NVN7" s="2"/>
      <c r="NVO7" s="2"/>
      <c r="NVP7" s="2"/>
      <c r="NVQ7" s="2"/>
      <c r="NVR7" s="2"/>
      <c r="NVS7" s="2"/>
      <c r="NVT7" s="2"/>
      <c r="NVU7" s="2"/>
      <c r="NVV7" s="2"/>
      <c r="NVW7" s="2"/>
      <c r="NVX7" s="2"/>
      <c r="NVY7" s="2"/>
      <c r="NVZ7" s="2"/>
      <c r="NWA7" s="2"/>
      <c r="NWB7" s="2"/>
      <c r="NWC7" s="2"/>
      <c r="NWD7" s="2"/>
      <c r="NWE7" s="2"/>
      <c r="NWF7" s="2"/>
      <c r="NWG7" s="2"/>
      <c r="NWH7" s="2"/>
      <c r="NWI7" s="2"/>
      <c r="NWJ7" s="2"/>
      <c r="NWK7" s="2"/>
      <c r="NWL7" s="2"/>
      <c r="NWM7" s="2"/>
      <c r="NWN7" s="2"/>
      <c r="NWO7" s="2"/>
      <c r="NWP7" s="2"/>
      <c r="NWQ7" s="2"/>
      <c r="NWR7" s="2"/>
      <c r="NWS7" s="2"/>
      <c r="NWT7" s="2"/>
      <c r="NWU7" s="2"/>
      <c r="NWV7" s="2"/>
      <c r="NWW7" s="2"/>
      <c r="NWX7" s="2"/>
      <c r="NWY7" s="2"/>
      <c r="NWZ7" s="2"/>
      <c r="NXA7" s="2"/>
      <c r="NXB7" s="2"/>
      <c r="NXC7" s="2"/>
      <c r="NXD7" s="2"/>
      <c r="NXE7" s="2"/>
      <c r="NXF7" s="2"/>
      <c r="NXG7" s="2"/>
      <c r="NXH7" s="2"/>
      <c r="NXI7" s="2"/>
      <c r="NXJ7" s="2"/>
      <c r="NXK7" s="2"/>
      <c r="NXL7" s="2"/>
      <c r="NXM7" s="2"/>
      <c r="NXN7" s="2"/>
      <c r="NXO7" s="2"/>
      <c r="NXP7" s="2"/>
      <c r="NXQ7" s="2"/>
      <c r="NXR7" s="2"/>
      <c r="NXS7" s="2"/>
      <c r="NXT7" s="2"/>
      <c r="NXU7" s="2"/>
      <c r="NXV7" s="2"/>
      <c r="NXW7" s="2"/>
      <c r="NXX7" s="2"/>
      <c r="NXY7" s="2"/>
      <c r="NXZ7" s="2"/>
      <c r="NYA7" s="2"/>
      <c r="NYB7" s="2"/>
      <c r="NYC7" s="2"/>
      <c r="NYD7" s="2"/>
      <c r="NYE7" s="2"/>
      <c r="NYF7" s="2"/>
      <c r="NYG7" s="2"/>
      <c r="NYH7" s="2"/>
      <c r="NYI7" s="2"/>
      <c r="NYJ7" s="2"/>
      <c r="NYK7" s="2"/>
      <c r="NYL7" s="2"/>
      <c r="NYM7" s="2"/>
      <c r="NYN7" s="2"/>
      <c r="NYO7" s="2"/>
      <c r="NYP7" s="2"/>
      <c r="NYQ7" s="2"/>
      <c r="NYR7" s="2"/>
      <c r="NYS7" s="2"/>
      <c r="NYT7" s="2"/>
      <c r="NYU7" s="2"/>
      <c r="NYV7" s="2"/>
      <c r="NYW7" s="2"/>
      <c r="NYX7" s="2"/>
      <c r="NYY7" s="2"/>
      <c r="NYZ7" s="2"/>
      <c r="NZA7" s="2"/>
      <c r="NZB7" s="2"/>
      <c r="NZC7" s="2"/>
      <c r="NZD7" s="2"/>
      <c r="NZE7" s="2"/>
      <c r="NZF7" s="2"/>
      <c r="NZG7" s="2"/>
      <c r="NZH7" s="2"/>
      <c r="NZI7" s="2"/>
      <c r="NZJ7" s="2"/>
      <c r="NZK7" s="2"/>
      <c r="NZL7" s="2"/>
      <c r="NZM7" s="2"/>
      <c r="NZN7" s="2"/>
      <c r="NZO7" s="2"/>
      <c r="NZP7" s="2"/>
      <c r="NZQ7" s="2"/>
      <c r="NZR7" s="2"/>
      <c r="NZS7" s="2"/>
      <c r="NZT7" s="2"/>
      <c r="NZU7" s="2"/>
      <c r="NZV7" s="2"/>
      <c r="NZW7" s="2"/>
      <c r="NZX7" s="2"/>
      <c r="NZY7" s="2"/>
      <c r="NZZ7" s="2"/>
      <c r="OAA7" s="2"/>
      <c r="OAB7" s="2"/>
      <c r="OAC7" s="2"/>
      <c r="OAD7" s="2"/>
      <c r="OAE7" s="2"/>
      <c r="OAF7" s="2"/>
      <c r="OAG7" s="2"/>
      <c r="OAH7" s="2"/>
      <c r="OAI7" s="2"/>
      <c r="OAJ7" s="2"/>
      <c r="OAK7" s="2"/>
      <c r="OAL7" s="2"/>
      <c r="OAM7" s="2"/>
      <c r="OAN7" s="2"/>
      <c r="OAO7" s="2"/>
      <c r="OAP7" s="2"/>
      <c r="OAQ7" s="2"/>
      <c r="OAR7" s="2"/>
      <c r="OAS7" s="2"/>
      <c r="OAT7" s="2"/>
      <c r="OAU7" s="2"/>
      <c r="OAV7" s="2"/>
      <c r="OAW7" s="2"/>
      <c r="OAX7" s="2"/>
      <c r="OAY7" s="2"/>
      <c r="OAZ7" s="2"/>
      <c r="OBA7" s="2"/>
      <c r="OBB7" s="2"/>
      <c r="OBC7" s="2"/>
      <c r="OBD7" s="2"/>
      <c r="OBE7" s="2"/>
      <c r="OBF7" s="2"/>
      <c r="OBG7" s="2"/>
      <c r="OBH7" s="2"/>
      <c r="OBI7" s="2"/>
      <c r="OBJ7" s="2"/>
      <c r="OBK7" s="2"/>
      <c r="OBL7" s="2"/>
      <c r="OBM7" s="2"/>
      <c r="OBN7" s="2"/>
      <c r="OBO7" s="2"/>
      <c r="OBP7" s="2"/>
      <c r="OBQ7" s="2"/>
      <c r="OBR7" s="2"/>
      <c r="OBS7" s="2"/>
      <c r="OBT7" s="2"/>
      <c r="OBU7" s="2"/>
      <c r="OBV7" s="2"/>
      <c r="OBW7" s="2"/>
      <c r="OBX7" s="2"/>
      <c r="OBY7" s="2"/>
      <c r="OBZ7" s="2"/>
      <c r="OCA7" s="2"/>
      <c r="OCB7" s="2"/>
      <c r="OCC7" s="2"/>
      <c r="OCD7" s="2"/>
      <c r="OCE7" s="2"/>
      <c r="OCF7" s="2"/>
      <c r="OCG7" s="2"/>
      <c r="OCH7" s="2"/>
      <c r="OCI7" s="2"/>
      <c r="OCJ7" s="2"/>
      <c r="OCK7" s="2"/>
      <c r="OCL7" s="2"/>
      <c r="OCM7" s="2"/>
      <c r="OCN7" s="2"/>
      <c r="OCO7" s="2"/>
      <c r="OCP7" s="2"/>
      <c r="OCQ7" s="2"/>
      <c r="OCR7" s="2"/>
      <c r="OCS7" s="2"/>
      <c r="OCT7" s="2"/>
      <c r="OCU7" s="2"/>
      <c r="OCV7" s="2"/>
      <c r="OCW7" s="2"/>
      <c r="OCX7" s="2"/>
      <c r="OCY7" s="2"/>
      <c r="OCZ7" s="2"/>
      <c r="ODA7" s="2"/>
      <c r="ODB7" s="2"/>
      <c r="ODC7" s="2"/>
      <c r="ODD7" s="2"/>
      <c r="ODE7" s="2"/>
      <c r="ODF7" s="2"/>
      <c r="ODG7" s="2"/>
      <c r="ODH7" s="2"/>
      <c r="ODI7" s="2"/>
      <c r="ODJ7" s="2"/>
      <c r="ODK7" s="2"/>
      <c r="ODL7" s="2"/>
      <c r="ODM7" s="2"/>
      <c r="ODN7" s="2"/>
      <c r="ODO7" s="2"/>
      <c r="ODP7" s="2"/>
      <c r="ODQ7" s="2"/>
      <c r="ODR7" s="2"/>
      <c r="ODS7" s="2"/>
      <c r="ODT7" s="2"/>
      <c r="ODU7" s="2"/>
      <c r="ODV7" s="2"/>
      <c r="ODW7" s="2"/>
      <c r="ODX7" s="2"/>
      <c r="ODY7" s="2"/>
      <c r="ODZ7" s="2"/>
      <c r="OEA7" s="2"/>
      <c r="OEB7" s="2"/>
      <c r="OEC7" s="2"/>
      <c r="OED7" s="2"/>
      <c r="OEE7" s="2"/>
      <c r="OEF7" s="2"/>
      <c r="OEG7" s="2"/>
      <c r="OEH7" s="2"/>
      <c r="OEI7" s="2"/>
      <c r="OEJ7" s="2"/>
      <c r="OEK7" s="2"/>
      <c r="OEL7" s="2"/>
      <c r="OEM7" s="2"/>
      <c r="OEN7" s="2"/>
      <c r="OEO7" s="2"/>
      <c r="OEP7" s="2"/>
      <c r="OEQ7" s="2"/>
      <c r="OER7" s="2"/>
      <c r="OES7" s="2"/>
      <c r="OET7" s="2"/>
      <c r="OEU7" s="2"/>
      <c r="OEV7" s="2"/>
      <c r="OEW7" s="2"/>
      <c r="OEX7" s="2"/>
      <c r="OEY7" s="2"/>
      <c r="OEZ7" s="2"/>
      <c r="OFA7" s="2"/>
      <c r="OFB7" s="2"/>
      <c r="OFC7" s="2"/>
      <c r="OFD7" s="2"/>
      <c r="OFE7" s="2"/>
      <c r="OFF7" s="2"/>
      <c r="OFG7" s="2"/>
      <c r="OFH7" s="2"/>
      <c r="OFI7" s="2"/>
      <c r="OFJ7" s="2"/>
      <c r="OFK7" s="2"/>
      <c r="OFL7" s="2"/>
      <c r="OFM7" s="2"/>
      <c r="OFN7" s="2"/>
      <c r="OFO7" s="2"/>
      <c r="OFP7" s="2"/>
      <c r="OFQ7" s="2"/>
      <c r="OFR7" s="2"/>
      <c r="OFS7" s="2"/>
      <c r="OFT7" s="2"/>
      <c r="OFU7" s="2"/>
      <c r="OFV7" s="2"/>
      <c r="OFW7" s="2"/>
      <c r="OFX7" s="2"/>
      <c r="OFY7" s="2"/>
      <c r="OFZ7" s="2"/>
      <c r="OGA7" s="2"/>
      <c r="OGB7" s="2"/>
      <c r="OGC7" s="2"/>
      <c r="OGD7" s="2"/>
      <c r="OGE7" s="2"/>
      <c r="OGF7" s="2"/>
      <c r="OGG7" s="2"/>
      <c r="OGH7" s="2"/>
      <c r="OGI7" s="2"/>
      <c r="OGJ7" s="2"/>
      <c r="OGK7" s="2"/>
      <c r="OGL7" s="2"/>
      <c r="OGM7" s="2"/>
      <c r="OGN7" s="2"/>
      <c r="OGO7" s="2"/>
      <c r="OGP7" s="2"/>
      <c r="OGQ7" s="2"/>
      <c r="OGR7" s="2"/>
      <c r="OGS7" s="2"/>
      <c r="OGT7" s="2"/>
      <c r="OGU7" s="2"/>
      <c r="OGV7" s="2"/>
      <c r="OGW7" s="2"/>
      <c r="OGX7" s="2"/>
      <c r="OGY7" s="2"/>
      <c r="OGZ7" s="2"/>
      <c r="OHA7" s="2"/>
      <c r="OHB7" s="2"/>
      <c r="OHC7" s="2"/>
      <c r="OHD7" s="2"/>
      <c r="OHE7" s="2"/>
      <c r="OHF7" s="2"/>
      <c r="OHG7" s="2"/>
      <c r="OHH7" s="2"/>
      <c r="OHI7" s="2"/>
      <c r="OHJ7" s="2"/>
      <c r="OHK7" s="2"/>
      <c r="OHL7" s="2"/>
      <c r="OHM7" s="2"/>
      <c r="OHN7" s="2"/>
      <c r="OHO7" s="2"/>
      <c r="OHP7" s="2"/>
      <c r="OHQ7" s="2"/>
      <c r="OHR7" s="2"/>
      <c r="OHS7" s="2"/>
      <c r="OHT7" s="2"/>
      <c r="OHU7" s="2"/>
      <c r="OHV7" s="2"/>
      <c r="OHW7" s="2"/>
      <c r="OHX7" s="2"/>
      <c r="OHY7" s="2"/>
      <c r="OHZ7" s="2"/>
      <c r="OIA7" s="2"/>
      <c r="OIB7" s="2"/>
      <c r="OIC7" s="2"/>
      <c r="OID7" s="2"/>
      <c r="OIE7" s="2"/>
      <c r="OIF7" s="2"/>
      <c r="OIG7" s="2"/>
      <c r="OIH7" s="2"/>
      <c r="OII7" s="2"/>
      <c r="OIJ7" s="2"/>
      <c r="OIK7" s="2"/>
      <c r="OIL7" s="2"/>
      <c r="OIM7" s="2"/>
      <c r="OIN7" s="2"/>
      <c r="OIO7" s="2"/>
      <c r="OIP7" s="2"/>
      <c r="OIQ7" s="2"/>
      <c r="OIR7" s="2"/>
      <c r="OIS7" s="2"/>
      <c r="OIT7" s="2"/>
      <c r="OIU7" s="2"/>
      <c r="OIV7" s="2"/>
      <c r="OIW7" s="2"/>
      <c r="OIX7" s="2"/>
      <c r="OIY7" s="2"/>
      <c r="OIZ7" s="2"/>
      <c r="OJA7" s="2"/>
      <c r="OJB7" s="2"/>
      <c r="OJC7" s="2"/>
      <c r="OJD7" s="2"/>
      <c r="OJE7" s="2"/>
      <c r="OJF7" s="2"/>
      <c r="OJG7" s="2"/>
      <c r="OJH7" s="2"/>
      <c r="OJI7" s="2"/>
      <c r="OJJ7" s="2"/>
      <c r="OJK7" s="2"/>
      <c r="OJL7" s="2"/>
      <c r="OJM7" s="2"/>
      <c r="OJN7" s="2"/>
      <c r="OJO7" s="2"/>
      <c r="OJP7" s="2"/>
      <c r="OJQ7" s="2"/>
      <c r="OJR7" s="2"/>
      <c r="OJS7" s="2"/>
      <c r="OJT7" s="2"/>
      <c r="OJU7" s="2"/>
      <c r="OJV7" s="2"/>
      <c r="OJW7" s="2"/>
      <c r="OJX7" s="2"/>
      <c r="OJY7" s="2"/>
      <c r="OJZ7" s="2"/>
      <c r="OKA7" s="2"/>
      <c r="OKB7" s="2"/>
      <c r="OKC7" s="2"/>
      <c r="OKD7" s="2"/>
      <c r="OKE7" s="2"/>
      <c r="OKF7" s="2"/>
      <c r="OKG7" s="2"/>
      <c r="OKH7" s="2"/>
      <c r="OKI7" s="2"/>
      <c r="OKJ7" s="2"/>
      <c r="OKK7" s="2"/>
      <c r="OKL7" s="2"/>
      <c r="OKM7" s="2"/>
      <c r="OKN7" s="2"/>
      <c r="OKO7" s="2"/>
      <c r="OKP7" s="2"/>
      <c r="OKQ7" s="2"/>
      <c r="OKR7" s="2"/>
      <c r="OKS7" s="2"/>
      <c r="OKT7" s="2"/>
      <c r="OKU7" s="2"/>
      <c r="OKV7" s="2"/>
      <c r="OKW7" s="2"/>
      <c r="OKX7" s="2"/>
      <c r="OKY7" s="2"/>
      <c r="OKZ7" s="2"/>
      <c r="OLA7" s="2"/>
      <c r="OLB7" s="2"/>
      <c r="OLC7" s="2"/>
      <c r="OLD7" s="2"/>
      <c r="OLE7" s="2"/>
      <c r="OLF7" s="2"/>
      <c r="OLG7" s="2"/>
      <c r="OLH7" s="2"/>
      <c r="OLI7" s="2"/>
      <c r="OLJ7" s="2"/>
      <c r="OLK7" s="2"/>
      <c r="OLL7" s="2"/>
      <c r="OLM7" s="2"/>
      <c r="OLN7" s="2"/>
      <c r="OLO7" s="2"/>
      <c r="OLP7" s="2"/>
      <c r="OLQ7" s="2"/>
      <c r="OLR7" s="2"/>
      <c r="OLS7" s="2"/>
      <c r="OLT7" s="2"/>
      <c r="OLU7" s="2"/>
      <c r="OLV7" s="2"/>
      <c r="OLW7" s="2"/>
      <c r="OLX7" s="2"/>
      <c r="OLY7" s="2"/>
      <c r="OLZ7" s="2"/>
      <c r="OMA7" s="2"/>
      <c r="OMB7" s="2"/>
      <c r="OMC7" s="2"/>
      <c r="OMD7" s="2"/>
      <c r="OME7" s="2"/>
      <c r="OMF7" s="2"/>
      <c r="OMG7" s="2"/>
      <c r="OMH7" s="2"/>
      <c r="OMI7" s="2"/>
      <c r="OMJ7" s="2"/>
      <c r="OMK7" s="2"/>
      <c r="OML7" s="2"/>
      <c r="OMM7" s="2"/>
      <c r="OMN7" s="2"/>
      <c r="OMO7" s="2"/>
      <c r="OMP7" s="2"/>
      <c r="OMQ7" s="2"/>
      <c r="OMR7" s="2"/>
      <c r="OMS7" s="2"/>
      <c r="OMT7" s="2"/>
      <c r="OMU7" s="2"/>
      <c r="OMV7" s="2"/>
      <c r="OMW7" s="2"/>
      <c r="OMX7" s="2"/>
      <c r="OMY7" s="2"/>
      <c r="OMZ7" s="2"/>
      <c r="ONA7" s="2"/>
      <c r="ONB7" s="2"/>
      <c r="ONC7" s="2"/>
      <c r="OND7" s="2"/>
      <c r="ONE7" s="2"/>
      <c r="ONF7" s="2"/>
      <c r="ONG7" s="2"/>
      <c r="ONH7" s="2"/>
      <c r="ONI7" s="2"/>
      <c r="ONJ7" s="2"/>
      <c r="ONK7" s="2"/>
      <c r="ONL7" s="2"/>
      <c r="ONM7" s="2"/>
      <c r="ONN7" s="2"/>
      <c r="ONO7" s="2"/>
      <c r="ONP7" s="2"/>
      <c r="ONQ7" s="2"/>
      <c r="ONR7" s="2"/>
      <c r="ONS7" s="2"/>
      <c r="ONT7" s="2"/>
      <c r="ONU7" s="2"/>
      <c r="ONV7" s="2"/>
      <c r="ONW7" s="2"/>
      <c r="ONX7" s="2"/>
      <c r="ONY7" s="2"/>
      <c r="ONZ7" s="2"/>
      <c r="OOA7" s="2"/>
      <c r="OOB7" s="2"/>
      <c r="OOC7" s="2"/>
      <c r="OOD7" s="2"/>
      <c r="OOE7" s="2"/>
      <c r="OOF7" s="2"/>
      <c r="OOG7" s="2"/>
      <c r="OOH7" s="2"/>
      <c r="OOI7" s="2"/>
      <c r="OOJ7" s="2"/>
      <c r="OOK7" s="2"/>
      <c r="OOL7" s="2"/>
      <c r="OOM7" s="2"/>
      <c r="OON7" s="2"/>
      <c r="OOO7" s="2"/>
      <c r="OOP7" s="2"/>
      <c r="OOQ7" s="2"/>
      <c r="OOR7" s="2"/>
      <c r="OOS7" s="2"/>
      <c r="OOT7" s="2"/>
      <c r="OOU7" s="2"/>
      <c r="OOV7" s="2"/>
      <c r="OOW7" s="2"/>
      <c r="OOX7" s="2"/>
      <c r="OOY7" s="2"/>
      <c r="OOZ7" s="2"/>
      <c r="OPA7" s="2"/>
      <c r="OPB7" s="2"/>
      <c r="OPC7" s="2"/>
      <c r="OPD7" s="2"/>
      <c r="OPE7" s="2"/>
      <c r="OPF7" s="2"/>
      <c r="OPG7" s="2"/>
      <c r="OPH7" s="2"/>
      <c r="OPI7" s="2"/>
      <c r="OPJ7" s="2"/>
      <c r="OPK7" s="2"/>
      <c r="OPL7" s="2"/>
      <c r="OPM7" s="2"/>
      <c r="OPN7" s="2"/>
      <c r="OPO7" s="2"/>
      <c r="OPP7" s="2"/>
      <c r="OPQ7" s="2"/>
      <c r="OPR7" s="2"/>
      <c r="OPS7" s="2"/>
      <c r="OPT7" s="2"/>
      <c r="OPU7" s="2"/>
      <c r="OPV7" s="2"/>
      <c r="OPW7" s="2"/>
      <c r="OPX7" s="2"/>
      <c r="OPY7" s="2"/>
      <c r="OPZ7" s="2"/>
      <c r="OQA7" s="2"/>
      <c r="OQB7" s="2"/>
      <c r="OQC7" s="2"/>
      <c r="OQD7" s="2"/>
      <c r="OQE7" s="2"/>
      <c r="OQF7" s="2"/>
      <c r="OQG7" s="2"/>
      <c r="OQH7" s="2"/>
      <c r="OQI7" s="2"/>
      <c r="OQJ7" s="2"/>
      <c r="OQK7" s="2"/>
      <c r="OQL7" s="2"/>
      <c r="OQM7" s="2"/>
      <c r="OQN7" s="2"/>
      <c r="OQO7" s="2"/>
      <c r="OQP7" s="2"/>
      <c r="OQQ7" s="2"/>
      <c r="OQR7" s="2"/>
      <c r="OQS7" s="2"/>
      <c r="OQT7" s="2"/>
      <c r="OQU7" s="2"/>
      <c r="OQV7" s="2"/>
      <c r="OQW7" s="2"/>
      <c r="OQX7" s="2"/>
      <c r="OQY7" s="2"/>
      <c r="OQZ7" s="2"/>
      <c r="ORA7" s="2"/>
      <c r="ORB7" s="2"/>
      <c r="ORC7" s="2"/>
      <c r="ORD7" s="2"/>
      <c r="ORE7" s="2"/>
      <c r="ORF7" s="2"/>
      <c r="ORG7" s="2"/>
      <c r="ORH7" s="2"/>
      <c r="ORI7" s="2"/>
      <c r="ORJ7" s="2"/>
      <c r="ORK7" s="2"/>
      <c r="ORL7" s="2"/>
      <c r="ORM7" s="2"/>
      <c r="ORN7" s="2"/>
      <c r="ORO7" s="2"/>
      <c r="ORP7" s="2"/>
      <c r="ORQ7" s="2"/>
      <c r="ORR7" s="2"/>
      <c r="ORS7" s="2"/>
      <c r="ORT7" s="2"/>
      <c r="ORU7" s="2"/>
      <c r="ORV7" s="2"/>
      <c r="ORW7" s="2"/>
      <c r="ORX7" s="2"/>
      <c r="ORY7" s="2"/>
      <c r="ORZ7" s="2"/>
      <c r="OSA7" s="2"/>
      <c r="OSB7" s="2"/>
      <c r="OSC7" s="2"/>
      <c r="OSD7" s="2"/>
      <c r="OSE7" s="2"/>
      <c r="OSF7" s="2"/>
      <c r="OSG7" s="2"/>
      <c r="OSH7" s="2"/>
      <c r="OSI7" s="2"/>
      <c r="OSJ7" s="2"/>
      <c r="OSK7" s="2"/>
      <c r="OSL7" s="2"/>
      <c r="OSM7" s="2"/>
      <c r="OSN7" s="2"/>
      <c r="OSO7" s="2"/>
      <c r="OSP7" s="2"/>
      <c r="OSQ7" s="2"/>
      <c r="OSR7" s="2"/>
      <c r="OSS7" s="2"/>
      <c r="OST7" s="2"/>
      <c r="OSU7" s="2"/>
      <c r="OSV7" s="2"/>
      <c r="OSW7" s="2"/>
      <c r="OSX7" s="2"/>
      <c r="OSY7" s="2"/>
      <c r="OSZ7" s="2"/>
      <c r="OTA7" s="2"/>
      <c r="OTB7" s="2"/>
      <c r="OTC7" s="2"/>
      <c r="OTD7" s="2"/>
      <c r="OTE7" s="2"/>
      <c r="OTF7" s="2"/>
      <c r="OTG7" s="2"/>
      <c r="OTH7" s="2"/>
      <c r="OTI7" s="2"/>
      <c r="OTJ7" s="2"/>
      <c r="OTK7" s="2"/>
      <c r="OTL7" s="2"/>
      <c r="OTM7" s="2"/>
      <c r="OTN7" s="2"/>
      <c r="OTO7" s="2"/>
      <c r="OTP7" s="2"/>
      <c r="OTQ7" s="2"/>
      <c r="OTR7" s="2"/>
      <c r="OTS7" s="2"/>
      <c r="OTT7" s="2"/>
      <c r="OTU7" s="2"/>
      <c r="OTV7" s="2"/>
      <c r="OTW7" s="2"/>
      <c r="OTX7" s="2"/>
      <c r="OTY7" s="2"/>
      <c r="OTZ7" s="2"/>
      <c r="OUA7" s="2"/>
      <c r="OUB7" s="2"/>
      <c r="OUC7" s="2"/>
      <c r="OUD7" s="2"/>
      <c r="OUE7" s="2"/>
      <c r="OUF7" s="2"/>
      <c r="OUG7" s="2"/>
      <c r="OUH7" s="2"/>
      <c r="OUI7" s="2"/>
      <c r="OUJ7" s="2"/>
      <c r="OUK7" s="2"/>
      <c r="OUL7" s="2"/>
      <c r="OUM7" s="2"/>
      <c r="OUN7" s="2"/>
      <c r="OUO7" s="2"/>
      <c r="OUP7" s="2"/>
      <c r="OUQ7" s="2"/>
      <c r="OUR7" s="2"/>
      <c r="OUS7" s="2"/>
      <c r="OUT7" s="2"/>
      <c r="OUU7" s="2"/>
      <c r="OUV7" s="2"/>
      <c r="OUW7" s="2"/>
      <c r="OUX7" s="2"/>
      <c r="OUY7" s="2"/>
      <c r="OUZ7" s="2"/>
      <c r="OVA7" s="2"/>
      <c r="OVB7" s="2"/>
      <c r="OVC7" s="2"/>
      <c r="OVD7" s="2"/>
      <c r="OVE7" s="2"/>
      <c r="OVF7" s="2"/>
      <c r="OVG7" s="2"/>
      <c r="OVH7" s="2"/>
      <c r="OVI7" s="2"/>
      <c r="OVJ7" s="2"/>
      <c r="OVK7" s="2"/>
      <c r="OVL7" s="2"/>
      <c r="OVM7" s="2"/>
      <c r="OVN7" s="2"/>
      <c r="OVO7" s="2"/>
      <c r="OVP7" s="2"/>
      <c r="OVQ7" s="2"/>
      <c r="OVR7" s="2"/>
      <c r="OVS7" s="2"/>
      <c r="OVT7" s="2"/>
      <c r="OVU7" s="2"/>
      <c r="OVV7" s="2"/>
      <c r="OVW7" s="2"/>
      <c r="OVX7" s="2"/>
      <c r="OVY7" s="2"/>
      <c r="OVZ7" s="2"/>
      <c r="OWA7" s="2"/>
      <c r="OWB7" s="2"/>
      <c r="OWC7" s="2"/>
      <c r="OWD7" s="2"/>
      <c r="OWE7" s="2"/>
      <c r="OWF7" s="2"/>
      <c r="OWG7" s="2"/>
      <c r="OWH7" s="2"/>
      <c r="OWI7" s="2"/>
      <c r="OWJ7" s="2"/>
      <c r="OWK7" s="2"/>
      <c r="OWL7" s="2"/>
      <c r="OWM7" s="2"/>
      <c r="OWN7" s="2"/>
      <c r="OWO7" s="2"/>
      <c r="OWP7" s="2"/>
      <c r="OWQ7" s="2"/>
      <c r="OWR7" s="2"/>
      <c r="OWS7" s="2"/>
      <c r="OWT7" s="2"/>
      <c r="OWU7" s="2"/>
      <c r="OWV7" s="2"/>
      <c r="OWW7" s="2"/>
      <c r="OWX7" s="2"/>
      <c r="OWY7" s="2"/>
      <c r="OWZ7" s="2"/>
      <c r="OXA7" s="2"/>
      <c r="OXB7" s="2"/>
      <c r="OXC7" s="2"/>
      <c r="OXD7" s="2"/>
      <c r="OXE7" s="2"/>
      <c r="OXF7" s="2"/>
      <c r="OXG7" s="2"/>
      <c r="OXH7" s="2"/>
      <c r="OXI7" s="2"/>
      <c r="OXJ7" s="2"/>
      <c r="OXK7" s="2"/>
      <c r="OXL7" s="2"/>
      <c r="OXM7" s="2"/>
      <c r="OXN7" s="2"/>
      <c r="OXO7" s="2"/>
      <c r="OXP7" s="2"/>
      <c r="OXQ7" s="2"/>
      <c r="OXR7" s="2"/>
      <c r="OXS7" s="2"/>
      <c r="OXT7" s="2"/>
      <c r="OXU7" s="2"/>
      <c r="OXV7" s="2"/>
      <c r="OXW7" s="2"/>
      <c r="OXX7" s="2"/>
      <c r="OXY7" s="2"/>
      <c r="OXZ7" s="2"/>
      <c r="OYA7" s="2"/>
      <c r="OYB7" s="2"/>
      <c r="OYC7" s="2"/>
      <c r="OYD7" s="2"/>
      <c r="OYE7" s="2"/>
      <c r="OYF7" s="2"/>
      <c r="OYG7" s="2"/>
      <c r="OYH7" s="2"/>
      <c r="OYI7" s="2"/>
      <c r="OYJ7" s="2"/>
      <c r="OYK7" s="2"/>
      <c r="OYL7" s="2"/>
      <c r="OYM7" s="2"/>
      <c r="OYN7" s="2"/>
      <c r="OYO7" s="2"/>
      <c r="OYP7" s="2"/>
      <c r="OYQ7" s="2"/>
      <c r="OYR7" s="2"/>
      <c r="OYS7" s="2"/>
      <c r="OYT7" s="2"/>
      <c r="OYU7" s="2"/>
      <c r="OYV7" s="2"/>
      <c r="OYW7" s="2"/>
      <c r="OYX7" s="2"/>
      <c r="OYY7" s="2"/>
      <c r="OYZ7" s="2"/>
      <c r="OZA7" s="2"/>
      <c r="OZB7" s="2"/>
      <c r="OZC7" s="2"/>
      <c r="OZD7" s="2"/>
      <c r="OZE7" s="2"/>
      <c r="OZF7" s="2"/>
      <c r="OZG7" s="2"/>
      <c r="OZH7" s="2"/>
      <c r="OZI7" s="2"/>
      <c r="OZJ7" s="2"/>
      <c r="OZK7" s="2"/>
      <c r="OZL7" s="2"/>
      <c r="OZM7" s="2"/>
      <c r="OZN7" s="2"/>
      <c r="OZO7" s="2"/>
      <c r="OZP7" s="2"/>
      <c r="OZQ7" s="2"/>
      <c r="OZR7" s="2"/>
      <c r="OZS7" s="2"/>
      <c r="OZT7" s="2"/>
      <c r="OZU7" s="2"/>
      <c r="OZV7" s="2"/>
      <c r="OZW7" s="2"/>
      <c r="OZX7" s="2"/>
      <c r="OZY7" s="2"/>
      <c r="OZZ7" s="2"/>
      <c r="PAA7" s="2"/>
      <c r="PAB7" s="2"/>
      <c r="PAC7" s="2"/>
      <c r="PAD7" s="2"/>
      <c r="PAE7" s="2"/>
      <c r="PAF7" s="2"/>
      <c r="PAG7" s="2"/>
      <c r="PAH7" s="2"/>
      <c r="PAI7" s="2"/>
      <c r="PAJ7" s="2"/>
      <c r="PAK7" s="2"/>
      <c r="PAL7" s="2"/>
      <c r="PAM7" s="2"/>
      <c r="PAN7" s="2"/>
      <c r="PAO7" s="2"/>
      <c r="PAP7" s="2"/>
      <c r="PAQ7" s="2"/>
      <c r="PAR7" s="2"/>
      <c r="PAS7" s="2"/>
      <c r="PAT7" s="2"/>
      <c r="PAU7" s="2"/>
      <c r="PAV7" s="2"/>
      <c r="PAW7" s="2"/>
      <c r="PAX7" s="2"/>
      <c r="PAY7" s="2"/>
      <c r="PAZ7" s="2"/>
      <c r="PBA7" s="2"/>
      <c r="PBB7" s="2"/>
      <c r="PBC7" s="2"/>
      <c r="PBD7" s="2"/>
      <c r="PBE7" s="2"/>
      <c r="PBF7" s="2"/>
      <c r="PBG7" s="2"/>
      <c r="PBH7" s="2"/>
      <c r="PBI7" s="2"/>
      <c r="PBJ7" s="2"/>
      <c r="PBK7" s="2"/>
      <c r="PBL7" s="2"/>
      <c r="PBM7" s="2"/>
      <c r="PBN7" s="2"/>
      <c r="PBO7" s="2"/>
      <c r="PBP7" s="2"/>
      <c r="PBQ7" s="2"/>
      <c r="PBR7" s="2"/>
      <c r="PBS7" s="2"/>
      <c r="PBT7" s="2"/>
      <c r="PBU7" s="2"/>
      <c r="PBV7" s="2"/>
      <c r="PBW7" s="2"/>
      <c r="PBX7" s="2"/>
      <c r="PBY7" s="2"/>
      <c r="PBZ7" s="2"/>
      <c r="PCA7" s="2"/>
      <c r="PCB7" s="2"/>
      <c r="PCC7" s="2"/>
      <c r="PCD7" s="2"/>
      <c r="PCE7" s="2"/>
      <c r="PCF7" s="2"/>
      <c r="PCG7" s="2"/>
      <c r="PCH7" s="2"/>
      <c r="PCI7" s="2"/>
      <c r="PCJ7" s="2"/>
      <c r="PCK7" s="2"/>
      <c r="PCL7" s="2"/>
      <c r="PCM7" s="2"/>
      <c r="PCN7" s="2"/>
      <c r="PCO7" s="2"/>
      <c r="PCP7" s="2"/>
      <c r="PCQ7" s="2"/>
      <c r="PCR7" s="2"/>
      <c r="PCS7" s="2"/>
      <c r="PCT7" s="2"/>
      <c r="PCU7" s="2"/>
      <c r="PCV7" s="2"/>
      <c r="PCW7" s="2"/>
      <c r="PCX7" s="2"/>
      <c r="PCY7" s="2"/>
      <c r="PCZ7" s="2"/>
      <c r="PDA7" s="2"/>
      <c r="PDB7" s="2"/>
      <c r="PDC7" s="2"/>
      <c r="PDD7" s="2"/>
      <c r="PDE7" s="2"/>
      <c r="PDF7" s="2"/>
      <c r="PDG7" s="2"/>
      <c r="PDH7" s="2"/>
      <c r="PDI7" s="2"/>
      <c r="PDJ7" s="2"/>
      <c r="PDK7" s="2"/>
      <c r="PDL7" s="2"/>
      <c r="PDM7" s="2"/>
      <c r="PDN7" s="2"/>
      <c r="PDO7" s="2"/>
      <c r="PDP7" s="2"/>
      <c r="PDQ7" s="2"/>
      <c r="PDR7" s="2"/>
      <c r="PDS7" s="2"/>
      <c r="PDT7" s="2"/>
      <c r="PDU7" s="2"/>
      <c r="PDV7" s="2"/>
      <c r="PDW7" s="2"/>
      <c r="PDX7" s="2"/>
      <c r="PDY7" s="2"/>
      <c r="PDZ7" s="2"/>
      <c r="PEA7" s="2"/>
      <c r="PEB7" s="2"/>
      <c r="PEC7" s="2"/>
      <c r="PED7" s="2"/>
      <c r="PEE7" s="2"/>
      <c r="PEF7" s="2"/>
      <c r="PEG7" s="2"/>
      <c r="PEH7" s="2"/>
      <c r="PEI7" s="2"/>
      <c r="PEJ7" s="2"/>
      <c r="PEK7" s="2"/>
      <c r="PEL7" s="2"/>
      <c r="PEM7" s="2"/>
      <c r="PEN7" s="2"/>
      <c r="PEO7" s="2"/>
      <c r="PEP7" s="2"/>
      <c r="PEQ7" s="2"/>
      <c r="PER7" s="2"/>
      <c r="PES7" s="2"/>
      <c r="PET7" s="2"/>
      <c r="PEU7" s="2"/>
      <c r="PEV7" s="2"/>
      <c r="PEW7" s="2"/>
      <c r="PEX7" s="2"/>
      <c r="PEY7" s="2"/>
      <c r="PEZ7" s="2"/>
      <c r="PFA7" s="2"/>
      <c r="PFB7" s="2"/>
      <c r="PFC7" s="2"/>
      <c r="PFD7" s="2"/>
      <c r="PFE7" s="2"/>
      <c r="PFF7" s="2"/>
      <c r="PFG7" s="2"/>
      <c r="PFH7" s="2"/>
      <c r="PFI7" s="2"/>
      <c r="PFJ7" s="2"/>
      <c r="PFK7" s="2"/>
      <c r="PFL7" s="2"/>
      <c r="PFM7" s="2"/>
      <c r="PFN7" s="2"/>
      <c r="PFO7" s="2"/>
      <c r="PFP7" s="2"/>
      <c r="PFQ7" s="2"/>
      <c r="PFR7" s="2"/>
      <c r="PFS7" s="2"/>
      <c r="PFT7" s="2"/>
      <c r="PFU7" s="2"/>
      <c r="PFV7" s="2"/>
      <c r="PFW7" s="2"/>
      <c r="PFX7" s="2"/>
      <c r="PFY7" s="2"/>
      <c r="PFZ7" s="2"/>
      <c r="PGA7" s="2"/>
      <c r="PGB7" s="2"/>
      <c r="PGC7" s="2"/>
      <c r="PGD7" s="2"/>
      <c r="PGE7" s="2"/>
      <c r="PGF7" s="2"/>
      <c r="PGG7" s="2"/>
      <c r="PGH7" s="2"/>
      <c r="PGI7" s="2"/>
      <c r="PGJ7" s="2"/>
      <c r="PGK7" s="2"/>
      <c r="PGL7" s="2"/>
      <c r="PGM7" s="2"/>
      <c r="PGN7" s="2"/>
      <c r="PGO7" s="2"/>
      <c r="PGP7" s="2"/>
      <c r="PGQ7" s="2"/>
      <c r="PGR7" s="2"/>
      <c r="PGS7" s="2"/>
      <c r="PGT7" s="2"/>
      <c r="PGU7" s="2"/>
      <c r="PGV7" s="2"/>
      <c r="PGW7" s="2"/>
      <c r="PGX7" s="2"/>
      <c r="PGY7" s="2"/>
      <c r="PGZ7" s="2"/>
      <c r="PHA7" s="2"/>
      <c r="PHB7" s="2"/>
      <c r="PHC7" s="2"/>
      <c r="PHD7" s="2"/>
      <c r="PHE7" s="2"/>
      <c r="PHF7" s="2"/>
      <c r="PHG7" s="2"/>
      <c r="PHH7" s="2"/>
      <c r="PHI7" s="2"/>
      <c r="PHJ7" s="2"/>
      <c r="PHK7" s="2"/>
      <c r="PHL7" s="2"/>
      <c r="PHM7" s="2"/>
      <c r="PHN7" s="2"/>
      <c r="PHO7" s="2"/>
      <c r="PHP7" s="2"/>
      <c r="PHQ7" s="2"/>
      <c r="PHR7" s="2"/>
      <c r="PHS7" s="2"/>
      <c r="PHT7" s="2"/>
      <c r="PHU7" s="2"/>
      <c r="PHV7" s="2"/>
      <c r="PHW7" s="2"/>
      <c r="PHX7" s="2"/>
      <c r="PHY7" s="2"/>
      <c r="PHZ7" s="2"/>
      <c r="PIA7" s="2"/>
      <c r="PIB7" s="2"/>
      <c r="PIC7" s="2"/>
      <c r="PID7" s="2"/>
      <c r="PIE7" s="2"/>
      <c r="PIF7" s="2"/>
      <c r="PIG7" s="2"/>
      <c r="PIH7" s="2"/>
      <c r="PII7" s="2"/>
      <c r="PIJ7" s="2"/>
      <c r="PIK7" s="2"/>
      <c r="PIL7" s="2"/>
      <c r="PIM7" s="2"/>
      <c r="PIN7" s="2"/>
      <c r="PIO7" s="2"/>
      <c r="PIP7" s="2"/>
      <c r="PIQ7" s="2"/>
      <c r="PIR7" s="2"/>
      <c r="PIS7" s="2"/>
      <c r="PIT7" s="2"/>
      <c r="PIU7" s="2"/>
      <c r="PIV7" s="2"/>
      <c r="PIW7" s="2"/>
      <c r="PIX7" s="2"/>
      <c r="PIY7" s="2"/>
      <c r="PIZ7" s="2"/>
      <c r="PJA7" s="2"/>
      <c r="PJB7" s="2"/>
      <c r="PJC7" s="2"/>
      <c r="PJD7" s="2"/>
      <c r="PJE7" s="2"/>
      <c r="PJF7" s="2"/>
      <c r="PJG7" s="2"/>
      <c r="PJH7" s="2"/>
      <c r="PJI7" s="2"/>
      <c r="PJJ7" s="2"/>
      <c r="PJK7" s="2"/>
      <c r="PJL7" s="2"/>
      <c r="PJM7" s="2"/>
      <c r="PJN7" s="2"/>
      <c r="PJO7" s="2"/>
      <c r="PJP7" s="2"/>
      <c r="PJQ7" s="2"/>
      <c r="PJR7" s="2"/>
      <c r="PJS7" s="2"/>
      <c r="PJT7" s="2"/>
      <c r="PJU7" s="2"/>
      <c r="PJV7" s="2"/>
      <c r="PJW7" s="2"/>
      <c r="PJX7" s="2"/>
      <c r="PJY7" s="2"/>
      <c r="PJZ7" s="2"/>
      <c r="PKA7" s="2"/>
      <c r="PKB7" s="2"/>
      <c r="PKC7" s="2"/>
      <c r="PKD7" s="2"/>
      <c r="PKE7" s="2"/>
      <c r="PKF7" s="2"/>
      <c r="PKG7" s="2"/>
      <c r="PKH7" s="2"/>
      <c r="PKI7" s="2"/>
      <c r="PKJ7" s="2"/>
      <c r="PKK7" s="2"/>
      <c r="PKL7" s="2"/>
      <c r="PKM7" s="2"/>
      <c r="PKN7" s="2"/>
      <c r="PKO7" s="2"/>
      <c r="PKP7" s="2"/>
      <c r="PKQ7" s="2"/>
      <c r="PKR7" s="2"/>
      <c r="PKS7" s="2"/>
      <c r="PKT7" s="2"/>
      <c r="PKU7" s="2"/>
      <c r="PKV7" s="2"/>
      <c r="PKW7" s="2"/>
      <c r="PKX7" s="2"/>
      <c r="PKY7" s="2"/>
      <c r="PKZ7" s="2"/>
      <c r="PLA7" s="2"/>
      <c r="PLB7" s="2"/>
      <c r="PLC7" s="2"/>
      <c r="PLD7" s="2"/>
      <c r="PLE7" s="2"/>
      <c r="PLF7" s="2"/>
      <c r="PLG7" s="2"/>
      <c r="PLH7" s="2"/>
      <c r="PLI7" s="2"/>
      <c r="PLJ7" s="2"/>
      <c r="PLK7" s="2"/>
      <c r="PLL7" s="2"/>
      <c r="PLM7" s="2"/>
      <c r="PLN7" s="2"/>
      <c r="PLO7" s="2"/>
      <c r="PLP7" s="2"/>
      <c r="PLQ7" s="2"/>
      <c r="PLR7" s="2"/>
      <c r="PLS7" s="2"/>
      <c r="PLT7" s="2"/>
      <c r="PLU7" s="2"/>
      <c r="PLV7" s="2"/>
      <c r="PLW7" s="2"/>
      <c r="PLX7" s="2"/>
      <c r="PLY7" s="2"/>
      <c r="PLZ7" s="2"/>
      <c r="PMA7" s="2"/>
      <c r="PMB7" s="2"/>
      <c r="PMC7" s="2"/>
      <c r="PMD7" s="2"/>
      <c r="PME7" s="2"/>
      <c r="PMF7" s="2"/>
      <c r="PMG7" s="2"/>
      <c r="PMH7" s="2"/>
      <c r="PMI7" s="2"/>
      <c r="PMJ7" s="2"/>
      <c r="PMK7" s="2"/>
      <c r="PML7" s="2"/>
      <c r="PMM7" s="2"/>
      <c r="PMN7" s="2"/>
      <c r="PMO7" s="2"/>
      <c r="PMP7" s="2"/>
      <c r="PMQ7" s="2"/>
      <c r="PMR7" s="2"/>
      <c r="PMS7" s="2"/>
      <c r="PMT7" s="2"/>
      <c r="PMU7" s="2"/>
      <c r="PMV7" s="2"/>
      <c r="PMW7" s="2"/>
      <c r="PMX7" s="2"/>
      <c r="PMY7" s="2"/>
      <c r="PMZ7" s="2"/>
      <c r="PNA7" s="2"/>
      <c r="PNB7" s="2"/>
      <c r="PNC7" s="2"/>
      <c r="PND7" s="2"/>
      <c r="PNE7" s="2"/>
      <c r="PNF7" s="2"/>
      <c r="PNG7" s="2"/>
      <c r="PNH7" s="2"/>
      <c r="PNI7" s="2"/>
      <c r="PNJ7" s="2"/>
      <c r="PNK7" s="2"/>
      <c r="PNL7" s="2"/>
      <c r="PNM7" s="2"/>
      <c r="PNN7" s="2"/>
      <c r="PNO7" s="2"/>
      <c r="PNP7" s="2"/>
      <c r="PNQ7" s="2"/>
      <c r="PNR7" s="2"/>
      <c r="PNS7" s="2"/>
      <c r="PNT7" s="2"/>
      <c r="PNU7" s="2"/>
      <c r="PNV7" s="2"/>
      <c r="PNW7" s="2"/>
      <c r="PNX7" s="2"/>
      <c r="PNY7" s="2"/>
      <c r="PNZ7" s="2"/>
      <c r="POA7" s="2"/>
      <c r="POB7" s="2"/>
      <c r="POC7" s="2"/>
      <c r="POD7" s="2"/>
      <c r="POE7" s="2"/>
      <c r="POF7" s="2"/>
      <c r="POG7" s="2"/>
      <c r="POH7" s="2"/>
      <c r="POI7" s="2"/>
      <c r="POJ7" s="2"/>
      <c r="POK7" s="2"/>
      <c r="POL7" s="2"/>
      <c r="POM7" s="2"/>
      <c r="PON7" s="2"/>
      <c r="POO7" s="2"/>
      <c r="POP7" s="2"/>
      <c r="POQ7" s="2"/>
      <c r="POR7" s="2"/>
      <c r="POS7" s="2"/>
      <c r="POT7" s="2"/>
      <c r="POU7" s="2"/>
      <c r="POV7" s="2"/>
      <c r="POW7" s="2"/>
      <c r="POX7" s="2"/>
      <c r="POY7" s="2"/>
      <c r="POZ7" s="2"/>
      <c r="PPA7" s="2"/>
      <c r="PPB7" s="2"/>
      <c r="PPC7" s="2"/>
      <c r="PPD7" s="2"/>
      <c r="PPE7" s="2"/>
      <c r="PPF7" s="2"/>
      <c r="PPG7" s="2"/>
      <c r="PPH7" s="2"/>
      <c r="PPI7" s="2"/>
      <c r="PPJ7" s="2"/>
      <c r="PPK7" s="2"/>
      <c r="PPL7" s="2"/>
      <c r="PPM7" s="2"/>
      <c r="PPN7" s="2"/>
      <c r="PPO7" s="2"/>
      <c r="PPP7" s="2"/>
      <c r="PPQ7" s="2"/>
      <c r="PPR7" s="2"/>
      <c r="PPS7" s="2"/>
      <c r="PPT7" s="2"/>
      <c r="PPU7" s="2"/>
      <c r="PPV7" s="2"/>
      <c r="PPW7" s="2"/>
      <c r="PPX7" s="2"/>
      <c r="PPY7" s="2"/>
      <c r="PPZ7" s="2"/>
      <c r="PQA7" s="2"/>
      <c r="PQB7" s="2"/>
      <c r="PQC7" s="2"/>
      <c r="PQD7" s="2"/>
      <c r="PQE7" s="2"/>
      <c r="PQF7" s="2"/>
      <c r="PQG7" s="2"/>
      <c r="PQH7" s="2"/>
      <c r="PQI7" s="2"/>
      <c r="PQJ7" s="2"/>
      <c r="PQK7" s="2"/>
      <c r="PQL7" s="2"/>
      <c r="PQM7" s="2"/>
      <c r="PQN7" s="2"/>
      <c r="PQO7" s="2"/>
      <c r="PQP7" s="2"/>
      <c r="PQQ7" s="2"/>
      <c r="PQR7" s="2"/>
      <c r="PQS7" s="2"/>
      <c r="PQT7" s="2"/>
      <c r="PQU7" s="2"/>
      <c r="PQV7" s="2"/>
      <c r="PQW7" s="2"/>
      <c r="PQX7" s="2"/>
      <c r="PQY7" s="2"/>
      <c r="PQZ7" s="2"/>
      <c r="PRA7" s="2"/>
      <c r="PRB7" s="2"/>
      <c r="PRC7" s="2"/>
      <c r="PRD7" s="2"/>
      <c r="PRE7" s="2"/>
      <c r="PRF7" s="2"/>
      <c r="PRG7" s="2"/>
      <c r="PRH7" s="2"/>
      <c r="PRI7" s="2"/>
      <c r="PRJ7" s="2"/>
      <c r="PRK7" s="2"/>
      <c r="PRL7" s="2"/>
      <c r="PRM7" s="2"/>
      <c r="PRN7" s="2"/>
      <c r="PRO7" s="2"/>
      <c r="PRP7" s="2"/>
      <c r="PRQ7" s="2"/>
      <c r="PRR7" s="2"/>
      <c r="PRS7" s="2"/>
      <c r="PRT7" s="2"/>
      <c r="PRU7" s="2"/>
      <c r="PRV7" s="2"/>
      <c r="PRW7" s="2"/>
      <c r="PRX7" s="2"/>
      <c r="PRY7" s="2"/>
      <c r="PRZ7" s="2"/>
      <c r="PSA7" s="2"/>
      <c r="PSB7" s="2"/>
      <c r="PSC7" s="2"/>
      <c r="PSD7" s="2"/>
      <c r="PSE7" s="2"/>
      <c r="PSF7" s="2"/>
      <c r="PSG7" s="2"/>
      <c r="PSH7" s="2"/>
      <c r="PSI7" s="2"/>
      <c r="PSJ7" s="2"/>
      <c r="PSK7" s="2"/>
      <c r="PSL7" s="2"/>
      <c r="PSM7" s="2"/>
      <c r="PSN7" s="2"/>
      <c r="PSO7" s="2"/>
      <c r="PSP7" s="2"/>
      <c r="PSQ7" s="2"/>
      <c r="PSR7" s="2"/>
      <c r="PSS7" s="2"/>
      <c r="PST7" s="2"/>
      <c r="PSU7" s="2"/>
      <c r="PSV7" s="2"/>
      <c r="PSW7" s="2"/>
      <c r="PSX7" s="2"/>
      <c r="PSY7" s="2"/>
      <c r="PSZ7" s="2"/>
      <c r="PTA7" s="2"/>
      <c r="PTB7" s="2"/>
      <c r="PTC7" s="2"/>
      <c r="PTD7" s="2"/>
      <c r="PTE7" s="2"/>
      <c r="PTF7" s="2"/>
      <c r="PTG7" s="2"/>
      <c r="PTH7" s="2"/>
      <c r="PTI7" s="2"/>
      <c r="PTJ7" s="2"/>
      <c r="PTK7" s="2"/>
      <c r="PTL7" s="2"/>
      <c r="PTM7" s="2"/>
      <c r="PTN7" s="2"/>
      <c r="PTO7" s="2"/>
      <c r="PTP7" s="2"/>
      <c r="PTQ7" s="2"/>
      <c r="PTR7" s="2"/>
      <c r="PTS7" s="2"/>
      <c r="PTT7" s="2"/>
      <c r="PTU7" s="2"/>
      <c r="PTV7" s="2"/>
      <c r="PTW7" s="2"/>
      <c r="PTX7" s="2"/>
      <c r="PTY7" s="2"/>
      <c r="PTZ7" s="2"/>
      <c r="PUA7" s="2"/>
      <c r="PUB7" s="2"/>
      <c r="PUC7" s="2"/>
      <c r="PUD7" s="2"/>
      <c r="PUE7" s="2"/>
      <c r="PUF7" s="2"/>
      <c r="PUG7" s="2"/>
      <c r="PUH7" s="2"/>
      <c r="PUI7" s="2"/>
      <c r="PUJ7" s="2"/>
      <c r="PUK7" s="2"/>
      <c r="PUL7" s="2"/>
      <c r="PUM7" s="2"/>
      <c r="PUN7" s="2"/>
      <c r="PUO7" s="2"/>
      <c r="PUP7" s="2"/>
      <c r="PUQ7" s="2"/>
      <c r="PUR7" s="2"/>
      <c r="PUS7" s="2"/>
      <c r="PUT7" s="2"/>
      <c r="PUU7" s="2"/>
      <c r="PUV7" s="2"/>
      <c r="PUW7" s="2"/>
      <c r="PUX7" s="2"/>
      <c r="PUY7" s="2"/>
      <c r="PUZ7" s="2"/>
      <c r="PVA7" s="2"/>
      <c r="PVB7" s="2"/>
      <c r="PVC7" s="2"/>
      <c r="PVD7" s="2"/>
      <c r="PVE7" s="2"/>
      <c r="PVF7" s="2"/>
      <c r="PVG7" s="2"/>
      <c r="PVH7" s="2"/>
      <c r="PVI7" s="2"/>
      <c r="PVJ7" s="2"/>
      <c r="PVK7" s="2"/>
      <c r="PVL7" s="2"/>
      <c r="PVM7" s="2"/>
      <c r="PVN7" s="2"/>
      <c r="PVO7" s="2"/>
      <c r="PVP7" s="2"/>
      <c r="PVQ7" s="2"/>
      <c r="PVR7" s="2"/>
      <c r="PVS7" s="2"/>
      <c r="PVT7" s="2"/>
      <c r="PVU7" s="2"/>
      <c r="PVV7" s="2"/>
      <c r="PVW7" s="2"/>
      <c r="PVX7" s="2"/>
      <c r="PVY7" s="2"/>
      <c r="PVZ7" s="2"/>
      <c r="PWA7" s="2"/>
      <c r="PWB7" s="2"/>
      <c r="PWC7" s="2"/>
      <c r="PWD7" s="2"/>
      <c r="PWE7" s="2"/>
      <c r="PWF7" s="2"/>
      <c r="PWG7" s="2"/>
      <c r="PWH7" s="2"/>
      <c r="PWI7" s="2"/>
      <c r="PWJ7" s="2"/>
      <c r="PWK7" s="2"/>
      <c r="PWL7" s="2"/>
      <c r="PWM7" s="2"/>
      <c r="PWN7" s="2"/>
      <c r="PWO7" s="2"/>
      <c r="PWP7" s="2"/>
      <c r="PWQ7" s="2"/>
      <c r="PWR7" s="2"/>
      <c r="PWS7" s="2"/>
      <c r="PWT7" s="2"/>
      <c r="PWU7" s="2"/>
      <c r="PWV7" s="2"/>
      <c r="PWW7" s="2"/>
      <c r="PWX7" s="2"/>
      <c r="PWY7" s="2"/>
      <c r="PWZ7" s="2"/>
      <c r="PXA7" s="2"/>
      <c r="PXB7" s="2"/>
      <c r="PXC7" s="2"/>
      <c r="PXD7" s="2"/>
      <c r="PXE7" s="2"/>
      <c r="PXF7" s="2"/>
      <c r="PXG7" s="2"/>
      <c r="PXH7" s="2"/>
      <c r="PXI7" s="2"/>
      <c r="PXJ7" s="2"/>
      <c r="PXK7" s="2"/>
      <c r="PXL7" s="2"/>
      <c r="PXM7" s="2"/>
      <c r="PXN7" s="2"/>
      <c r="PXO7" s="2"/>
      <c r="PXP7" s="2"/>
      <c r="PXQ7" s="2"/>
      <c r="PXR7" s="2"/>
      <c r="PXS7" s="2"/>
      <c r="PXT7" s="2"/>
      <c r="PXU7" s="2"/>
      <c r="PXV7" s="2"/>
      <c r="PXW7" s="2"/>
      <c r="PXX7" s="2"/>
      <c r="PXY7" s="2"/>
      <c r="PXZ7" s="2"/>
      <c r="PYA7" s="2"/>
      <c r="PYB7" s="2"/>
      <c r="PYC7" s="2"/>
      <c r="PYD7" s="2"/>
      <c r="PYE7" s="2"/>
      <c r="PYF7" s="2"/>
      <c r="PYG7" s="2"/>
      <c r="PYH7" s="2"/>
      <c r="PYI7" s="2"/>
      <c r="PYJ7" s="2"/>
      <c r="PYK7" s="2"/>
      <c r="PYL7" s="2"/>
      <c r="PYM7" s="2"/>
      <c r="PYN7" s="2"/>
      <c r="PYO7" s="2"/>
      <c r="PYP7" s="2"/>
      <c r="PYQ7" s="2"/>
      <c r="PYR7" s="2"/>
      <c r="PYS7" s="2"/>
      <c r="PYT7" s="2"/>
      <c r="PYU7" s="2"/>
      <c r="PYV7" s="2"/>
      <c r="PYW7" s="2"/>
      <c r="PYX7" s="2"/>
      <c r="PYY7" s="2"/>
      <c r="PYZ7" s="2"/>
      <c r="PZA7" s="2"/>
      <c r="PZB7" s="2"/>
      <c r="PZC7" s="2"/>
      <c r="PZD7" s="2"/>
      <c r="PZE7" s="2"/>
      <c r="PZF7" s="2"/>
      <c r="PZG7" s="2"/>
      <c r="PZH7" s="2"/>
      <c r="PZI7" s="2"/>
      <c r="PZJ7" s="2"/>
      <c r="PZK7" s="2"/>
      <c r="PZL7" s="2"/>
      <c r="PZM7" s="2"/>
      <c r="PZN7" s="2"/>
      <c r="PZO7" s="2"/>
      <c r="PZP7" s="2"/>
      <c r="PZQ7" s="2"/>
      <c r="PZR7" s="2"/>
      <c r="PZS7" s="2"/>
      <c r="PZT7" s="2"/>
      <c r="PZU7" s="2"/>
      <c r="PZV7" s="2"/>
      <c r="PZW7" s="2"/>
      <c r="PZX7" s="2"/>
      <c r="PZY7" s="2"/>
      <c r="PZZ7" s="2"/>
      <c r="QAA7" s="2"/>
      <c r="QAB7" s="2"/>
      <c r="QAC7" s="2"/>
      <c r="QAD7" s="2"/>
      <c r="QAE7" s="2"/>
      <c r="QAF7" s="2"/>
      <c r="QAG7" s="2"/>
      <c r="QAH7" s="2"/>
      <c r="QAI7" s="2"/>
      <c r="QAJ7" s="2"/>
      <c r="QAK7" s="2"/>
      <c r="QAL7" s="2"/>
      <c r="QAM7" s="2"/>
      <c r="QAN7" s="2"/>
      <c r="QAO7" s="2"/>
      <c r="QAP7" s="2"/>
      <c r="QAQ7" s="2"/>
      <c r="QAR7" s="2"/>
      <c r="QAS7" s="2"/>
      <c r="QAT7" s="2"/>
      <c r="QAU7" s="2"/>
      <c r="QAV7" s="2"/>
      <c r="QAW7" s="2"/>
      <c r="QAX7" s="2"/>
      <c r="QAY7" s="2"/>
      <c r="QAZ7" s="2"/>
      <c r="QBA7" s="2"/>
      <c r="QBB7" s="2"/>
      <c r="QBC7" s="2"/>
      <c r="QBD7" s="2"/>
      <c r="QBE7" s="2"/>
      <c r="QBF7" s="2"/>
      <c r="QBG7" s="2"/>
      <c r="QBH7" s="2"/>
      <c r="QBI7" s="2"/>
      <c r="QBJ7" s="2"/>
      <c r="QBK7" s="2"/>
      <c r="QBL7" s="2"/>
      <c r="QBM7" s="2"/>
      <c r="QBN7" s="2"/>
      <c r="QBO7" s="2"/>
      <c r="QBP7" s="2"/>
      <c r="QBQ7" s="2"/>
      <c r="QBR7" s="2"/>
      <c r="QBS7" s="2"/>
      <c r="QBT7" s="2"/>
      <c r="QBU7" s="2"/>
      <c r="QBV7" s="2"/>
      <c r="QBW7" s="2"/>
      <c r="QBX7" s="2"/>
      <c r="QBY7" s="2"/>
      <c r="QBZ7" s="2"/>
      <c r="QCA7" s="2"/>
      <c r="QCB7" s="2"/>
      <c r="QCC7" s="2"/>
      <c r="QCD7" s="2"/>
      <c r="QCE7" s="2"/>
      <c r="QCF7" s="2"/>
      <c r="QCG7" s="2"/>
      <c r="QCH7" s="2"/>
      <c r="QCI7" s="2"/>
      <c r="QCJ7" s="2"/>
      <c r="QCK7" s="2"/>
      <c r="QCL7" s="2"/>
      <c r="QCM7" s="2"/>
      <c r="QCN7" s="2"/>
      <c r="QCO7" s="2"/>
      <c r="QCP7" s="2"/>
      <c r="QCQ7" s="2"/>
      <c r="QCR7" s="2"/>
      <c r="QCS7" s="2"/>
      <c r="QCT7" s="2"/>
      <c r="QCU7" s="2"/>
      <c r="QCV7" s="2"/>
      <c r="QCW7" s="2"/>
      <c r="QCX7" s="2"/>
      <c r="QCY7" s="2"/>
      <c r="QCZ7" s="2"/>
      <c r="QDA7" s="2"/>
      <c r="QDB7" s="2"/>
      <c r="QDC7" s="2"/>
      <c r="QDD7" s="2"/>
      <c r="QDE7" s="2"/>
      <c r="QDF7" s="2"/>
      <c r="QDG7" s="2"/>
      <c r="QDH7" s="2"/>
      <c r="QDI7" s="2"/>
      <c r="QDJ7" s="2"/>
      <c r="QDK7" s="2"/>
      <c r="QDL7" s="2"/>
      <c r="QDM7" s="2"/>
      <c r="QDN7" s="2"/>
      <c r="QDO7" s="2"/>
      <c r="QDP7" s="2"/>
      <c r="QDQ7" s="2"/>
      <c r="QDR7" s="2"/>
      <c r="QDS7" s="2"/>
      <c r="QDT7" s="2"/>
      <c r="QDU7" s="2"/>
      <c r="QDV7" s="2"/>
      <c r="QDW7" s="2"/>
      <c r="QDX7" s="2"/>
      <c r="QDY7" s="2"/>
      <c r="QDZ7" s="2"/>
      <c r="QEA7" s="2"/>
      <c r="QEB7" s="2"/>
      <c r="QEC7" s="2"/>
      <c r="QED7" s="2"/>
      <c r="QEE7" s="2"/>
      <c r="QEF7" s="2"/>
      <c r="QEG7" s="2"/>
      <c r="QEH7" s="2"/>
      <c r="QEI7" s="2"/>
      <c r="QEJ7" s="2"/>
      <c r="QEK7" s="2"/>
      <c r="QEL7" s="2"/>
      <c r="QEM7" s="2"/>
      <c r="QEN7" s="2"/>
      <c r="QEO7" s="2"/>
      <c r="QEP7" s="2"/>
      <c r="QEQ7" s="2"/>
      <c r="QER7" s="2"/>
      <c r="QES7" s="2"/>
      <c r="QET7" s="2"/>
      <c r="QEU7" s="2"/>
      <c r="QEV7" s="2"/>
      <c r="QEW7" s="2"/>
      <c r="QEX7" s="2"/>
      <c r="QEY7" s="2"/>
      <c r="QEZ7" s="2"/>
      <c r="QFA7" s="2"/>
      <c r="QFB7" s="2"/>
      <c r="QFC7" s="2"/>
      <c r="QFD7" s="2"/>
      <c r="QFE7" s="2"/>
      <c r="QFF7" s="2"/>
      <c r="QFG7" s="2"/>
      <c r="QFH7" s="2"/>
      <c r="QFI7" s="2"/>
      <c r="QFJ7" s="2"/>
      <c r="QFK7" s="2"/>
      <c r="QFL7" s="2"/>
      <c r="QFM7" s="2"/>
      <c r="QFN7" s="2"/>
      <c r="QFO7" s="2"/>
      <c r="QFP7" s="2"/>
      <c r="QFQ7" s="2"/>
      <c r="QFR7" s="2"/>
      <c r="QFS7" s="2"/>
      <c r="QFT7" s="2"/>
      <c r="QFU7" s="2"/>
      <c r="QFV7" s="2"/>
      <c r="QFW7" s="2"/>
      <c r="QFX7" s="2"/>
      <c r="QFY7" s="2"/>
      <c r="QFZ7" s="2"/>
      <c r="QGA7" s="2"/>
      <c r="QGB7" s="2"/>
      <c r="QGC7" s="2"/>
      <c r="QGD7" s="2"/>
      <c r="QGE7" s="2"/>
      <c r="QGF7" s="2"/>
      <c r="QGG7" s="2"/>
      <c r="QGH7" s="2"/>
      <c r="QGI7" s="2"/>
      <c r="QGJ7" s="2"/>
      <c r="QGK7" s="2"/>
      <c r="QGL7" s="2"/>
      <c r="QGM7" s="2"/>
      <c r="QGN7" s="2"/>
      <c r="QGO7" s="2"/>
      <c r="QGP7" s="2"/>
      <c r="QGQ7" s="2"/>
      <c r="QGR7" s="2"/>
      <c r="QGS7" s="2"/>
      <c r="QGT7" s="2"/>
      <c r="QGU7" s="2"/>
      <c r="QGV7" s="2"/>
      <c r="QGW7" s="2"/>
      <c r="QGX7" s="2"/>
      <c r="QGY7" s="2"/>
      <c r="QGZ7" s="2"/>
      <c r="QHA7" s="2"/>
      <c r="QHB7" s="2"/>
      <c r="QHC7" s="2"/>
      <c r="QHD7" s="2"/>
      <c r="QHE7" s="2"/>
      <c r="QHF7" s="2"/>
      <c r="QHG7" s="2"/>
      <c r="QHH7" s="2"/>
      <c r="QHI7" s="2"/>
      <c r="QHJ7" s="2"/>
      <c r="QHK7" s="2"/>
      <c r="QHL7" s="2"/>
      <c r="QHM7" s="2"/>
      <c r="QHN7" s="2"/>
      <c r="QHO7" s="2"/>
      <c r="QHP7" s="2"/>
      <c r="QHQ7" s="2"/>
      <c r="QHR7" s="2"/>
      <c r="QHS7" s="2"/>
      <c r="QHT7" s="2"/>
      <c r="QHU7" s="2"/>
      <c r="QHV7" s="2"/>
      <c r="QHW7" s="2"/>
      <c r="QHX7" s="2"/>
      <c r="QHY7" s="2"/>
      <c r="QHZ7" s="2"/>
      <c r="QIA7" s="2"/>
      <c r="QIB7" s="2"/>
      <c r="QIC7" s="2"/>
      <c r="QID7" s="2"/>
      <c r="QIE7" s="2"/>
      <c r="QIF7" s="2"/>
      <c r="QIG7" s="2"/>
      <c r="QIH7" s="2"/>
      <c r="QII7" s="2"/>
      <c r="QIJ7" s="2"/>
      <c r="QIK7" s="2"/>
      <c r="QIL7" s="2"/>
      <c r="QIM7" s="2"/>
      <c r="QIN7" s="2"/>
      <c r="QIO7" s="2"/>
      <c r="QIP7" s="2"/>
      <c r="QIQ7" s="2"/>
      <c r="QIR7" s="2"/>
      <c r="QIS7" s="2"/>
      <c r="QIT7" s="2"/>
      <c r="QIU7" s="2"/>
      <c r="QIV7" s="2"/>
      <c r="QIW7" s="2"/>
      <c r="QIX7" s="2"/>
      <c r="QIY7" s="2"/>
      <c r="QIZ7" s="2"/>
      <c r="QJA7" s="2"/>
      <c r="QJB7" s="2"/>
      <c r="QJC7" s="2"/>
      <c r="QJD7" s="2"/>
      <c r="QJE7" s="2"/>
      <c r="QJF7" s="2"/>
      <c r="QJG7" s="2"/>
      <c r="QJH7" s="2"/>
      <c r="QJI7" s="2"/>
      <c r="QJJ7" s="2"/>
      <c r="QJK7" s="2"/>
      <c r="QJL7" s="2"/>
      <c r="QJM7" s="2"/>
      <c r="QJN7" s="2"/>
      <c r="QJO7" s="2"/>
      <c r="QJP7" s="2"/>
      <c r="QJQ7" s="2"/>
      <c r="QJR7" s="2"/>
      <c r="QJS7" s="2"/>
      <c r="QJT7" s="2"/>
      <c r="QJU7" s="2"/>
      <c r="QJV7" s="2"/>
      <c r="QJW7" s="2"/>
      <c r="QJX7" s="2"/>
      <c r="QJY7" s="2"/>
      <c r="QJZ7" s="2"/>
      <c r="QKA7" s="2"/>
      <c r="QKB7" s="2"/>
      <c r="QKC7" s="2"/>
      <c r="QKD7" s="2"/>
      <c r="QKE7" s="2"/>
      <c r="QKF7" s="2"/>
      <c r="QKG7" s="2"/>
      <c r="QKH7" s="2"/>
      <c r="QKI7" s="2"/>
      <c r="QKJ7" s="2"/>
      <c r="QKK7" s="2"/>
      <c r="QKL7" s="2"/>
      <c r="QKM7" s="2"/>
      <c r="QKN7" s="2"/>
      <c r="QKO7" s="2"/>
      <c r="QKP7" s="2"/>
      <c r="QKQ7" s="2"/>
      <c r="QKR7" s="2"/>
      <c r="QKS7" s="2"/>
      <c r="QKT7" s="2"/>
      <c r="QKU7" s="2"/>
      <c r="QKV7" s="2"/>
      <c r="QKW7" s="2"/>
      <c r="QKX7" s="2"/>
      <c r="QKY7" s="2"/>
      <c r="QKZ7" s="2"/>
      <c r="QLA7" s="2"/>
      <c r="QLB7" s="2"/>
      <c r="QLC7" s="2"/>
      <c r="QLD7" s="2"/>
      <c r="QLE7" s="2"/>
      <c r="QLF7" s="2"/>
      <c r="QLG7" s="2"/>
      <c r="QLH7" s="2"/>
      <c r="QLI7" s="2"/>
      <c r="QLJ7" s="2"/>
      <c r="QLK7" s="2"/>
      <c r="QLL7" s="2"/>
      <c r="QLM7" s="2"/>
      <c r="QLN7" s="2"/>
      <c r="QLO7" s="2"/>
      <c r="QLP7" s="2"/>
      <c r="QLQ7" s="2"/>
      <c r="QLR7" s="2"/>
      <c r="QLS7" s="2"/>
      <c r="QLT7" s="2"/>
      <c r="QLU7" s="2"/>
      <c r="QLV7" s="2"/>
      <c r="QLW7" s="2"/>
      <c r="QLX7" s="2"/>
      <c r="QLY7" s="2"/>
      <c r="QLZ7" s="2"/>
      <c r="QMA7" s="2"/>
      <c r="QMB7" s="2"/>
      <c r="QMC7" s="2"/>
      <c r="QMD7" s="2"/>
      <c r="QME7" s="2"/>
      <c r="QMF7" s="2"/>
      <c r="QMG7" s="2"/>
      <c r="QMH7" s="2"/>
      <c r="QMI7" s="2"/>
      <c r="QMJ7" s="2"/>
      <c r="QMK7" s="2"/>
      <c r="QML7" s="2"/>
      <c r="QMM7" s="2"/>
      <c r="QMN7" s="2"/>
      <c r="QMO7" s="2"/>
      <c r="QMP7" s="2"/>
      <c r="QMQ7" s="2"/>
      <c r="QMR7" s="2"/>
      <c r="QMS7" s="2"/>
      <c r="QMT7" s="2"/>
      <c r="QMU7" s="2"/>
      <c r="QMV7" s="2"/>
      <c r="QMW7" s="2"/>
      <c r="QMX7" s="2"/>
      <c r="QMY7" s="2"/>
      <c r="QMZ7" s="2"/>
      <c r="QNA7" s="2"/>
      <c r="QNB7" s="2"/>
      <c r="QNC7" s="2"/>
      <c r="QND7" s="2"/>
      <c r="QNE7" s="2"/>
      <c r="QNF7" s="2"/>
      <c r="QNG7" s="2"/>
      <c r="QNH7" s="2"/>
      <c r="QNI7" s="2"/>
      <c r="QNJ7" s="2"/>
      <c r="QNK7" s="2"/>
      <c r="QNL7" s="2"/>
      <c r="QNM7" s="2"/>
      <c r="QNN7" s="2"/>
      <c r="QNO7" s="2"/>
      <c r="QNP7" s="2"/>
      <c r="QNQ7" s="2"/>
      <c r="QNR7" s="2"/>
      <c r="QNS7" s="2"/>
      <c r="QNT7" s="2"/>
      <c r="QNU7" s="2"/>
      <c r="QNV7" s="2"/>
      <c r="QNW7" s="2"/>
      <c r="QNX7" s="2"/>
      <c r="QNY7" s="2"/>
      <c r="QNZ7" s="2"/>
      <c r="QOA7" s="2"/>
      <c r="QOB7" s="2"/>
      <c r="QOC7" s="2"/>
      <c r="QOD7" s="2"/>
      <c r="QOE7" s="2"/>
      <c r="QOF7" s="2"/>
      <c r="QOG7" s="2"/>
      <c r="QOH7" s="2"/>
      <c r="QOI7" s="2"/>
      <c r="QOJ7" s="2"/>
      <c r="QOK7" s="2"/>
      <c r="QOL7" s="2"/>
      <c r="QOM7" s="2"/>
      <c r="QON7" s="2"/>
      <c r="QOO7" s="2"/>
      <c r="QOP7" s="2"/>
      <c r="QOQ7" s="2"/>
      <c r="QOR7" s="2"/>
      <c r="QOS7" s="2"/>
      <c r="QOT7" s="2"/>
      <c r="QOU7" s="2"/>
      <c r="QOV7" s="2"/>
      <c r="QOW7" s="2"/>
      <c r="QOX7" s="2"/>
      <c r="QOY7" s="2"/>
      <c r="QOZ7" s="2"/>
      <c r="QPA7" s="2"/>
      <c r="QPB7" s="2"/>
      <c r="QPC7" s="2"/>
      <c r="QPD7" s="2"/>
      <c r="QPE7" s="2"/>
      <c r="QPF7" s="2"/>
      <c r="QPG7" s="2"/>
      <c r="QPH7" s="2"/>
      <c r="QPI7" s="2"/>
      <c r="QPJ7" s="2"/>
      <c r="QPK7" s="2"/>
      <c r="QPL7" s="2"/>
      <c r="QPM7" s="2"/>
      <c r="QPN7" s="2"/>
      <c r="QPO7" s="2"/>
      <c r="QPP7" s="2"/>
      <c r="QPQ7" s="2"/>
      <c r="QPR7" s="2"/>
      <c r="QPS7" s="2"/>
      <c r="QPT7" s="2"/>
      <c r="QPU7" s="2"/>
      <c r="QPV7" s="2"/>
      <c r="QPW7" s="2"/>
      <c r="QPX7" s="2"/>
      <c r="QPY7" s="2"/>
      <c r="QPZ7" s="2"/>
      <c r="QQA7" s="2"/>
      <c r="QQB7" s="2"/>
      <c r="QQC7" s="2"/>
      <c r="QQD7" s="2"/>
      <c r="QQE7" s="2"/>
      <c r="QQF7" s="2"/>
      <c r="QQG7" s="2"/>
      <c r="QQH7" s="2"/>
      <c r="QQI7" s="2"/>
      <c r="QQJ7" s="2"/>
      <c r="QQK7" s="2"/>
      <c r="QQL7" s="2"/>
      <c r="QQM7" s="2"/>
      <c r="QQN7" s="2"/>
      <c r="QQO7" s="2"/>
      <c r="QQP7" s="2"/>
      <c r="QQQ7" s="2"/>
      <c r="QQR7" s="2"/>
      <c r="QQS7" s="2"/>
      <c r="QQT7" s="2"/>
      <c r="QQU7" s="2"/>
      <c r="QQV7" s="2"/>
      <c r="QQW7" s="2"/>
      <c r="QQX7" s="2"/>
      <c r="QQY7" s="2"/>
      <c r="QQZ7" s="2"/>
      <c r="QRA7" s="2"/>
      <c r="QRB7" s="2"/>
      <c r="QRC7" s="2"/>
      <c r="QRD7" s="2"/>
      <c r="QRE7" s="2"/>
      <c r="QRF7" s="2"/>
      <c r="QRG7" s="2"/>
      <c r="QRH7" s="2"/>
      <c r="QRI7" s="2"/>
      <c r="QRJ7" s="2"/>
      <c r="QRK7" s="2"/>
      <c r="QRL7" s="2"/>
      <c r="QRM7" s="2"/>
      <c r="QRN7" s="2"/>
      <c r="QRO7" s="2"/>
      <c r="QRP7" s="2"/>
      <c r="QRQ7" s="2"/>
      <c r="QRR7" s="2"/>
      <c r="QRS7" s="2"/>
      <c r="QRT7" s="2"/>
      <c r="QRU7" s="2"/>
      <c r="QRV7" s="2"/>
      <c r="QRW7" s="2"/>
      <c r="QRX7" s="2"/>
      <c r="QRY7" s="2"/>
      <c r="QRZ7" s="2"/>
      <c r="QSA7" s="2"/>
      <c r="QSB7" s="2"/>
      <c r="QSC7" s="2"/>
      <c r="QSD7" s="2"/>
      <c r="QSE7" s="2"/>
      <c r="QSF7" s="2"/>
      <c r="QSG7" s="2"/>
      <c r="QSH7" s="2"/>
      <c r="QSI7" s="2"/>
      <c r="QSJ7" s="2"/>
      <c r="QSK7" s="2"/>
      <c r="QSL7" s="2"/>
      <c r="QSM7" s="2"/>
      <c r="QSN7" s="2"/>
      <c r="QSO7" s="2"/>
      <c r="QSP7" s="2"/>
      <c r="QSQ7" s="2"/>
      <c r="QSR7" s="2"/>
      <c r="QSS7" s="2"/>
      <c r="QST7" s="2"/>
      <c r="QSU7" s="2"/>
      <c r="QSV7" s="2"/>
      <c r="QSW7" s="2"/>
      <c r="QSX7" s="2"/>
      <c r="QSY7" s="2"/>
      <c r="QSZ7" s="2"/>
      <c r="QTA7" s="2"/>
      <c r="QTB7" s="2"/>
      <c r="QTC7" s="2"/>
      <c r="QTD7" s="2"/>
      <c r="QTE7" s="2"/>
      <c r="QTF7" s="2"/>
      <c r="QTG7" s="2"/>
      <c r="QTH7" s="2"/>
      <c r="QTI7" s="2"/>
      <c r="QTJ7" s="2"/>
      <c r="QTK7" s="2"/>
      <c r="QTL7" s="2"/>
      <c r="QTM7" s="2"/>
      <c r="QTN7" s="2"/>
      <c r="QTO7" s="2"/>
      <c r="QTP7" s="2"/>
      <c r="QTQ7" s="2"/>
      <c r="QTR7" s="2"/>
      <c r="QTS7" s="2"/>
      <c r="QTT7" s="2"/>
      <c r="QTU7" s="2"/>
      <c r="QTV7" s="2"/>
      <c r="QTW7" s="2"/>
      <c r="QTX7" s="2"/>
      <c r="QTY7" s="2"/>
      <c r="QTZ7" s="2"/>
      <c r="QUA7" s="2"/>
      <c r="QUB7" s="2"/>
      <c r="QUC7" s="2"/>
      <c r="QUD7" s="2"/>
      <c r="QUE7" s="2"/>
      <c r="QUF7" s="2"/>
      <c r="QUG7" s="2"/>
      <c r="QUH7" s="2"/>
      <c r="QUI7" s="2"/>
      <c r="QUJ7" s="2"/>
      <c r="QUK7" s="2"/>
      <c r="QUL7" s="2"/>
      <c r="QUM7" s="2"/>
      <c r="QUN7" s="2"/>
      <c r="QUO7" s="2"/>
      <c r="QUP7" s="2"/>
      <c r="QUQ7" s="2"/>
      <c r="QUR7" s="2"/>
      <c r="QUS7" s="2"/>
      <c r="QUT7" s="2"/>
      <c r="QUU7" s="2"/>
      <c r="QUV7" s="2"/>
      <c r="QUW7" s="2"/>
      <c r="QUX7" s="2"/>
      <c r="QUY7" s="2"/>
      <c r="QUZ7" s="2"/>
      <c r="QVA7" s="2"/>
      <c r="QVB7" s="2"/>
      <c r="QVC7" s="2"/>
      <c r="QVD7" s="2"/>
      <c r="QVE7" s="2"/>
      <c r="QVF7" s="2"/>
      <c r="QVG7" s="2"/>
      <c r="QVH7" s="2"/>
      <c r="QVI7" s="2"/>
      <c r="QVJ7" s="2"/>
      <c r="QVK7" s="2"/>
      <c r="QVL7" s="2"/>
      <c r="QVM7" s="2"/>
      <c r="QVN7" s="2"/>
      <c r="QVO7" s="2"/>
      <c r="QVP7" s="2"/>
      <c r="QVQ7" s="2"/>
      <c r="QVR7" s="2"/>
      <c r="QVS7" s="2"/>
      <c r="QVT7" s="2"/>
      <c r="QVU7" s="2"/>
      <c r="QVV7" s="2"/>
      <c r="QVW7" s="2"/>
      <c r="QVX7" s="2"/>
      <c r="QVY7" s="2"/>
      <c r="QVZ7" s="2"/>
      <c r="QWA7" s="2"/>
      <c r="QWB7" s="2"/>
      <c r="QWC7" s="2"/>
      <c r="QWD7" s="2"/>
      <c r="QWE7" s="2"/>
      <c r="QWF7" s="2"/>
      <c r="QWG7" s="2"/>
      <c r="QWH7" s="2"/>
      <c r="QWI7" s="2"/>
      <c r="QWJ7" s="2"/>
      <c r="QWK7" s="2"/>
      <c r="QWL7" s="2"/>
      <c r="QWM7" s="2"/>
      <c r="QWN7" s="2"/>
      <c r="QWO7" s="2"/>
      <c r="QWP7" s="2"/>
      <c r="QWQ7" s="2"/>
      <c r="QWR7" s="2"/>
      <c r="QWS7" s="2"/>
      <c r="QWT7" s="2"/>
      <c r="QWU7" s="2"/>
      <c r="QWV7" s="2"/>
      <c r="QWW7" s="2"/>
      <c r="QWX7" s="2"/>
      <c r="QWY7" s="2"/>
      <c r="QWZ7" s="2"/>
      <c r="QXA7" s="2"/>
      <c r="QXB7" s="2"/>
      <c r="QXC7" s="2"/>
      <c r="QXD7" s="2"/>
      <c r="QXE7" s="2"/>
      <c r="QXF7" s="2"/>
      <c r="QXG7" s="2"/>
      <c r="QXH7" s="2"/>
      <c r="QXI7" s="2"/>
      <c r="QXJ7" s="2"/>
      <c r="QXK7" s="2"/>
      <c r="QXL7" s="2"/>
      <c r="QXM7" s="2"/>
      <c r="QXN7" s="2"/>
      <c r="QXO7" s="2"/>
      <c r="QXP7" s="2"/>
      <c r="QXQ7" s="2"/>
      <c r="QXR7" s="2"/>
      <c r="QXS7" s="2"/>
      <c r="QXT7" s="2"/>
      <c r="QXU7" s="2"/>
      <c r="QXV7" s="2"/>
      <c r="QXW7" s="2"/>
      <c r="QXX7" s="2"/>
      <c r="QXY7" s="2"/>
      <c r="QXZ7" s="2"/>
      <c r="QYA7" s="2"/>
      <c r="QYB7" s="2"/>
      <c r="QYC7" s="2"/>
      <c r="QYD7" s="2"/>
      <c r="QYE7" s="2"/>
      <c r="QYF7" s="2"/>
      <c r="QYG7" s="2"/>
      <c r="QYH7" s="2"/>
      <c r="QYI7" s="2"/>
      <c r="QYJ7" s="2"/>
      <c r="QYK7" s="2"/>
      <c r="QYL7" s="2"/>
      <c r="QYM7" s="2"/>
      <c r="QYN7" s="2"/>
      <c r="QYO7" s="2"/>
      <c r="QYP7" s="2"/>
      <c r="QYQ7" s="2"/>
      <c r="QYR7" s="2"/>
      <c r="QYS7" s="2"/>
      <c r="QYT7" s="2"/>
      <c r="QYU7" s="2"/>
      <c r="QYV7" s="2"/>
      <c r="QYW7" s="2"/>
      <c r="QYX7" s="2"/>
      <c r="QYY7" s="2"/>
      <c r="QYZ7" s="2"/>
      <c r="QZA7" s="2"/>
      <c r="QZB7" s="2"/>
      <c r="QZC7" s="2"/>
      <c r="QZD7" s="2"/>
      <c r="QZE7" s="2"/>
      <c r="QZF7" s="2"/>
      <c r="QZG7" s="2"/>
      <c r="QZH7" s="2"/>
      <c r="QZI7" s="2"/>
      <c r="QZJ7" s="2"/>
      <c r="QZK7" s="2"/>
      <c r="QZL7" s="2"/>
      <c r="QZM7" s="2"/>
      <c r="QZN7" s="2"/>
      <c r="QZO7" s="2"/>
      <c r="QZP7" s="2"/>
      <c r="QZQ7" s="2"/>
      <c r="QZR7" s="2"/>
      <c r="QZS7" s="2"/>
      <c r="QZT7" s="2"/>
      <c r="QZU7" s="2"/>
      <c r="QZV7" s="2"/>
      <c r="QZW7" s="2"/>
      <c r="QZX7" s="2"/>
      <c r="QZY7" s="2"/>
      <c r="QZZ7" s="2"/>
      <c r="RAA7" s="2"/>
      <c r="RAB7" s="2"/>
      <c r="RAC7" s="2"/>
      <c r="RAD7" s="2"/>
      <c r="RAE7" s="2"/>
      <c r="RAF7" s="2"/>
      <c r="RAG7" s="2"/>
      <c r="RAH7" s="2"/>
      <c r="RAI7" s="2"/>
      <c r="RAJ7" s="2"/>
      <c r="RAK7" s="2"/>
      <c r="RAL7" s="2"/>
      <c r="RAM7" s="2"/>
      <c r="RAN7" s="2"/>
      <c r="RAO7" s="2"/>
      <c r="RAP7" s="2"/>
      <c r="RAQ7" s="2"/>
      <c r="RAR7" s="2"/>
      <c r="RAS7" s="2"/>
      <c r="RAT7" s="2"/>
      <c r="RAU7" s="2"/>
      <c r="RAV7" s="2"/>
      <c r="RAW7" s="2"/>
      <c r="RAX7" s="2"/>
      <c r="RAY7" s="2"/>
      <c r="RAZ7" s="2"/>
      <c r="RBA7" s="2"/>
      <c r="RBB7" s="2"/>
      <c r="RBC7" s="2"/>
      <c r="RBD7" s="2"/>
      <c r="RBE7" s="2"/>
      <c r="RBF7" s="2"/>
      <c r="RBG7" s="2"/>
      <c r="RBH7" s="2"/>
      <c r="RBI7" s="2"/>
      <c r="RBJ7" s="2"/>
      <c r="RBK7" s="2"/>
      <c r="RBL7" s="2"/>
      <c r="RBM7" s="2"/>
      <c r="RBN7" s="2"/>
      <c r="RBO7" s="2"/>
      <c r="RBP7" s="2"/>
      <c r="RBQ7" s="2"/>
      <c r="RBR7" s="2"/>
      <c r="RBS7" s="2"/>
      <c r="RBT7" s="2"/>
      <c r="RBU7" s="2"/>
      <c r="RBV7" s="2"/>
      <c r="RBW7" s="2"/>
      <c r="RBX7" s="2"/>
      <c r="RBY7" s="2"/>
      <c r="RBZ7" s="2"/>
      <c r="RCA7" s="2"/>
      <c r="RCB7" s="2"/>
      <c r="RCC7" s="2"/>
      <c r="RCD7" s="2"/>
      <c r="RCE7" s="2"/>
      <c r="RCF7" s="2"/>
      <c r="RCG7" s="2"/>
      <c r="RCH7" s="2"/>
      <c r="RCI7" s="2"/>
      <c r="RCJ7" s="2"/>
      <c r="RCK7" s="2"/>
      <c r="RCL7" s="2"/>
      <c r="RCM7" s="2"/>
      <c r="RCN7" s="2"/>
      <c r="RCO7" s="2"/>
      <c r="RCP7" s="2"/>
      <c r="RCQ7" s="2"/>
      <c r="RCR7" s="2"/>
      <c r="RCS7" s="2"/>
      <c r="RCT7" s="2"/>
      <c r="RCU7" s="2"/>
      <c r="RCV7" s="2"/>
      <c r="RCW7" s="2"/>
      <c r="RCX7" s="2"/>
      <c r="RCY7" s="2"/>
      <c r="RCZ7" s="2"/>
      <c r="RDA7" s="2"/>
      <c r="RDB7" s="2"/>
      <c r="RDC7" s="2"/>
      <c r="RDD7" s="2"/>
      <c r="RDE7" s="2"/>
      <c r="RDF7" s="2"/>
      <c r="RDG7" s="2"/>
      <c r="RDH7" s="2"/>
      <c r="RDI7" s="2"/>
      <c r="RDJ7" s="2"/>
      <c r="RDK7" s="2"/>
      <c r="RDL7" s="2"/>
      <c r="RDM7" s="2"/>
      <c r="RDN7" s="2"/>
      <c r="RDO7" s="2"/>
      <c r="RDP7" s="2"/>
      <c r="RDQ7" s="2"/>
      <c r="RDR7" s="2"/>
      <c r="RDS7" s="2"/>
      <c r="RDT7" s="2"/>
      <c r="RDU7" s="2"/>
      <c r="RDV7" s="2"/>
      <c r="RDW7" s="2"/>
      <c r="RDX7" s="2"/>
      <c r="RDY7" s="2"/>
      <c r="RDZ7" s="2"/>
      <c r="REA7" s="2"/>
      <c r="REB7" s="2"/>
      <c r="REC7" s="2"/>
      <c r="RED7" s="2"/>
      <c r="REE7" s="2"/>
      <c r="REF7" s="2"/>
      <c r="REG7" s="2"/>
      <c r="REH7" s="2"/>
      <c r="REI7" s="2"/>
      <c r="REJ7" s="2"/>
      <c r="REK7" s="2"/>
      <c r="REL7" s="2"/>
      <c r="REM7" s="2"/>
      <c r="REN7" s="2"/>
      <c r="REO7" s="2"/>
      <c r="REP7" s="2"/>
      <c r="REQ7" s="2"/>
      <c r="RER7" s="2"/>
      <c r="RES7" s="2"/>
      <c r="RET7" s="2"/>
      <c r="REU7" s="2"/>
      <c r="REV7" s="2"/>
      <c r="REW7" s="2"/>
      <c r="REX7" s="2"/>
      <c r="REY7" s="2"/>
      <c r="REZ7" s="2"/>
      <c r="RFA7" s="2"/>
      <c r="RFB7" s="2"/>
      <c r="RFC7" s="2"/>
      <c r="RFD7" s="2"/>
      <c r="RFE7" s="2"/>
      <c r="RFF7" s="2"/>
      <c r="RFG7" s="2"/>
      <c r="RFH7" s="2"/>
      <c r="RFI7" s="2"/>
      <c r="RFJ7" s="2"/>
      <c r="RFK7" s="2"/>
      <c r="RFL7" s="2"/>
      <c r="RFM7" s="2"/>
      <c r="RFN7" s="2"/>
      <c r="RFO7" s="2"/>
      <c r="RFP7" s="2"/>
      <c r="RFQ7" s="2"/>
      <c r="RFR7" s="2"/>
      <c r="RFS7" s="2"/>
      <c r="RFT7" s="2"/>
      <c r="RFU7" s="2"/>
      <c r="RFV7" s="2"/>
      <c r="RFW7" s="2"/>
      <c r="RFX7" s="2"/>
      <c r="RFY7" s="2"/>
      <c r="RFZ7" s="2"/>
      <c r="RGA7" s="2"/>
      <c r="RGB7" s="2"/>
      <c r="RGC7" s="2"/>
      <c r="RGD7" s="2"/>
      <c r="RGE7" s="2"/>
      <c r="RGF7" s="2"/>
      <c r="RGG7" s="2"/>
      <c r="RGH7" s="2"/>
      <c r="RGI7" s="2"/>
      <c r="RGJ7" s="2"/>
      <c r="RGK7" s="2"/>
      <c r="RGL7" s="2"/>
      <c r="RGM7" s="2"/>
      <c r="RGN7" s="2"/>
      <c r="RGO7" s="2"/>
      <c r="RGP7" s="2"/>
      <c r="RGQ7" s="2"/>
      <c r="RGR7" s="2"/>
      <c r="RGS7" s="2"/>
      <c r="RGT7" s="2"/>
      <c r="RGU7" s="2"/>
      <c r="RGV7" s="2"/>
      <c r="RGW7" s="2"/>
      <c r="RGX7" s="2"/>
      <c r="RGY7" s="2"/>
      <c r="RGZ7" s="2"/>
      <c r="RHA7" s="2"/>
      <c r="RHB7" s="2"/>
      <c r="RHC7" s="2"/>
      <c r="RHD7" s="2"/>
      <c r="RHE7" s="2"/>
      <c r="RHF7" s="2"/>
      <c r="RHG7" s="2"/>
      <c r="RHH7" s="2"/>
      <c r="RHI7" s="2"/>
      <c r="RHJ7" s="2"/>
      <c r="RHK7" s="2"/>
      <c r="RHL7" s="2"/>
      <c r="RHM7" s="2"/>
      <c r="RHN7" s="2"/>
      <c r="RHO7" s="2"/>
      <c r="RHP7" s="2"/>
      <c r="RHQ7" s="2"/>
      <c r="RHR7" s="2"/>
      <c r="RHS7" s="2"/>
      <c r="RHT7" s="2"/>
      <c r="RHU7" s="2"/>
      <c r="RHV7" s="2"/>
      <c r="RHW7" s="2"/>
      <c r="RHX7" s="2"/>
      <c r="RHY7" s="2"/>
      <c r="RHZ7" s="2"/>
      <c r="RIA7" s="2"/>
      <c r="RIB7" s="2"/>
      <c r="RIC7" s="2"/>
      <c r="RID7" s="2"/>
      <c r="RIE7" s="2"/>
      <c r="RIF7" s="2"/>
      <c r="RIG7" s="2"/>
      <c r="RIH7" s="2"/>
      <c r="RII7" s="2"/>
      <c r="RIJ7" s="2"/>
      <c r="RIK7" s="2"/>
      <c r="RIL7" s="2"/>
      <c r="RIM7" s="2"/>
      <c r="RIN7" s="2"/>
      <c r="RIO7" s="2"/>
      <c r="RIP7" s="2"/>
      <c r="RIQ7" s="2"/>
      <c r="RIR7" s="2"/>
      <c r="RIS7" s="2"/>
      <c r="RIT7" s="2"/>
      <c r="RIU7" s="2"/>
      <c r="RIV7" s="2"/>
      <c r="RIW7" s="2"/>
      <c r="RIX7" s="2"/>
      <c r="RIY7" s="2"/>
      <c r="RIZ7" s="2"/>
      <c r="RJA7" s="2"/>
      <c r="RJB7" s="2"/>
      <c r="RJC7" s="2"/>
      <c r="RJD7" s="2"/>
      <c r="RJE7" s="2"/>
      <c r="RJF7" s="2"/>
      <c r="RJG7" s="2"/>
      <c r="RJH7" s="2"/>
      <c r="RJI7" s="2"/>
      <c r="RJJ7" s="2"/>
      <c r="RJK7" s="2"/>
      <c r="RJL7" s="2"/>
      <c r="RJM7" s="2"/>
      <c r="RJN7" s="2"/>
      <c r="RJO7" s="2"/>
      <c r="RJP7" s="2"/>
      <c r="RJQ7" s="2"/>
      <c r="RJR7" s="2"/>
      <c r="RJS7" s="2"/>
      <c r="RJT7" s="2"/>
      <c r="RJU7" s="2"/>
      <c r="RJV7" s="2"/>
      <c r="RJW7" s="2"/>
      <c r="RJX7" s="2"/>
      <c r="RJY7" s="2"/>
      <c r="RJZ7" s="2"/>
      <c r="RKA7" s="2"/>
      <c r="RKB7" s="2"/>
      <c r="RKC7" s="2"/>
      <c r="RKD7" s="2"/>
      <c r="RKE7" s="2"/>
      <c r="RKF7" s="2"/>
      <c r="RKG7" s="2"/>
      <c r="RKH7" s="2"/>
      <c r="RKI7" s="2"/>
      <c r="RKJ7" s="2"/>
      <c r="RKK7" s="2"/>
      <c r="RKL7" s="2"/>
      <c r="RKM7" s="2"/>
      <c r="RKN7" s="2"/>
      <c r="RKO7" s="2"/>
      <c r="RKP7" s="2"/>
      <c r="RKQ7" s="2"/>
      <c r="RKR7" s="2"/>
      <c r="RKS7" s="2"/>
      <c r="RKT7" s="2"/>
      <c r="RKU7" s="2"/>
      <c r="RKV7" s="2"/>
      <c r="RKW7" s="2"/>
      <c r="RKX7" s="2"/>
      <c r="RKY7" s="2"/>
      <c r="RKZ7" s="2"/>
      <c r="RLA7" s="2"/>
      <c r="RLB7" s="2"/>
      <c r="RLC7" s="2"/>
      <c r="RLD7" s="2"/>
      <c r="RLE7" s="2"/>
      <c r="RLF7" s="2"/>
      <c r="RLG7" s="2"/>
      <c r="RLH7" s="2"/>
      <c r="RLI7" s="2"/>
      <c r="RLJ7" s="2"/>
      <c r="RLK7" s="2"/>
      <c r="RLL7" s="2"/>
      <c r="RLM7" s="2"/>
      <c r="RLN7" s="2"/>
      <c r="RLO7" s="2"/>
      <c r="RLP7" s="2"/>
      <c r="RLQ7" s="2"/>
      <c r="RLR7" s="2"/>
      <c r="RLS7" s="2"/>
      <c r="RLT7" s="2"/>
      <c r="RLU7" s="2"/>
      <c r="RLV7" s="2"/>
      <c r="RLW7" s="2"/>
      <c r="RLX7" s="2"/>
      <c r="RLY7" s="2"/>
      <c r="RLZ7" s="2"/>
      <c r="RMA7" s="2"/>
      <c r="RMB7" s="2"/>
      <c r="RMC7" s="2"/>
      <c r="RMD7" s="2"/>
      <c r="RME7" s="2"/>
      <c r="RMF7" s="2"/>
      <c r="RMG7" s="2"/>
      <c r="RMH7" s="2"/>
      <c r="RMI7" s="2"/>
      <c r="RMJ7" s="2"/>
      <c r="RMK7" s="2"/>
      <c r="RML7" s="2"/>
      <c r="RMM7" s="2"/>
      <c r="RMN7" s="2"/>
      <c r="RMO7" s="2"/>
      <c r="RMP7" s="2"/>
      <c r="RMQ7" s="2"/>
      <c r="RMR7" s="2"/>
      <c r="RMS7" s="2"/>
      <c r="RMT7" s="2"/>
      <c r="RMU7" s="2"/>
      <c r="RMV7" s="2"/>
      <c r="RMW7" s="2"/>
      <c r="RMX7" s="2"/>
      <c r="RMY7" s="2"/>
      <c r="RMZ7" s="2"/>
      <c r="RNA7" s="2"/>
      <c r="RNB7" s="2"/>
      <c r="RNC7" s="2"/>
      <c r="RND7" s="2"/>
      <c r="RNE7" s="2"/>
      <c r="RNF7" s="2"/>
      <c r="RNG7" s="2"/>
      <c r="RNH7" s="2"/>
      <c r="RNI7" s="2"/>
      <c r="RNJ7" s="2"/>
      <c r="RNK7" s="2"/>
      <c r="RNL7" s="2"/>
      <c r="RNM7" s="2"/>
      <c r="RNN7" s="2"/>
      <c r="RNO7" s="2"/>
      <c r="RNP7" s="2"/>
      <c r="RNQ7" s="2"/>
      <c r="RNR7" s="2"/>
      <c r="RNS7" s="2"/>
      <c r="RNT7" s="2"/>
      <c r="RNU7" s="2"/>
      <c r="RNV7" s="2"/>
      <c r="RNW7" s="2"/>
      <c r="RNX7" s="2"/>
      <c r="RNY7" s="2"/>
      <c r="RNZ7" s="2"/>
      <c r="ROA7" s="2"/>
      <c r="ROB7" s="2"/>
      <c r="ROC7" s="2"/>
      <c r="ROD7" s="2"/>
      <c r="ROE7" s="2"/>
      <c r="ROF7" s="2"/>
      <c r="ROG7" s="2"/>
      <c r="ROH7" s="2"/>
      <c r="ROI7" s="2"/>
      <c r="ROJ7" s="2"/>
      <c r="ROK7" s="2"/>
      <c r="ROL7" s="2"/>
      <c r="ROM7" s="2"/>
      <c r="RON7" s="2"/>
      <c r="ROO7" s="2"/>
      <c r="ROP7" s="2"/>
      <c r="ROQ7" s="2"/>
      <c r="ROR7" s="2"/>
      <c r="ROS7" s="2"/>
      <c r="ROT7" s="2"/>
      <c r="ROU7" s="2"/>
      <c r="ROV7" s="2"/>
      <c r="ROW7" s="2"/>
      <c r="ROX7" s="2"/>
      <c r="ROY7" s="2"/>
      <c r="ROZ7" s="2"/>
      <c r="RPA7" s="2"/>
      <c r="RPB7" s="2"/>
      <c r="RPC7" s="2"/>
      <c r="RPD7" s="2"/>
      <c r="RPE7" s="2"/>
      <c r="RPF7" s="2"/>
      <c r="RPG7" s="2"/>
      <c r="RPH7" s="2"/>
      <c r="RPI7" s="2"/>
      <c r="RPJ7" s="2"/>
      <c r="RPK7" s="2"/>
      <c r="RPL7" s="2"/>
      <c r="RPM7" s="2"/>
      <c r="RPN7" s="2"/>
      <c r="RPO7" s="2"/>
      <c r="RPP7" s="2"/>
      <c r="RPQ7" s="2"/>
      <c r="RPR7" s="2"/>
      <c r="RPS7" s="2"/>
      <c r="RPT7" s="2"/>
      <c r="RPU7" s="2"/>
      <c r="RPV7" s="2"/>
      <c r="RPW7" s="2"/>
      <c r="RPX7" s="2"/>
      <c r="RPY7" s="2"/>
      <c r="RPZ7" s="2"/>
      <c r="RQA7" s="2"/>
      <c r="RQB7" s="2"/>
      <c r="RQC7" s="2"/>
      <c r="RQD7" s="2"/>
      <c r="RQE7" s="2"/>
      <c r="RQF7" s="2"/>
      <c r="RQG7" s="2"/>
      <c r="RQH7" s="2"/>
      <c r="RQI7" s="2"/>
      <c r="RQJ7" s="2"/>
      <c r="RQK7" s="2"/>
      <c r="RQL7" s="2"/>
      <c r="RQM7" s="2"/>
      <c r="RQN7" s="2"/>
      <c r="RQO7" s="2"/>
      <c r="RQP7" s="2"/>
      <c r="RQQ7" s="2"/>
      <c r="RQR7" s="2"/>
      <c r="RQS7" s="2"/>
      <c r="RQT7" s="2"/>
      <c r="RQU7" s="2"/>
      <c r="RQV7" s="2"/>
      <c r="RQW7" s="2"/>
      <c r="RQX7" s="2"/>
      <c r="RQY7" s="2"/>
      <c r="RQZ7" s="2"/>
      <c r="RRA7" s="2"/>
      <c r="RRB7" s="2"/>
      <c r="RRC7" s="2"/>
      <c r="RRD7" s="2"/>
      <c r="RRE7" s="2"/>
      <c r="RRF7" s="2"/>
      <c r="RRG7" s="2"/>
      <c r="RRH7" s="2"/>
      <c r="RRI7" s="2"/>
      <c r="RRJ7" s="2"/>
      <c r="RRK7" s="2"/>
      <c r="RRL7" s="2"/>
      <c r="RRM7" s="2"/>
      <c r="RRN7" s="2"/>
      <c r="RRO7" s="2"/>
      <c r="RRP7" s="2"/>
      <c r="RRQ7" s="2"/>
      <c r="RRR7" s="2"/>
      <c r="RRS7" s="2"/>
      <c r="RRT7" s="2"/>
      <c r="RRU7" s="2"/>
      <c r="RRV7" s="2"/>
      <c r="RRW7" s="2"/>
      <c r="RRX7" s="2"/>
      <c r="RRY7" s="2"/>
      <c r="RRZ7" s="2"/>
      <c r="RSA7" s="2"/>
      <c r="RSB7" s="2"/>
      <c r="RSC7" s="2"/>
      <c r="RSD7" s="2"/>
      <c r="RSE7" s="2"/>
      <c r="RSF7" s="2"/>
      <c r="RSG7" s="2"/>
      <c r="RSH7" s="2"/>
      <c r="RSI7" s="2"/>
      <c r="RSJ7" s="2"/>
      <c r="RSK7" s="2"/>
      <c r="RSL7" s="2"/>
      <c r="RSM7" s="2"/>
      <c r="RSN7" s="2"/>
      <c r="RSO7" s="2"/>
      <c r="RSP7" s="2"/>
      <c r="RSQ7" s="2"/>
      <c r="RSR7" s="2"/>
      <c r="RSS7" s="2"/>
      <c r="RST7" s="2"/>
      <c r="RSU7" s="2"/>
      <c r="RSV7" s="2"/>
      <c r="RSW7" s="2"/>
      <c r="RSX7" s="2"/>
      <c r="RSY7" s="2"/>
      <c r="RSZ7" s="2"/>
      <c r="RTA7" s="2"/>
      <c r="RTB7" s="2"/>
      <c r="RTC7" s="2"/>
      <c r="RTD7" s="2"/>
      <c r="RTE7" s="2"/>
      <c r="RTF7" s="2"/>
      <c r="RTG7" s="2"/>
      <c r="RTH7" s="2"/>
      <c r="RTI7" s="2"/>
      <c r="RTJ7" s="2"/>
      <c r="RTK7" s="2"/>
      <c r="RTL7" s="2"/>
      <c r="RTM7" s="2"/>
      <c r="RTN7" s="2"/>
      <c r="RTO7" s="2"/>
      <c r="RTP7" s="2"/>
      <c r="RTQ7" s="2"/>
      <c r="RTR7" s="2"/>
      <c r="RTS7" s="2"/>
      <c r="RTT7" s="2"/>
      <c r="RTU7" s="2"/>
      <c r="RTV7" s="2"/>
      <c r="RTW7" s="2"/>
      <c r="RTX7" s="2"/>
      <c r="RTY7" s="2"/>
      <c r="RTZ7" s="2"/>
      <c r="RUA7" s="2"/>
      <c r="RUB7" s="2"/>
      <c r="RUC7" s="2"/>
      <c r="RUD7" s="2"/>
      <c r="RUE7" s="2"/>
      <c r="RUF7" s="2"/>
      <c r="RUG7" s="2"/>
      <c r="RUH7" s="2"/>
      <c r="RUI7" s="2"/>
      <c r="RUJ7" s="2"/>
      <c r="RUK7" s="2"/>
      <c r="RUL7" s="2"/>
      <c r="RUM7" s="2"/>
      <c r="RUN7" s="2"/>
      <c r="RUO7" s="2"/>
      <c r="RUP7" s="2"/>
      <c r="RUQ7" s="2"/>
      <c r="RUR7" s="2"/>
      <c r="RUS7" s="2"/>
      <c r="RUT7" s="2"/>
      <c r="RUU7" s="2"/>
      <c r="RUV7" s="2"/>
      <c r="RUW7" s="2"/>
      <c r="RUX7" s="2"/>
      <c r="RUY7" s="2"/>
      <c r="RUZ7" s="2"/>
      <c r="RVA7" s="2"/>
      <c r="RVB7" s="2"/>
      <c r="RVC7" s="2"/>
      <c r="RVD7" s="2"/>
      <c r="RVE7" s="2"/>
      <c r="RVF7" s="2"/>
      <c r="RVG7" s="2"/>
      <c r="RVH7" s="2"/>
      <c r="RVI7" s="2"/>
      <c r="RVJ7" s="2"/>
      <c r="RVK7" s="2"/>
      <c r="RVL7" s="2"/>
      <c r="RVM7" s="2"/>
      <c r="RVN7" s="2"/>
      <c r="RVO7" s="2"/>
      <c r="RVP7" s="2"/>
      <c r="RVQ7" s="2"/>
      <c r="RVR7" s="2"/>
      <c r="RVS7" s="2"/>
      <c r="RVT7" s="2"/>
      <c r="RVU7" s="2"/>
      <c r="RVV7" s="2"/>
      <c r="RVW7" s="2"/>
      <c r="RVX7" s="2"/>
      <c r="RVY7" s="2"/>
      <c r="RVZ7" s="2"/>
      <c r="RWA7" s="2"/>
      <c r="RWB7" s="2"/>
      <c r="RWC7" s="2"/>
      <c r="RWD7" s="2"/>
      <c r="RWE7" s="2"/>
      <c r="RWF7" s="2"/>
      <c r="RWG7" s="2"/>
      <c r="RWH7" s="2"/>
      <c r="RWI7" s="2"/>
      <c r="RWJ7" s="2"/>
      <c r="RWK7" s="2"/>
      <c r="RWL7" s="2"/>
      <c r="RWM7" s="2"/>
      <c r="RWN7" s="2"/>
      <c r="RWO7" s="2"/>
      <c r="RWP7" s="2"/>
      <c r="RWQ7" s="2"/>
      <c r="RWR7" s="2"/>
      <c r="RWS7" s="2"/>
      <c r="RWT7" s="2"/>
      <c r="RWU7" s="2"/>
      <c r="RWV7" s="2"/>
      <c r="RWW7" s="2"/>
      <c r="RWX7" s="2"/>
      <c r="RWY7" s="2"/>
      <c r="RWZ7" s="2"/>
      <c r="RXA7" s="2"/>
      <c r="RXB7" s="2"/>
      <c r="RXC7" s="2"/>
      <c r="RXD7" s="2"/>
      <c r="RXE7" s="2"/>
      <c r="RXF7" s="2"/>
      <c r="RXG7" s="2"/>
      <c r="RXH7" s="2"/>
      <c r="RXI7" s="2"/>
      <c r="RXJ7" s="2"/>
      <c r="RXK7" s="2"/>
      <c r="RXL7" s="2"/>
      <c r="RXM7" s="2"/>
      <c r="RXN7" s="2"/>
      <c r="RXO7" s="2"/>
      <c r="RXP7" s="2"/>
      <c r="RXQ7" s="2"/>
      <c r="RXR7" s="2"/>
      <c r="RXS7" s="2"/>
      <c r="RXT7" s="2"/>
      <c r="RXU7" s="2"/>
      <c r="RXV7" s="2"/>
      <c r="RXW7" s="2"/>
      <c r="RXX7" s="2"/>
      <c r="RXY7" s="2"/>
      <c r="RXZ7" s="2"/>
      <c r="RYA7" s="2"/>
      <c r="RYB7" s="2"/>
      <c r="RYC7" s="2"/>
      <c r="RYD7" s="2"/>
      <c r="RYE7" s="2"/>
      <c r="RYF7" s="2"/>
      <c r="RYG7" s="2"/>
      <c r="RYH7" s="2"/>
      <c r="RYI7" s="2"/>
      <c r="RYJ7" s="2"/>
      <c r="RYK7" s="2"/>
      <c r="RYL7" s="2"/>
      <c r="RYM7" s="2"/>
      <c r="RYN7" s="2"/>
      <c r="RYO7" s="2"/>
      <c r="RYP7" s="2"/>
      <c r="RYQ7" s="2"/>
      <c r="RYR7" s="2"/>
      <c r="RYS7" s="2"/>
      <c r="RYT7" s="2"/>
      <c r="RYU7" s="2"/>
      <c r="RYV7" s="2"/>
      <c r="RYW7" s="2"/>
      <c r="RYX7" s="2"/>
      <c r="RYY7" s="2"/>
      <c r="RYZ7" s="2"/>
      <c r="RZA7" s="2"/>
      <c r="RZB7" s="2"/>
      <c r="RZC7" s="2"/>
      <c r="RZD7" s="2"/>
      <c r="RZE7" s="2"/>
      <c r="RZF7" s="2"/>
      <c r="RZG7" s="2"/>
      <c r="RZH7" s="2"/>
      <c r="RZI7" s="2"/>
      <c r="RZJ7" s="2"/>
      <c r="RZK7" s="2"/>
      <c r="RZL7" s="2"/>
      <c r="RZM7" s="2"/>
      <c r="RZN7" s="2"/>
      <c r="RZO7" s="2"/>
      <c r="RZP7" s="2"/>
      <c r="RZQ7" s="2"/>
      <c r="RZR7" s="2"/>
      <c r="RZS7" s="2"/>
      <c r="RZT7" s="2"/>
      <c r="RZU7" s="2"/>
      <c r="RZV7" s="2"/>
      <c r="RZW7" s="2"/>
      <c r="RZX7" s="2"/>
      <c r="RZY7" s="2"/>
      <c r="RZZ7" s="2"/>
      <c r="SAA7" s="2"/>
      <c r="SAB7" s="2"/>
      <c r="SAC7" s="2"/>
      <c r="SAD7" s="2"/>
      <c r="SAE7" s="2"/>
      <c r="SAF7" s="2"/>
      <c r="SAG7" s="2"/>
      <c r="SAH7" s="2"/>
      <c r="SAI7" s="2"/>
      <c r="SAJ7" s="2"/>
      <c r="SAK7" s="2"/>
      <c r="SAL7" s="2"/>
      <c r="SAM7" s="2"/>
      <c r="SAN7" s="2"/>
      <c r="SAO7" s="2"/>
      <c r="SAP7" s="2"/>
      <c r="SAQ7" s="2"/>
      <c r="SAR7" s="2"/>
      <c r="SAS7" s="2"/>
      <c r="SAT7" s="2"/>
      <c r="SAU7" s="2"/>
      <c r="SAV7" s="2"/>
      <c r="SAW7" s="2"/>
      <c r="SAX7" s="2"/>
      <c r="SAY7" s="2"/>
      <c r="SAZ7" s="2"/>
      <c r="SBA7" s="2"/>
      <c r="SBB7" s="2"/>
      <c r="SBC7" s="2"/>
      <c r="SBD7" s="2"/>
      <c r="SBE7" s="2"/>
      <c r="SBF7" s="2"/>
      <c r="SBG7" s="2"/>
      <c r="SBH7" s="2"/>
      <c r="SBI7" s="2"/>
      <c r="SBJ7" s="2"/>
      <c r="SBK7" s="2"/>
      <c r="SBL7" s="2"/>
      <c r="SBM7" s="2"/>
      <c r="SBN7" s="2"/>
      <c r="SBO7" s="2"/>
      <c r="SBP7" s="2"/>
      <c r="SBQ7" s="2"/>
      <c r="SBR7" s="2"/>
      <c r="SBS7" s="2"/>
      <c r="SBT7" s="2"/>
      <c r="SBU7" s="2"/>
      <c r="SBV7" s="2"/>
      <c r="SBW7" s="2"/>
      <c r="SBX7" s="2"/>
      <c r="SBY7" s="2"/>
      <c r="SBZ7" s="2"/>
      <c r="SCA7" s="2"/>
      <c r="SCB7" s="2"/>
      <c r="SCC7" s="2"/>
      <c r="SCD7" s="2"/>
      <c r="SCE7" s="2"/>
      <c r="SCF7" s="2"/>
      <c r="SCG7" s="2"/>
      <c r="SCH7" s="2"/>
      <c r="SCI7" s="2"/>
      <c r="SCJ7" s="2"/>
      <c r="SCK7" s="2"/>
      <c r="SCL7" s="2"/>
      <c r="SCM7" s="2"/>
      <c r="SCN7" s="2"/>
      <c r="SCO7" s="2"/>
      <c r="SCP7" s="2"/>
      <c r="SCQ7" s="2"/>
      <c r="SCR7" s="2"/>
      <c r="SCS7" s="2"/>
      <c r="SCT7" s="2"/>
      <c r="SCU7" s="2"/>
      <c r="SCV7" s="2"/>
      <c r="SCW7" s="2"/>
      <c r="SCX7" s="2"/>
      <c r="SCY7" s="2"/>
      <c r="SCZ7" s="2"/>
      <c r="SDA7" s="2"/>
      <c r="SDB7" s="2"/>
      <c r="SDC7" s="2"/>
      <c r="SDD7" s="2"/>
      <c r="SDE7" s="2"/>
      <c r="SDF7" s="2"/>
      <c r="SDG7" s="2"/>
      <c r="SDH7" s="2"/>
      <c r="SDI7" s="2"/>
      <c r="SDJ7" s="2"/>
      <c r="SDK7" s="2"/>
      <c r="SDL7" s="2"/>
      <c r="SDM7" s="2"/>
      <c r="SDN7" s="2"/>
      <c r="SDO7" s="2"/>
      <c r="SDP7" s="2"/>
      <c r="SDQ7" s="2"/>
      <c r="SDR7" s="2"/>
      <c r="SDS7" s="2"/>
      <c r="SDT7" s="2"/>
      <c r="SDU7" s="2"/>
      <c r="SDV7" s="2"/>
      <c r="SDW7" s="2"/>
      <c r="SDX7" s="2"/>
      <c r="SDY7" s="2"/>
      <c r="SDZ7" s="2"/>
      <c r="SEA7" s="2"/>
      <c r="SEB7" s="2"/>
      <c r="SEC7" s="2"/>
      <c r="SED7" s="2"/>
      <c r="SEE7" s="2"/>
      <c r="SEF7" s="2"/>
      <c r="SEG7" s="2"/>
      <c r="SEH7" s="2"/>
      <c r="SEI7" s="2"/>
      <c r="SEJ7" s="2"/>
      <c r="SEK7" s="2"/>
      <c r="SEL7" s="2"/>
      <c r="SEM7" s="2"/>
      <c r="SEN7" s="2"/>
      <c r="SEO7" s="2"/>
      <c r="SEP7" s="2"/>
      <c r="SEQ7" s="2"/>
      <c r="SER7" s="2"/>
      <c r="SES7" s="2"/>
      <c r="SET7" s="2"/>
      <c r="SEU7" s="2"/>
      <c r="SEV7" s="2"/>
      <c r="SEW7" s="2"/>
      <c r="SEX7" s="2"/>
      <c r="SEY7" s="2"/>
      <c r="SEZ7" s="2"/>
      <c r="SFA7" s="2"/>
      <c r="SFB7" s="2"/>
      <c r="SFC7" s="2"/>
      <c r="SFD7" s="2"/>
      <c r="SFE7" s="2"/>
      <c r="SFF7" s="2"/>
      <c r="SFG7" s="2"/>
      <c r="SFH7" s="2"/>
      <c r="SFI7" s="2"/>
      <c r="SFJ7" s="2"/>
      <c r="SFK7" s="2"/>
      <c r="SFL7" s="2"/>
      <c r="SFM7" s="2"/>
      <c r="SFN7" s="2"/>
      <c r="SFO7" s="2"/>
      <c r="SFP7" s="2"/>
      <c r="SFQ7" s="2"/>
      <c r="SFR7" s="2"/>
      <c r="SFS7" s="2"/>
      <c r="SFT7" s="2"/>
      <c r="SFU7" s="2"/>
      <c r="SFV7" s="2"/>
      <c r="SFW7" s="2"/>
      <c r="SFX7" s="2"/>
      <c r="SFY7" s="2"/>
      <c r="SFZ7" s="2"/>
      <c r="SGA7" s="2"/>
      <c r="SGB7" s="2"/>
      <c r="SGC7" s="2"/>
      <c r="SGD7" s="2"/>
      <c r="SGE7" s="2"/>
      <c r="SGF7" s="2"/>
      <c r="SGG7" s="2"/>
      <c r="SGH7" s="2"/>
      <c r="SGI7" s="2"/>
      <c r="SGJ7" s="2"/>
      <c r="SGK7" s="2"/>
      <c r="SGL7" s="2"/>
      <c r="SGM7" s="2"/>
      <c r="SGN7" s="2"/>
      <c r="SGO7" s="2"/>
      <c r="SGP7" s="2"/>
      <c r="SGQ7" s="2"/>
      <c r="SGR7" s="2"/>
      <c r="SGS7" s="2"/>
      <c r="SGT7" s="2"/>
      <c r="SGU7" s="2"/>
      <c r="SGV7" s="2"/>
      <c r="SGW7" s="2"/>
      <c r="SGX7" s="2"/>
      <c r="SGY7" s="2"/>
      <c r="SGZ7" s="2"/>
      <c r="SHA7" s="2"/>
      <c r="SHB7" s="2"/>
      <c r="SHC7" s="2"/>
      <c r="SHD7" s="2"/>
      <c r="SHE7" s="2"/>
      <c r="SHF7" s="2"/>
      <c r="SHG7" s="2"/>
      <c r="SHH7" s="2"/>
      <c r="SHI7" s="2"/>
      <c r="SHJ7" s="2"/>
      <c r="SHK7" s="2"/>
      <c r="SHL7" s="2"/>
      <c r="SHM7" s="2"/>
      <c r="SHN7" s="2"/>
      <c r="SHO7" s="2"/>
      <c r="SHP7" s="2"/>
      <c r="SHQ7" s="2"/>
      <c r="SHR7" s="2"/>
      <c r="SHS7" s="2"/>
      <c r="SHT7" s="2"/>
      <c r="SHU7" s="2"/>
      <c r="SHV7" s="2"/>
      <c r="SHW7" s="2"/>
      <c r="SHX7" s="2"/>
      <c r="SHY7" s="2"/>
      <c r="SHZ7" s="2"/>
      <c r="SIA7" s="2"/>
      <c r="SIB7" s="2"/>
      <c r="SIC7" s="2"/>
      <c r="SID7" s="2"/>
      <c r="SIE7" s="2"/>
      <c r="SIF7" s="2"/>
      <c r="SIG7" s="2"/>
      <c r="SIH7" s="2"/>
      <c r="SII7" s="2"/>
      <c r="SIJ7" s="2"/>
      <c r="SIK7" s="2"/>
      <c r="SIL7" s="2"/>
      <c r="SIM7" s="2"/>
      <c r="SIN7" s="2"/>
      <c r="SIO7" s="2"/>
      <c r="SIP7" s="2"/>
      <c r="SIQ7" s="2"/>
      <c r="SIR7" s="2"/>
      <c r="SIS7" s="2"/>
      <c r="SIT7" s="2"/>
      <c r="SIU7" s="2"/>
      <c r="SIV7" s="2"/>
      <c r="SIW7" s="2"/>
      <c r="SIX7" s="2"/>
      <c r="SIY7" s="2"/>
      <c r="SIZ7" s="2"/>
      <c r="SJA7" s="2"/>
      <c r="SJB7" s="2"/>
      <c r="SJC7" s="2"/>
      <c r="SJD7" s="2"/>
      <c r="SJE7" s="2"/>
      <c r="SJF7" s="2"/>
      <c r="SJG7" s="2"/>
      <c r="SJH7" s="2"/>
      <c r="SJI7" s="2"/>
      <c r="SJJ7" s="2"/>
      <c r="SJK7" s="2"/>
      <c r="SJL7" s="2"/>
      <c r="SJM7" s="2"/>
      <c r="SJN7" s="2"/>
      <c r="SJO7" s="2"/>
      <c r="SJP7" s="2"/>
      <c r="SJQ7" s="2"/>
      <c r="SJR7" s="2"/>
      <c r="SJS7" s="2"/>
      <c r="SJT7" s="2"/>
      <c r="SJU7" s="2"/>
      <c r="SJV7" s="2"/>
      <c r="SJW7" s="2"/>
      <c r="SJX7" s="2"/>
      <c r="SJY7" s="2"/>
      <c r="SJZ7" s="2"/>
      <c r="SKA7" s="2"/>
      <c r="SKB7" s="2"/>
      <c r="SKC7" s="2"/>
      <c r="SKD7" s="2"/>
      <c r="SKE7" s="2"/>
      <c r="SKF7" s="2"/>
      <c r="SKG7" s="2"/>
      <c r="SKH7" s="2"/>
      <c r="SKI7" s="2"/>
      <c r="SKJ7" s="2"/>
      <c r="SKK7" s="2"/>
      <c r="SKL7" s="2"/>
      <c r="SKM7" s="2"/>
      <c r="SKN7" s="2"/>
      <c r="SKO7" s="2"/>
      <c r="SKP7" s="2"/>
      <c r="SKQ7" s="2"/>
      <c r="SKR7" s="2"/>
      <c r="SKS7" s="2"/>
      <c r="SKT7" s="2"/>
      <c r="SKU7" s="2"/>
      <c r="SKV7" s="2"/>
      <c r="SKW7" s="2"/>
      <c r="SKX7" s="2"/>
      <c r="SKY7" s="2"/>
      <c r="SKZ7" s="2"/>
      <c r="SLA7" s="2"/>
      <c r="SLB7" s="2"/>
      <c r="SLC7" s="2"/>
      <c r="SLD7" s="2"/>
      <c r="SLE7" s="2"/>
      <c r="SLF7" s="2"/>
      <c r="SLG7" s="2"/>
      <c r="SLH7" s="2"/>
      <c r="SLI7" s="2"/>
      <c r="SLJ7" s="2"/>
      <c r="SLK7" s="2"/>
      <c r="SLL7" s="2"/>
      <c r="SLM7" s="2"/>
      <c r="SLN7" s="2"/>
      <c r="SLO7" s="2"/>
      <c r="SLP7" s="2"/>
      <c r="SLQ7" s="2"/>
      <c r="SLR7" s="2"/>
      <c r="SLS7" s="2"/>
      <c r="SLT7" s="2"/>
      <c r="SLU7" s="2"/>
      <c r="SLV7" s="2"/>
      <c r="SLW7" s="2"/>
      <c r="SLX7" s="2"/>
      <c r="SLY7" s="2"/>
      <c r="SLZ7" s="2"/>
      <c r="SMA7" s="2"/>
      <c r="SMB7" s="2"/>
      <c r="SMC7" s="2"/>
      <c r="SMD7" s="2"/>
      <c r="SME7" s="2"/>
      <c r="SMF7" s="2"/>
      <c r="SMG7" s="2"/>
      <c r="SMH7" s="2"/>
      <c r="SMI7" s="2"/>
      <c r="SMJ7" s="2"/>
      <c r="SMK7" s="2"/>
      <c r="SML7" s="2"/>
      <c r="SMM7" s="2"/>
      <c r="SMN7" s="2"/>
      <c r="SMO7" s="2"/>
      <c r="SMP7" s="2"/>
      <c r="SMQ7" s="2"/>
      <c r="SMR7" s="2"/>
      <c r="SMS7" s="2"/>
      <c r="SMT7" s="2"/>
      <c r="SMU7" s="2"/>
      <c r="SMV7" s="2"/>
      <c r="SMW7" s="2"/>
      <c r="SMX7" s="2"/>
      <c r="SMY7" s="2"/>
      <c r="SMZ7" s="2"/>
      <c r="SNA7" s="2"/>
      <c r="SNB7" s="2"/>
      <c r="SNC7" s="2"/>
      <c r="SND7" s="2"/>
      <c r="SNE7" s="2"/>
      <c r="SNF7" s="2"/>
      <c r="SNG7" s="2"/>
      <c r="SNH7" s="2"/>
      <c r="SNI7" s="2"/>
      <c r="SNJ7" s="2"/>
      <c r="SNK7" s="2"/>
      <c r="SNL7" s="2"/>
      <c r="SNM7" s="2"/>
      <c r="SNN7" s="2"/>
      <c r="SNO7" s="2"/>
      <c r="SNP7" s="2"/>
      <c r="SNQ7" s="2"/>
      <c r="SNR7" s="2"/>
      <c r="SNS7" s="2"/>
      <c r="SNT7" s="2"/>
      <c r="SNU7" s="2"/>
      <c r="SNV7" s="2"/>
      <c r="SNW7" s="2"/>
      <c r="SNX7" s="2"/>
      <c r="SNY7" s="2"/>
      <c r="SNZ7" s="2"/>
      <c r="SOA7" s="2"/>
      <c r="SOB7" s="2"/>
      <c r="SOC7" s="2"/>
      <c r="SOD7" s="2"/>
      <c r="SOE7" s="2"/>
      <c r="SOF7" s="2"/>
      <c r="SOG7" s="2"/>
      <c r="SOH7" s="2"/>
      <c r="SOI7" s="2"/>
      <c r="SOJ7" s="2"/>
      <c r="SOK7" s="2"/>
      <c r="SOL7" s="2"/>
      <c r="SOM7" s="2"/>
      <c r="SON7" s="2"/>
      <c r="SOO7" s="2"/>
      <c r="SOP7" s="2"/>
      <c r="SOQ7" s="2"/>
      <c r="SOR7" s="2"/>
      <c r="SOS7" s="2"/>
      <c r="SOT7" s="2"/>
      <c r="SOU7" s="2"/>
      <c r="SOV7" s="2"/>
      <c r="SOW7" s="2"/>
      <c r="SOX7" s="2"/>
      <c r="SOY7" s="2"/>
      <c r="SOZ7" s="2"/>
      <c r="SPA7" s="2"/>
      <c r="SPB7" s="2"/>
      <c r="SPC7" s="2"/>
      <c r="SPD7" s="2"/>
      <c r="SPE7" s="2"/>
      <c r="SPF7" s="2"/>
      <c r="SPG7" s="2"/>
      <c r="SPH7" s="2"/>
      <c r="SPI7" s="2"/>
      <c r="SPJ7" s="2"/>
      <c r="SPK7" s="2"/>
      <c r="SPL7" s="2"/>
      <c r="SPM7" s="2"/>
      <c r="SPN7" s="2"/>
      <c r="SPO7" s="2"/>
      <c r="SPP7" s="2"/>
      <c r="SPQ7" s="2"/>
      <c r="SPR7" s="2"/>
      <c r="SPS7" s="2"/>
      <c r="SPT7" s="2"/>
      <c r="SPU7" s="2"/>
      <c r="SPV7" s="2"/>
      <c r="SPW7" s="2"/>
      <c r="SPX7" s="2"/>
      <c r="SPY7" s="2"/>
      <c r="SPZ7" s="2"/>
      <c r="SQA7" s="2"/>
      <c r="SQB7" s="2"/>
      <c r="SQC7" s="2"/>
      <c r="SQD7" s="2"/>
      <c r="SQE7" s="2"/>
      <c r="SQF7" s="2"/>
      <c r="SQG7" s="2"/>
      <c r="SQH7" s="2"/>
      <c r="SQI7" s="2"/>
      <c r="SQJ7" s="2"/>
      <c r="SQK7" s="2"/>
      <c r="SQL7" s="2"/>
      <c r="SQM7" s="2"/>
      <c r="SQN7" s="2"/>
      <c r="SQO7" s="2"/>
      <c r="SQP7" s="2"/>
      <c r="SQQ7" s="2"/>
      <c r="SQR7" s="2"/>
      <c r="SQS7" s="2"/>
      <c r="SQT7" s="2"/>
      <c r="SQU7" s="2"/>
      <c r="SQV7" s="2"/>
      <c r="SQW7" s="2"/>
      <c r="SQX7" s="2"/>
      <c r="SQY7" s="2"/>
      <c r="SQZ7" s="2"/>
      <c r="SRA7" s="2"/>
      <c r="SRB7" s="2"/>
      <c r="SRC7" s="2"/>
      <c r="SRD7" s="2"/>
      <c r="SRE7" s="2"/>
      <c r="SRF7" s="2"/>
      <c r="SRG7" s="2"/>
      <c r="SRH7" s="2"/>
      <c r="SRI7" s="2"/>
      <c r="SRJ7" s="2"/>
      <c r="SRK7" s="2"/>
      <c r="SRL7" s="2"/>
      <c r="SRM7" s="2"/>
      <c r="SRN7" s="2"/>
      <c r="SRO7" s="2"/>
      <c r="SRP7" s="2"/>
      <c r="SRQ7" s="2"/>
      <c r="SRR7" s="2"/>
      <c r="SRS7" s="2"/>
      <c r="SRT7" s="2"/>
      <c r="SRU7" s="2"/>
      <c r="SRV7" s="2"/>
      <c r="SRW7" s="2"/>
      <c r="SRX7" s="2"/>
      <c r="SRY7" s="2"/>
      <c r="SRZ7" s="2"/>
      <c r="SSA7" s="2"/>
      <c r="SSB7" s="2"/>
      <c r="SSC7" s="2"/>
      <c r="SSD7" s="2"/>
      <c r="SSE7" s="2"/>
      <c r="SSF7" s="2"/>
      <c r="SSG7" s="2"/>
      <c r="SSH7" s="2"/>
      <c r="SSI7" s="2"/>
      <c r="SSJ7" s="2"/>
      <c r="SSK7" s="2"/>
      <c r="SSL7" s="2"/>
      <c r="SSM7" s="2"/>
      <c r="SSN7" s="2"/>
      <c r="SSO7" s="2"/>
      <c r="SSP7" s="2"/>
      <c r="SSQ7" s="2"/>
      <c r="SSR7" s="2"/>
      <c r="SSS7" s="2"/>
      <c r="SST7" s="2"/>
      <c r="SSU7" s="2"/>
      <c r="SSV7" s="2"/>
      <c r="SSW7" s="2"/>
      <c r="SSX7" s="2"/>
      <c r="SSY7" s="2"/>
      <c r="SSZ7" s="2"/>
      <c r="STA7" s="2"/>
      <c r="STB7" s="2"/>
      <c r="STC7" s="2"/>
      <c r="STD7" s="2"/>
      <c r="STE7" s="2"/>
      <c r="STF7" s="2"/>
      <c r="STG7" s="2"/>
      <c r="STH7" s="2"/>
      <c r="STI7" s="2"/>
      <c r="STJ7" s="2"/>
      <c r="STK7" s="2"/>
      <c r="STL7" s="2"/>
      <c r="STM7" s="2"/>
      <c r="STN7" s="2"/>
      <c r="STO7" s="2"/>
      <c r="STP7" s="2"/>
      <c r="STQ7" s="2"/>
      <c r="STR7" s="2"/>
      <c r="STS7" s="2"/>
      <c r="STT7" s="2"/>
      <c r="STU7" s="2"/>
      <c r="STV7" s="2"/>
      <c r="STW7" s="2"/>
      <c r="STX7" s="2"/>
      <c r="STY7" s="2"/>
      <c r="STZ7" s="2"/>
      <c r="SUA7" s="2"/>
      <c r="SUB7" s="2"/>
      <c r="SUC7" s="2"/>
      <c r="SUD7" s="2"/>
      <c r="SUE7" s="2"/>
      <c r="SUF7" s="2"/>
      <c r="SUG7" s="2"/>
      <c r="SUH7" s="2"/>
      <c r="SUI7" s="2"/>
      <c r="SUJ7" s="2"/>
      <c r="SUK7" s="2"/>
      <c r="SUL7" s="2"/>
      <c r="SUM7" s="2"/>
      <c r="SUN7" s="2"/>
      <c r="SUO7" s="2"/>
      <c r="SUP7" s="2"/>
      <c r="SUQ7" s="2"/>
      <c r="SUR7" s="2"/>
      <c r="SUS7" s="2"/>
      <c r="SUT7" s="2"/>
      <c r="SUU7" s="2"/>
      <c r="SUV7" s="2"/>
      <c r="SUW7" s="2"/>
      <c r="SUX7" s="2"/>
      <c r="SUY7" s="2"/>
      <c r="SUZ7" s="2"/>
      <c r="SVA7" s="2"/>
      <c r="SVB7" s="2"/>
      <c r="SVC7" s="2"/>
      <c r="SVD7" s="2"/>
      <c r="SVE7" s="2"/>
      <c r="SVF7" s="2"/>
      <c r="SVG7" s="2"/>
      <c r="SVH7" s="2"/>
      <c r="SVI7" s="2"/>
      <c r="SVJ7" s="2"/>
      <c r="SVK7" s="2"/>
      <c r="SVL7" s="2"/>
      <c r="SVM7" s="2"/>
      <c r="SVN7" s="2"/>
      <c r="SVO7" s="2"/>
      <c r="SVP7" s="2"/>
      <c r="SVQ7" s="2"/>
      <c r="SVR7" s="2"/>
      <c r="SVS7" s="2"/>
      <c r="SVT7" s="2"/>
      <c r="SVU7" s="2"/>
      <c r="SVV7" s="2"/>
      <c r="SVW7" s="2"/>
      <c r="SVX7" s="2"/>
      <c r="SVY7" s="2"/>
      <c r="SVZ7" s="2"/>
      <c r="SWA7" s="2"/>
      <c r="SWB7" s="2"/>
      <c r="SWC7" s="2"/>
      <c r="SWD7" s="2"/>
      <c r="SWE7" s="2"/>
      <c r="SWF7" s="2"/>
      <c r="SWG7" s="2"/>
      <c r="SWH7" s="2"/>
      <c r="SWI7" s="2"/>
      <c r="SWJ7" s="2"/>
      <c r="SWK7" s="2"/>
      <c r="SWL7" s="2"/>
      <c r="SWM7" s="2"/>
      <c r="SWN7" s="2"/>
      <c r="SWO7" s="2"/>
      <c r="SWP7" s="2"/>
      <c r="SWQ7" s="2"/>
      <c r="SWR7" s="2"/>
      <c r="SWS7" s="2"/>
      <c r="SWT7" s="2"/>
      <c r="SWU7" s="2"/>
      <c r="SWV7" s="2"/>
      <c r="SWW7" s="2"/>
      <c r="SWX7" s="2"/>
      <c r="SWY7" s="2"/>
      <c r="SWZ7" s="2"/>
      <c r="SXA7" s="2"/>
      <c r="SXB7" s="2"/>
      <c r="SXC7" s="2"/>
      <c r="SXD7" s="2"/>
      <c r="SXE7" s="2"/>
      <c r="SXF7" s="2"/>
      <c r="SXG7" s="2"/>
      <c r="SXH7" s="2"/>
      <c r="SXI7" s="2"/>
      <c r="SXJ7" s="2"/>
      <c r="SXK7" s="2"/>
      <c r="SXL7" s="2"/>
      <c r="SXM7" s="2"/>
      <c r="SXN7" s="2"/>
      <c r="SXO7" s="2"/>
      <c r="SXP7" s="2"/>
      <c r="SXQ7" s="2"/>
      <c r="SXR7" s="2"/>
      <c r="SXS7" s="2"/>
      <c r="SXT7" s="2"/>
      <c r="SXU7" s="2"/>
      <c r="SXV7" s="2"/>
      <c r="SXW7" s="2"/>
      <c r="SXX7" s="2"/>
      <c r="SXY7" s="2"/>
      <c r="SXZ7" s="2"/>
      <c r="SYA7" s="2"/>
      <c r="SYB7" s="2"/>
      <c r="SYC7" s="2"/>
      <c r="SYD7" s="2"/>
      <c r="SYE7" s="2"/>
      <c r="SYF7" s="2"/>
      <c r="SYG7" s="2"/>
      <c r="SYH7" s="2"/>
      <c r="SYI7" s="2"/>
      <c r="SYJ7" s="2"/>
      <c r="SYK7" s="2"/>
      <c r="SYL7" s="2"/>
      <c r="SYM7" s="2"/>
      <c r="SYN7" s="2"/>
      <c r="SYO7" s="2"/>
      <c r="SYP7" s="2"/>
      <c r="SYQ7" s="2"/>
      <c r="SYR7" s="2"/>
      <c r="SYS7" s="2"/>
      <c r="SYT7" s="2"/>
      <c r="SYU7" s="2"/>
      <c r="SYV7" s="2"/>
      <c r="SYW7" s="2"/>
      <c r="SYX7" s="2"/>
      <c r="SYY7" s="2"/>
      <c r="SYZ7" s="2"/>
      <c r="SZA7" s="2"/>
      <c r="SZB7" s="2"/>
      <c r="SZC7" s="2"/>
      <c r="SZD7" s="2"/>
      <c r="SZE7" s="2"/>
      <c r="SZF7" s="2"/>
      <c r="SZG7" s="2"/>
      <c r="SZH7" s="2"/>
      <c r="SZI7" s="2"/>
      <c r="SZJ7" s="2"/>
      <c r="SZK7" s="2"/>
      <c r="SZL7" s="2"/>
      <c r="SZM7" s="2"/>
      <c r="SZN7" s="2"/>
      <c r="SZO7" s="2"/>
      <c r="SZP7" s="2"/>
      <c r="SZQ7" s="2"/>
      <c r="SZR7" s="2"/>
      <c r="SZS7" s="2"/>
      <c r="SZT7" s="2"/>
      <c r="SZU7" s="2"/>
      <c r="SZV7" s="2"/>
      <c r="SZW7" s="2"/>
      <c r="SZX7" s="2"/>
      <c r="SZY7" s="2"/>
      <c r="SZZ7" s="2"/>
      <c r="TAA7" s="2"/>
      <c r="TAB7" s="2"/>
      <c r="TAC7" s="2"/>
      <c r="TAD7" s="2"/>
      <c r="TAE7" s="2"/>
      <c r="TAF7" s="2"/>
      <c r="TAG7" s="2"/>
      <c r="TAH7" s="2"/>
      <c r="TAI7" s="2"/>
      <c r="TAJ7" s="2"/>
      <c r="TAK7" s="2"/>
      <c r="TAL7" s="2"/>
      <c r="TAM7" s="2"/>
      <c r="TAN7" s="2"/>
      <c r="TAO7" s="2"/>
      <c r="TAP7" s="2"/>
      <c r="TAQ7" s="2"/>
      <c r="TAR7" s="2"/>
      <c r="TAS7" s="2"/>
      <c r="TAT7" s="2"/>
      <c r="TAU7" s="2"/>
      <c r="TAV7" s="2"/>
      <c r="TAW7" s="2"/>
      <c r="TAX7" s="2"/>
      <c r="TAY7" s="2"/>
      <c r="TAZ7" s="2"/>
      <c r="TBA7" s="2"/>
      <c r="TBB7" s="2"/>
      <c r="TBC7" s="2"/>
      <c r="TBD7" s="2"/>
      <c r="TBE7" s="2"/>
      <c r="TBF7" s="2"/>
      <c r="TBG7" s="2"/>
      <c r="TBH7" s="2"/>
      <c r="TBI7" s="2"/>
      <c r="TBJ7" s="2"/>
      <c r="TBK7" s="2"/>
      <c r="TBL7" s="2"/>
      <c r="TBM7" s="2"/>
      <c r="TBN7" s="2"/>
      <c r="TBO7" s="2"/>
      <c r="TBP7" s="2"/>
      <c r="TBQ7" s="2"/>
      <c r="TBR7" s="2"/>
      <c r="TBS7" s="2"/>
      <c r="TBT7" s="2"/>
      <c r="TBU7" s="2"/>
      <c r="TBV7" s="2"/>
      <c r="TBW7" s="2"/>
      <c r="TBX7" s="2"/>
      <c r="TBY7" s="2"/>
      <c r="TBZ7" s="2"/>
      <c r="TCA7" s="2"/>
      <c r="TCB7" s="2"/>
      <c r="TCC7" s="2"/>
      <c r="TCD7" s="2"/>
      <c r="TCE7" s="2"/>
      <c r="TCF7" s="2"/>
      <c r="TCG7" s="2"/>
      <c r="TCH7" s="2"/>
      <c r="TCI7" s="2"/>
      <c r="TCJ7" s="2"/>
      <c r="TCK7" s="2"/>
      <c r="TCL7" s="2"/>
      <c r="TCM7" s="2"/>
      <c r="TCN7" s="2"/>
      <c r="TCO7" s="2"/>
      <c r="TCP7" s="2"/>
      <c r="TCQ7" s="2"/>
      <c r="TCR7" s="2"/>
      <c r="TCS7" s="2"/>
      <c r="TCT7" s="2"/>
      <c r="TCU7" s="2"/>
      <c r="TCV7" s="2"/>
      <c r="TCW7" s="2"/>
      <c r="TCX7" s="2"/>
      <c r="TCY7" s="2"/>
      <c r="TCZ7" s="2"/>
      <c r="TDA7" s="2"/>
      <c r="TDB7" s="2"/>
      <c r="TDC7" s="2"/>
      <c r="TDD7" s="2"/>
      <c r="TDE7" s="2"/>
      <c r="TDF7" s="2"/>
      <c r="TDG7" s="2"/>
      <c r="TDH7" s="2"/>
      <c r="TDI7" s="2"/>
      <c r="TDJ7" s="2"/>
      <c r="TDK7" s="2"/>
      <c r="TDL7" s="2"/>
      <c r="TDM7" s="2"/>
      <c r="TDN7" s="2"/>
      <c r="TDO7" s="2"/>
      <c r="TDP7" s="2"/>
      <c r="TDQ7" s="2"/>
      <c r="TDR7" s="2"/>
      <c r="TDS7" s="2"/>
      <c r="TDT7" s="2"/>
      <c r="TDU7" s="2"/>
      <c r="TDV7" s="2"/>
      <c r="TDW7" s="2"/>
      <c r="TDX7" s="2"/>
      <c r="TDY7" s="2"/>
      <c r="TDZ7" s="2"/>
      <c r="TEA7" s="2"/>
      <c r="TEB7" s="2"/>
      <c r="TEC7" s="2"/>
      <c r="TED7" s="2"/>
      <c r="TEE7" s="2"/>
      <c r="TEF7" s="2"/>
      <c r="TEG7" s="2"/>
      <c r="TEH7" s="2"/>
      <c r="TEI7" s="2"/>
      <c r="TEJ7" s="2"/>
      <c r="TEK7" s="2"/>
      <c r="TEL7" s="2"/>
      <c r="TEM7" s="2"/>
      <c r="TEN7" s="2"/>
      <c r="TEO7" s="2"/>
      <c r="TEP7" s="2"/>
      <c r="TEQ7" s="2"/>
      <c r="TER7" s="2"/>
      <c r="TES7" s="2"/>
      <c r="TET7" s="2"/>
      <c r="TEU7" s="2"/>
      <c r="TEV7" s="2"/>
      <c r="TEW7" s="2"/>
      <c r="TEX7" s="2"/>
      <c r="TEY7" s="2"/>
      <c r="TEZ7" s="2"/>
      <c r="TFA7" s="2"/>
      <c r="TFB7" s="2"/>
      <c r="TFC7" s="2"/>
      <c r="TFD7" s="2"/>
      <c r="TFE7" s="2"/>
      <c r="TFF7" s="2"/>
      <c r="TFG7" s="2"/>
      <c r="TFH7" s="2"/>
      <c r="TFI7" s="2"/>
      <c r="TFJ7" s="2"/>
      <c r="TFK7" s="2"/>
      <c r="TFL7" s="2"/>
      <c r="TFM7" s="2"/>
      <c r="TFN7" s="2"/>
      <c r="TFO7" s="2"/>
      <c r="TFP7" s="2"/>
      <c r="TFQ7" s="2"/>
      <c r="TFR7" s="2"/>
      <c r="TFS7" s="2"/>
      <c r="TFT7" s="2"/>
      <c r="TFU7" s="2"/>
      <c r="TFV7" s="2"/>
      <c r="TFW7" s="2"/>
      <c r="TFX7" s="2"/>
      <c r="TFY7" s="2"/>
      <c r="TFZ7" s="2"/>
      <c r="TGA7" s="2"/>
      <c r="TGB7" s="2"/>
      <c r="TGC7" s="2"/>
      <c r="TGD7" s="2"/>
      <c r="TGE7" s="2"/>
      <c r="TGF7" s="2"/>
      <c r="TGG7" s="2"/>
      <c r="TGH7" s="2"/>
      <c r="TGI7" s="2"/>
      <c r="TGJ7" s="2"/>
      <c r="TGK7" s="2"/>
      <c r="TGL7" s="2"/>
      <c r="TGM7" s="2"/>
      <c r="TGN7" s="2"/>
      <c r="TGO7" s="2"/>
      <c r="TGP7" s="2"/>
      <c r="TGQ7" s="2"/>
      <c r="TGR7" s="2"/>
      <c r="TGS7" s="2"/>
      <c r="TGT7" s="2"/>
      <c r="TGU7" s="2"/>
      <c r="TGV7" s="2"/>
      <c r="TGW7" s="2"/>
      <c r="TGX7" s="2"/>
      <c r="TGY7" s="2"/>
      <c r="TGZ7" s="2"/>
      <c r="THA7" s="2"/>
      <c r="THB7" s="2"/>
      <c r="THC7" s="2"/>
      <c r="THD7" s="2"/>
      <c r="THE7" s="2"/>
      <c r="THF7" s="2"/>
      <c r="THG7" s="2"/>
      <c r="THH7" s="2"/>
      <c r="THI7" s="2"/>
      <c r="THJ7" s="2"/>
      <c r="THK7" s="2"/>
      <c r="THL7" s="2"/>
      <c r="THM7" s="2"/>
      <c r="THN7" s="2"/>
      <c r="THO7" s="2"/>
      <c r="THP7" s="2"/>
      <c r="THQ7" s="2"/>
      <c r="THR7" s="2"/>
      <c r="THS7" s="2"/>
      <c r="THT7" s="2"/>
      <c r="THU7" s="2"/>
      <c r="THV7" s="2"/>
      <c r="THW7" s="2"/>
      <c r="THX7" s="2"/>
      <c r="THY7" s="2"/>
      <c r="THZ7" s="2"/>
      <c r="TIA7" s="2"/>
      <c r="TIB7" s="2"/>
      <c r="TIC7" s="2"/>
      <c r="TID7" s="2"/>
      <c r="TIE7" s="2"/>
      <c r="TIF7" s="2"/>
      <c r="TIG7" s="2"/>
      <c r="TIH7" s="2"/>
      <c r="TII7" s="2"/>
      <c r="TIJ7" s="2"/>
      <c r="TIK7" s="2"/>
      <c r="TIL7" s="2"/>
      <c r="TIM7" s="2"/>
      <c r="TIN7" s="2"/>
      <c r="TIO7" s="2"/>
      <c r="TIP7" s="2"/>
      <c r="TIQ7" s="2"/>
      <c r="TIR7" s="2"/>
      <c r="TIS7" s="2"/>
      <c r="TIT7" s="2"/>
      <c r="TIU7" s="2"/>
      <c r="TIV7" s="2"/>
      <c r="TIW7" s="2"/>
      <c r="TIX7" s="2"/>
      <c r="TIY7" s="2"/>
      <c r="TIZ7" s="2"/>
      <c r="TJA7" s="2"/>
      <c r="TJB7" s="2"/>
      <c r="TJC7" s="2"/>
      <c r="TJD7" s="2"/>
      <c r="TJE7" s="2"/>
      <c r="TJF7" s="2"/>
      <c r="TJG7" s="2"/>
      <c r="TJH7" s="2"/>
      <c r="TJI7" s="2"/>
      <c r="TJJ7" s="2"/>
      <c r="TJK7" s="2"/>
      <c r="TJL7" s="2"/>
      <c r="TJM7" s="2"/>
      <c r="TJN7" s="2"/>
      <c r="TJO7" s="2"/>
      <c r="TJP7" s="2"/>
      <c r="TJQ7" s="2"/>
      <c r="TJR7" s="2"/>
      <c r="TJS7" s="2"/>
      <c r="TJT7" s="2"/>
      <c r="TJU7" s="2"/>
      <c r="TJV7" s="2"/>
      <c r="TJW7" s="2"/>
      <c r="TJX7" s="2"/>
      <c r="TJY7" s="2"/>
      <c r="TJZ7" s="2"/>
      <c r="TKA7" s="2"/>
      <c r="TKB7" s="2"/>
      <c r="TKC7" s="2"/>
      <c r="TKD7" s="2"/>
      <c r="TKE7" s="2"/>
      <c r="TKF7" s="2"/>
      <c r="TKG7" s="2"/>
      <c r="TKH7" s="2"/>
      <c r="TKI7" s="2"/>
      <c r="TKJ7" s="2"/>
      <c r="TKK7" s="2"/>
      <c r="TKL7" s="2"/>
      <c r="TKM7" s="2"/>
      <c r="TKN7" s="2"/>
      <c r="TKO7" s="2"/>
      <c r="TKP7" s="2"/>
      <c r="TKQ7" s="2"/>
      <c r="TKR7" s="2"/>
      <c r="TKS7" s="2"/>
      <c r="TKT7" s="2"/>
      <c r="TKU7" s="2"/>
      <c r="TKV7" s="2"/>
      <c r="TKW7" s="2"/>
      <c r="TKX7" s="2"/>
      <c r="TKY7" s="2"/>
      <c r="TKZ7" s="2"/>
      <c r="TLA7" s="2"/>
      <c r="TLB7" s="2"/>
      <c r="TLC7" s="2"/>
      <c r="TLD7" s="2"/>
      <c r="TLE7" s="2"/>
      <c r="TLF7" s="2"/>
      <c r="TLG7" s="2"/>
      <c r="TLH7" s="2"/>
      <c r="TLI7" s="2"/>
      <c r="TLJ7" s="2"/>
      <c r="TLK7" s="2"/>
      <c r="TLL7" s="2"/>
      <c r="TLM7" s="2"/>
      <c r="TLN7" s="2"/>
      <c r="TLO7" s="2"/>
      <c r="TLP7" s="2"/>
      <c r="TLQ7" s="2"/>
      <c r="TLR7" s="2"/>
      <c r="TLS7" s="2"/>
      <c r="TLT7" s="2"/>
      <c r="TLU7" s="2"/>
      <c r="TLV7" s="2"/>
      <c r="TLW7" s="2"/>
      <c r="TLX7" s="2"/>
      <c r="TLY7" s="2"/>
      <c r="TLZ7" s="2"/>
      <c r="TMA7" s="2"/>
      <c r="TMB7" s="2"/>
      <c r="TMC7" s="2"/>
      <c r="TMD7" s="2"/>
      <c r="TME7" s="2"/>
      <c r="TMF7" s="2"/>
      <c r="TMG7" s="2"/>
      <c r="TMH7" s="2"/>
      <c r="TMI7" s="2"/>
      <c r="TMJ7" s="2"/>
      <c r="TMK7" s="2"/>
      <c r="TML7" s="2"/>
      <c r="TMM7" s="2"/>
      <c r="TMN7" s="2"/>
      <c r="TMO7" s="2"/>
      <c r="TMP7" s="2"/>
      <c r="TMQ7" s="2"/>
      <c r="TMR7" s="2"/>
      <c r="TMS7" s="2"/>
      <c r="TMT7" s="2"/>
      <c r="TMU7" s="2"/>
      <c r="TMV7" s="2"/>
      <c r="TMW7" s="2"/>
      <c r="TMX7" s="2"/>
      <c r="TMY7" s="2"/>
      <c r="TMZ7" s="2"/>
      <c r="TNA7" s="2"/>
      <c r="TNB7" s="2"/>
      <c r="TNC7" s="2"/>
      <c r="TND7" s="2"/>
      <c r="TNE7" s="2"/>
      <c r="TNF7" s="2"/>
      <c r="TNG7" s="2"/>
      <c r="TNH7" s="2"/>
      <c r="TNI7" s="2"/>
      <c r="TNJ7" s="2"/>
      <c r="TNK7" s="2"/>
      <c r="TNL7" s="2"/>
      <c r="TNM7" s="2"/>
      <c r="TNN7" s="2"/>
      <c r="TNO7" s="2"/>
      <c r="TNP7" s="2"/>
      <c r="TNQ7" s="2"/>
      <c r="TNR7" s="2"/>
      <c r="TNS7" s="2"/>
      <c r="TNT7" s="2"/>
      <c r="TNU7" s="2"/>
      <c r="TNV7" s="2"/>
      <c r="TNW7" s="2"/>
      <c r="TNX7" s="2"/>
      <c r="TNY7" s="2"/>
      <c r="TNZ7" s="2"/>
      <c r="TOA7" s="2"/>
      <c r="TOB7" s="2"/>
      <c r="TOC7" s="2"/>
      <c r="TOD7" s="2"/>
      <c r="TOE7" s="2"/>
      <c r="TOF7" s="2"/>
      <c r="TOG7" s="2"/>
      <c r="TOH7" s="2"/>
      <c r="TOI7" s="2"/>
      <c r="TOJ7" s="2"/>
      <c r="TOK7" s="2"/>
      <c r="TOL7" s="2"/>
      <c r="TOM7" s="2"/>
      <c r="TON7" s="2"/>
      <c r="TOO7" s="2"/>
      <c r="TOP7" s="2"/>
      <c r="TOQ7" s="2"/>
      <c r="TOR7" s="2"/>
      <c r="TOS7" s="2"/>
      <c r="TOT7" s="2"/>
      <c r="TOU7" s="2"/>
      <c r="TOV7" s="2"/>
      <c r="TOW7" s="2"/>
      <c r="TOX7" s="2"/>
      <c r="TOY7" s="2"/>
      <c r="TOZ7" s="2"/>
      <c r="TPA7" s="2"/>
      <c r="TPB7" s="2"/>
      <c r="TPC7" s="2"/>
      <c r="TPD7" s="2"/>
      <c r="TPE7" s="2"/>
      <c r="TPF7" s="2"/>
      <c r="TPG7" s="2"/>
      <c r="TPH7" s="2"/>
      <c r="TPI7" s="2"/>
      <c r="TPJ7" s="2"/>
      <c r="TPK7" s="2"/>
      <c r="TPL7" s="2"/>
      <c r="TPM7" s="2"/>
      <c r="TPN7" s="2"/>
      <c r="TPO7" s="2"/>
      <c r="TPP7" s="2"/>
      <c r="TPQ7" s="2"/>
      <c r="TPR7" s="2"/>
      <c r="TPS7" s="2"/>
      <c r="TPT7" s="2"/>
      <c r="TPU7" s="2"/>
      <c r="TPV7" s="2"/>
      <c r="TPW7" s="2"/>
      <c r="TPX7" s="2"/>
      <c r="TPY7" s="2"/>
      <c r="TPZ7" s="2"/>
      <c r="TQA7" s="2"/>
      <c r="TQB7" s="2"/>
      <c r="TQC7" s="2"/>
      <c r="TQD7" s="2"/>
      <c r="TQE7" s="2"/>
      <c r="TQF7" s="2"/>
      <c r="TQG7" s="2"/>
      <c r="TQH7" s="2"/>
      <c r="TQI7" s="2"/>
      <c r="TQJ7" s="2"/>
      <c r="TQK7" s="2"/>
      <c r="TQL7" s="2"/>
      <c r="TQM7" s="2"/>
      <c r="TQN7" s="2"/>
      <c r="TQO7" s="2"/>
      <c r="TQP7" s="2"/>
      <c r="TQQ7" s="2"/>
      <c r="TQR7" s="2"/>
      <c r="TQS7" s="2"/>
      <c r="TQT7" s="2"/>
      <c r="TQU7" s="2"/>
      <c r="TQV7" s="2"/>
      <c r="TQW7" s="2"/>
      <c r="TQX7" s="2"/>
      <c r="TQY7" s="2"/>
      <c r="TQZ7" s="2"/>
      <c r="TRA7" s="2"/>
      <c r="TRB7" s="2"/>
      <c r="TRC7" s="2"/>
      <c r="TRD7" s="2"/>
      <c r="TRE7" s="2"/>
      <c r="TRF7" s="2"/>
      <c r="TRG7" s="2"/>
      <c r="TRH7" s="2"/>
      <c r="TRI7" s="2"/>
      <c r="TRJ7" s="2"/>
      <c r="TRK7" s="2"/>
      <c r="TRL7" s="2"/>
      <c r="TRM7" s="2"/>
      <c r="TRN7" s="2"/>
      <c r="TRO7" s="2"/>
      <c r="TRP7" s="2"/>
      <c r="TRQ7" s="2"/>
      <c r="TRR7" s="2"/>
      <c r="TRS7" s="2"/>
      <c r="TRT7" s="2"/>
      <c r="TRU7" s="2"/>
      <c r="TRV7" s="2"/>
      <c r="TRW7" s="2"/>
      <c r="TRX7" s="2"/>
      <c r="TRY7" s="2"/>
      <c r="TRZ7" s="2"/>
      <c r="TSA7" s="2"/>
      <c r="TSB7" s="2"/>
      <c r="TSC7" s="2"/>
      <c r="TSD7" s="2"/>
      <c r="TSE7" s="2"/>
      <c r="TSF7" s="2"/>
      <c r="TSG7" s="2"/>
      <c r="TSH7" s="2"/>
      <c r="TSI7" s="2"/>
      <c r="TSJ7" s="2"/>
      <c r="TSK7" s="2"/>
      <c r="TSL7" s="2"/>
      <c r="TSM7" s="2"/>
      <c r="TSN7" s="2"/>
      <c r="TSO7" s="2"/>
      <c r="TSP7" s="2"/>
      <c r="TSQ7" s="2"/>
      <c r="TSR7" s="2"/>
      <c r="TSS7" s="2"/>
      <c r="TST7" s="2"/>
      <c r="TSU7" s="2"/>
      <c r="TSV7" s="2"/>
      <c r="TSW7" s="2"/>
      <c r="TSX7" s="2"/>
      <c r="TSY7" s="2"/>
      <c r="TSZ7" s="2"/>
      <c r="TTA7" s="2"/>
      <c r="TTB7" s="2"/>
      <c r="TTC7" s="2"/>
      <c r="TTD7" s="2"/>
      <c r="TTE7" s="2"/>
      <c r="TTF7" s="2"/>
      <c r="TTG7" s="2"/>
      <c r="TTH7" s="2"/>
      <c r="TTI7" s="2"/>
      <c r="TTJ7" s="2"/>
      <c r="TTK7" s="2"/>
      <c r="TTL7" s="2"/>
      <c r="TTM7" s="2"/>
      <c r="TTN7" s="2"/>
      <c r="TTO7" s="2"/>
      <c r="TTP7" s="2"/>
      <c r="TTQ7" s="2"/>
      <c r="TTR7" s="2"/>
      <c r="TTS7" s="2"/>
      <c r="TTT7" s="2"/>
      <c r="TTU7" s="2"/>
      <c r="TTV7" s="2"/>
      <c r="TTW7" s="2"/>
      <c r="TTX7" s="2"/>
      <c r="TTY7" s="2"/>
      <c r="TTZ7" s="2"/>
      <c r="TUA7" s="2"/>
      <c r="TUB7" s="2"/>
      <c r="TUC7" s="2"/>
      <c r="TUD7" s="2"/>
      <c r="TUE7" s="2"/>
      <c r="TUF7" s="2"/>
      <c r="TUG7" s="2"/>
      <c r="TUH7" s="2"/>
      <c r="TUI7" s="2"/>
      <c r="TUJ7" s="2"/>
      <c r="TUK7" s="2"/>
      <c r="TUL7" s="2"/>
      <c r="TUM7" s="2"/>
      <c r="TUN7" s="2"/>
      <c r="TUO7" s="2"/>
      <c r="TUP7" s="2"/>
      <c r="TUQ7" s="2"/>
      <c r="TUR7" s="2"/>
      <c r="TUS7" s="2"/>
      <c r="TUT7" s="2"/>
      <c r="TUU7" s="2"/>
      <c r="TUV7" s="2"/>
      <c r="TUW7" s="2"/>
      <c r="TUX7" s="2"/>
      <c r="TUY7" s="2"/>
      <c r="TUZ7" s="2"/>
      <c r="TVA7" s="2"/>
      <c r="TVB7" s="2"/>
      <c r="TVC7" s="2"/>
      <c r="TVD7" s="2"/>
      <c r="TVE7" s="2"/>
      <c r="TVF7" s="2"/>
      <c r="TVG7" s="2"/>
      <c r="TVH7" s="2"/>
      <c r="TVI7" s="2"/>
      <c r="TVJ7" s="2"/>
      <c r="TVK7" s="2"/>
      <c r="TVL7" s="2"/>
      <c r="TVM7" s="2"/>
      <c r="TVN7" s="2"/>
      <c r="TVO7" s="2"/>
      <c r="TVP7" s="2"/>
      <c r="TVQ7" s="2"/>
      <c r="TVR7" s="2"/>
      <c r="TVS7" s="2"/>
      <c r="TVT7" s="2"/>
      <c r="TVU7" s="2"/>
      <c r="TVV7" s="2"/>
      <c r="TVW7" s="2"/>
      <c r="TVX7" s="2"/>
      <c r="TVY7" s="2"/>
      <c r="TVZ7" s="2"/>
      <c r="TWA7" s="2"/>
      <c r="TWB7" s="2"/>
      <c r="TWC7" s="2"/>
      <c r="TWD7" s="2"/>
      <c r="TWE7" s="2"/>
      <c r="TWF7" s="2"/>
      <c r="TWG7" s="2"/>
      <c r="TWH7" s="2"/>
      <c r="TWI7" s="2"/>
      <c r="TWJ7" s="2"/>
      <c r="TWK7" s="2"/>
      <c r="TWL7" s="2"/>
      <c r="TWM7" s="2"/>
      <c r="TWN7" s="2"/>
      <c r="TWO7" s="2"/>
      <c r="TWP7" s="2"/>
      <c r="TWQ7" s="2"/>
      <c r="TWR7" s="2"/>
      <c r="TWS7" s="2"/>
      <c r="TWT7" s="2"/>
      <c r="TWU7" s="2"/>
      <c r="TWV7" s="2"/>
      <c r="TWW7" s="2"/>
      <c r="TWX7" s="2"/>
      <c r="TWY7" s="2"/>
      <c r="TWZ7" s="2"/>
      <c r="TXA7" s="2"/>
      <c r="TXB7" s="2"/>
      <c r="TXC7" s="2"/>
      <c r="TXD7" s="2"/>
      <c r="TXE7" s="2"/>
      <c r="TXF7" s="2"/>
      <c r="TXG7" s="2"/>
      <c r="TXH7" s="2"/>
      <c r="TXI7" s="2"/>
      <c r="TXJ7" s="2"/>
      <c r="TXK7" s="2"/>
      <c r="TXL7" s="2"/>
      <c r="TXM7" s="2"/>
      <c r="TXN7" s="2"/>
      <c r="TXO7" s="2"/>
      <c r="TXP7" s="2"/>
      <c r="TXQ7" s="2"/>
      <c r="TXR7" s="2"/>
      <c r="TXS7" s="2"/>
      <c r="TXT7" s="2"/>
      <c r="TXU7" s="2"/>
      <c r="TXV7" s="2"/>
      <c r="TXW7" s="2"/>
      <c r="TXX7" s="2"/>
      <c r="TXY7" s="2"/>
      <c r="TXZ7" s="2"/>
      <c r="TYA7" s="2"/>
      <c r="TYB7" s="2"/>
      <c r="TYC7" s="2"/>
      <c r="TYD7" s="2"/>
      <c r="TYE7" s="2"/>
      <c r="TYF7" s="2"/>
      <c r="TYG7" s="2"/>
      <c r="TYH7" s="2"/>
      <c r="TYI7" s="2"/>
      <c r="TYJ7" s="2"/>
      <c r="TYK7" s="2"/>
      <c r="TYL7" s="2"/>
      <c r="TYM7" s="2"/>
      <c r="TYN7" s="2"/>
      <c r="TYO7" s="2"/>
      <c r="TYP7" s="2"/>
      <c r="TYQ7" s="2"/>
      <c r="TYR7" s="2"/>
      <c r="TYS7" s="2"/>
      <c r="TYT7" s="2"/>
      <c r="TYU7" s="2"/>
      <c r="TYV7" s="2"/>
      <c r="TYW7" s="2"/>
      <c r="TYX7" s="2"/>
      <c r="TYY7" s="2"/>
      <c r="TYZ7" s="2"/>
      <c r="TZA7" s="2"/>
      <c r="TZB7" s="2"/>
      <c r="TZC7" s="2"/>
      <c r="TZD7" s="2"/>
      <c r="TZE7" s="2"/>
      <c r="TZF7" s="2"/>
      <c r="TZG7" s="2"/>
      <c r="TZH7" s="2"/>
      <c r="TZI7" s="2"/>
      <c r="TZJ7" s="2"/>
      <c r="TZK7" s="2"/>
      <c r="TZL7" s="2"/>
      <c r="TZM7" s="2"/>
      <c r="TZN7" s="2"/>
      <c r="TZO7" s="2"/>
      <c r="TZP7" s="2"/>
      <c r="TZQ7" s="2"/>
      <c r="TZR7" s="2"/>
      <c r="TZS7" s="2"/>
      <c r="TZT7" s="2"/>
      <c r="TZU7" s="2"/>
      <c r="TZV7" s="2"/>
      <c r="TZW7" s="2"/>
      <c r="TZX7" s="2"/>
      <c r="TZY7" s="2"/>
      <c r="TZZ7" s="2"/>
      <c r="UAA7" s="2"/>
      <c r="UAB7" s="2"/>
      <c r="UAC7" s="2"/>
      <c r="UAD7" s="2"/>
      <c r="UAE7" s="2"/>
      <c r="UAF7" s="2"/>
      <c r="UAG7" s="2"/>
      <c r="UAH7" s="2"/>
      <c r="UAI7" s="2"/>
      <c r="UAJ7" s="2"/>
      <c r="UAK7" s="2"/>
      <c r="UAL7" s="2"/>
      <c r="UAM7" s="2"/>
      <c r="UAN7" s="2"/>
      <c r="UAO7" s="2"/>
      <c r="UAP7" s="2"/>
      <c r="UAQ7" s="2"/>
      <c r="UAR7" s="2"/>
      <c r="UAS7" s="2"/>
      <c r="UAT7" s="2"/>
      <c r="UAU7" s="2"/>
      <c r="UAV7" s="2"/>
      <c r="UAW7" s="2"/>
      <c r="UAX7" s="2"/>
      <c r="UAY7" s="2"/>
      <c r="UAZ7" s="2"/>
      <c r="UBA7" s="2"/>
      <c r="UBB7" s="2"/>
      <c r="UBC7" s="2"/>
      <c r="UBD7" s="2"/>
      <c r="UBE7" s="2"/>
      <c r="UBF7" s="2"/>
      <c r="UBG7" s="2"/>
      <c r="UBH7" s="2"/>
      <c r="UBI7" s="2"/>
      <c r="UBJ7" s="2"/>
      <c r="UBK7" s="2"/>
      <c r="UBL7" s="2"/>
      <c r="UBM7" s="2"/>
      <c r="UBN7" s="2"/>
      <c r="UBO7" s="2"/>
      <c r="UBP7" s="2"/>
      <c r="UBQ7" s="2"/>
      <c r="UBR7" s="2"/>
      <c r="UBS7" s="2"/>
      <c r="UBT7" s="2"/>
      <c r="UBU7" s="2"/>
      <c r="UBV7" s="2"/>
      <c r="UBW7" s="2"/>
      <c r="UBX7" s="2"/>
      <c r="UBY7" s="2"/>
      <c r="UBZ7" s="2"/>
      <c r="UCA7" s="2"/>
      <c r="UCB7" s="2"/>
      <c r="UCC7" s="2"/>
      <c r="UCD7" s="2"/>
      <c r="UCE7" s="2"/>
      <c r="UCF7" s="2"/>
      <c r="UCG7" s="2"/>
      <c r="UCH7" s="2"/>
      <c r="UCI7" s="2"/>
      <c r="UCJ7" s="2"/>
      <c r="UCK7" s="2"/>
      <c r="UCL7" s="2"/>
      <c r="UCM7" s="2"/>
      <c r="UCN7" s="2"/>
      <c r="UCO7" s="2"/>
      <c r="UCP7" s="2"/>
      <c r="UCQ7" s="2"/>
      <c r="UCR7" s="2"/>
      <c r="UCS7" s="2"/>
      <c r="UCT7" s="2"/>
      <c r="UCU7" s="2"/>
      <c r="UCV7" s="2"/>
      <c r="UCW7" s="2"/>
      <c r="UCX7" s="2"/>
      <c r="UCY7" s="2"/>
      <c r="UCZ7" s="2"/>
      <c r="UDA7" s="2"/>
      <c r="UDB7" s="2"/>
      <c r="UDC7" s="2"/>
      <c r="UDD7" s="2"/>
      <c r="UDE7" s="2"/>
      <c r="UDF7" s="2"/>
      <c r="UDG7" s="2"/>
      <c r="UDH7" s="2"/>
      <c r="UDI7" s="2"/>
      <c r="UDJ7" s="2"/>
      <c r="UDK7" s="2"/>
      <c r="UDL7" s="2"/>
      <c r="UDM7" s="2"/>
      <c r="UDN7" s="2"/>
      <c r="UDO7" s="2"/>
      <c r="UDP7" s="2"/>
      <c r="UDQ7" s="2"/>
      <c r="UDR7" s="2"/>
      <c r="UDS7" s="2"/>
      <c r="UDT7" s="2"/>
      <c r="UDU7" s="2"/>
      <c r="UDV7" s="2"/>
      <c r="UDW7" s="2"/>
      <c r="UDX7" s="2"/>
      <c r="UDY7" s="2"/>
      <c r="UDZ7" s="2"/>
      <c r="UEA7" s="2"/>
      <c r="UEB7" s="2"/>
      <c r="UEC7" s="2"/>
      <c r="UED7" s="2"/>
      <c r="UEE7" s="2"/>
      <c r="UEF7" s="2"/>
      <c r="UEG7" s="2"/>
      <c r="UEH7" s="2"/>
      <c r="UEI7" s="2"/>
      <c r="UEJ7" s="2"/>
      <c r="UEK7" s="2"/>
      <c r="UEL7" s="2"/>
      <c r="UEM7" s="2"/>
      <c r="UEN7" s="2"/>
      <c r="UEO7" s="2"/>
      <c r="UEP7" s="2"/>
      <c r="UEQ7" s="2"/>
      <c r="UER7" s="2"/>
      <c r="UES7" s="2"/>
      <c r="UET7" s="2"/>
      <c r="UEU7" s="2"/>
      <c r="UEV7" s="2"/>
      <c r="UEW7" s="2"/>
      <c r="UEX7" s="2"/>
      <c r="UEY7" s="2"/>
      <c r="UEZ7" s="2"/>
      <c r="UFA7" s="2"/>
      <c r="UFB7" s="2"/>
      <c r="UFC7" s="2"/>
      <c r="UFD7" s="2"/>
      <c r="UFE7" s="2"/>
      <c r="UFF7" s="2"/>
      <c r="UFG7" s="2"/>
      <c r="UFH7" s="2"/>
      <c r="UFI7" s="2"/>
      <c r="UFJ7" s="2"/>
      <c r="UFK7" s="2"/>
      <c r="UFL7" s="2"/>
      <c r="UFM7" s="2"/>
      <c r="UFN7" s="2"/>
      <c r="UFO7" s="2"/>
      <c r="UFP7" s="2"/>
      <c r="UFQ7" s="2"/>
      <c r="UFR7" s="2"/>
      <c r="UFS7" s="2"/>
      <c r="UFT7" s="2"/>
      <c r="UFU7" s="2"/>
      <c r="UFV7" s="2"/>
      <c r="UFW7" s="2"/>
      <c r="UFX7" s="2"/>
      <c r="UFY7" s="2"/>
      <c r="UFZ7" s="2"/>
      <c r="UGA7" s="2"/>
      <c r="UGB7" s="2"/>
      <c r="UGC7" s="2"/>
      <c r="UGD7" s="2"/>
      <c r="UGE7" s="2"/>
      <c r="UGF7" s="2"/>
      <c r="UGG7" s="2"/>
      <c r="UGH7" s="2"/>
      <c r="UGI7" s="2"/>
      <c r="UGJ7" s="2"/>
      <c r="UGK7" s="2"/>
      <c r="UGL7" s="2"/>
      <c r="UGM7" s="2"/>
      <c r="UGN7" s="2"/>
      <c r="UGO7" s="2"/>
      <c r="UGP7" s="2"/>
      <c r="UGQ7" s="2"/>
      <c r="UGR7" s="2"/>
      <c r="UGS7" s="2"/>
      <c r="UGT7" s="2"/>
      <c r="UGU7" s="2"/>
      <c r="UGV7" s="2"/>
      <c r="UGW7" s="2"/>
      <c r="UGX7" s="2"/>
      <c r="UGY7" s="2"/>
      <c r="UGZ7" s="2"/>
      <c r="UHA7" s="2"/>
      <c r="UHB7" s="2"/>
      <c r="UHC7" s="2"/>
      <c r="UHD7" s="2"/>
      <c r="UHE7" s="2"/>
      <c r="UHF7" s="2"/>
      <c r="UHG7" s="2"/>
      <c r="UHH7" s="2"/>
      <c r="UHI7" s="2"/>
      <c r="UHJ7" s="2"/>
      <c r="UHK7" s="2"/>
      <c r="UHL7" s="2"/>
      <c r="UHM7" s="2"/>
      <c r="UHN7" s="2"/>
      <c r="UHO7" s="2"/>
      <c r="UHP7" s="2"/>
      <c r="UHQ7" s="2"/>
      <c r="UHR7" s="2"/>
      <c r="UHS7" s="2"/>
      <c r="UHT7" s="2"/>
      <c r="UHU7" s="2"/>
      <c r="UHV7" s="2"/>
      <c r="UHW7" s="2"/>
      <c r="UHX7" s="2"/>
      <c r="UHY7" s="2"/>
      <c r="UHZ7" s="2"/>
      <c r="UIA7" s="2"/>
      <c r="UIB7" s="2"/>
      <c r="UIC7" s="2"/>
      <c r="UID7" s="2"/>
      <c r="UIE7" s="2"/>
      <c r="UIF7" s="2"/>
      <c r="UIG7" s="2"/>
      <c r="UIH7" s="2"/>
      <c r="UII7" s="2"/>
      <c r="UIJ7" s="2"/>
      <c r="UIK7" s="2"/>
      <c r="UIL7" s="2"/>
      <c r="UIM7" s="2"/>
      <c r="UIN7" s="2"/>
      <c r="UIO7" s="2"/>
      <c r="UIP7" s="2"/>
      <c r="UIQ7" s="2"/>
      <c r="UIR7" s="2"/>
      <c r="UIS7" s="2"/>
      <c r="UIT7" s="2"/>
      <c r="UIU7" s="2"/>
      <c r="UIV7" s="2"/>
      <c r="UIW7" s="2"/>
      <c r="UIX7" s="2"/>
      <c r="UIY7" s="2"/>
      <c r="UIZ7" s="2"/>
      <c r="UJA7" s="2"/>
      <c r="UJB7" s="2"/>
      <c r="UJC7" s="2"/>
      <c r="UJD7" s="2"/>
      <c r="UJE7" s="2"/>
      <c r="UJF7" s="2"/>
      <c r="UJG7" s="2"/>
      <c r="UJH7" s="2"/>
      <c r="UJI7" s="2"/>
      <c r="UJJ7" s="2"/>
      <c r="UJK7" s="2"/>
      <c r="UJL7" s="2"/>
      <c r="UJM7" s="2"/>
      <c r="UJN7" s="2"/>
      <c r="UJO7" s="2"/>
      <c r="UJP7" s="2"/>
      <c r="UJQ7" s="2"/>
      <c r="UJR7" s="2"/>
      <c r="UJS7" s="2"/>
      <c r="UJT7" s="2"/>
      <c r="UJU7" s="2"/>
      <c r="UJV7" s="2"/>
      <c r="UJW7" s="2"/>
      <c r="UJX7" s="2"/>
      <c r="UJY7" s="2"/>
      <c r="UJZ7" s="2"/>
      <c r="UKA7" s="2"/>
      <c r="UKB7" s="2"/>
      <c r="UKC7" s="2"/>
      <c r="UKD7" s="2"/>
      <c r="UKE7" s="2"/>
      <c r="UKF7" s="2"/>
      <c r="UKG7" s="2"/>
      <c r="UKH7" s="2"/>
      <c r="UKI7" s="2"/>
      <c r="UKJ7" s="2"/>
      <c r="UKK7" s="2"/>
      <c r="UKL7" s="2"/>
      <c r="UKM7" s="2"/>
      <c r="UKN7" s="2"/>
      <c r="UKO7" s="2"/>
      <c r="UKP7" s="2"/>
      <c r="UKQ7" s="2"/>
      <c r="UKR7" s="2"/>
      <c r="UKS7" s="2"/>
      <c r="UKT7" s="2"/>
      <c r="UKU7" s="2"/>
      <c r="UKV7" s="2"/>
      <c r="UKW7" s="2"/>
      <c r="UKX7" s="2"/>
      <c r="UKY7" s="2"/>
      <c r="UKZ7" s="2"/>
      <c r="ULA7" s="2"/>
      <c r="ULB7" s="2"/>
      <c r="ULC7" s="2"/>
      <c r="ULD7" s="2"/>
      <c r="ULE7" s="2"/>
      <c r="ULF7" s="2"/>
      <c r="ULG7" s="2"/>
      <c r="ULH7" s="2"/>
      <c r="ULI7" s="2"/>
      <c r="ULJ7" s="2"/>
      <c r="ULK7" s="2"/>
      <c r="ULL7" s="2"/>
      <c r="ULM7" s="2"/>
      <c r="ULN7" s="2"/>
      <c r="ULO7" s="2"/>
      <c r="ULP7" s="2"/>
      <c r="ULQ7" s="2"/>
      <c r="ULR7" s="2"/>
      <c r="ULS7" s="2"/>
      <c r="ULT7" s="2"/>
      <c r="ULU7" s="2"/>
      <c r="ULV7" s="2"/>
      <c r="ULW7" s="2"/>
      <c r="ULX7" s="2"/>
      <c r="ULY7" s="2"/>
      <c r="ULZ7" s="2"/>
      <c r="UMA7" s="2"/>
      <c r="UMB7" s="2"/>
      <c r="UMC7" s="2"/>
      <c r="UMD7" s="2"/>
      <c r="UME7" s="2"/>
      <c r="UMF7" s="2"/>
      <c r="UMG7" s="2"/>
      <c r="UMH7" s="2"/>
      <c r="UMI7" s="2"/>
      <c r="UMJ7" s="2"/>
      <c r="UMK7" s="2"/>
      <c r="UML7" s="2"/>
      <c r="UMM7" s="2"/>
      <c r="UMN7" s="2"/>
      <c r="UMO7" s="2"/>
      <c r="UMP7" s="2"/>
      <c r="UMQ7" s="2"/>
      <c r="UMR7" s="2"/>
      <c r="UMS7" s="2"/>
      <c r="UMT7" s="2"/>
      <c r="UMU7" s="2"/>
      <c r="UMV7" s="2"/>
      <c r="UMW7" s="2"/>
      <c r="UMX7" s="2"/>
      <c r="UMY7" s="2"/>
      <c r="UMZ7" s="2"/>
      <c r="UNA7" s="2"/>
      <c r="UNB7" s="2"/>
      <c r="UNC7" s="2"/>
      <c r="UND7" s="2"/>
      <c r="UNE7" s="2"/>
      <c r="UNF7" s="2"/>
      <c r="UNG7" s="2"/>
      <c r="UNH7" s="2"/>
      <c r="UNI7" s="2"/>
      <c r="UNJ7" s="2"/>
      <c r="UNK7" s="2"/>
      <c r="UNL7" s="2"/>
      <c r="UNM7" s="2"/>
      <c r="UNN7" s="2"/>
      <c r="UNO7" s="2"/>
      <c r="UNP7" s="2"/>
      <c r="UNQ7" s="2"/>
      <c r="UNR7" s="2"/>
      <c r="UNS7" s="2"/>
      <c r="UNT7" s="2"/>
      <c r="UNU7" s="2"/>
      <c r="UNV7" s="2"/>
      <c r="UNW7" s="2"/>
      <c r="UNX7" s="2"/>
      <c r="UNY7" s="2"/>
      <c r="UNZ7" s="2"/>
      <c r="UOA7" s="2"/>
      <c r="UOB7" s="2"/>
      <c r="UOC7" s="2"/>
      <c r="UOD7" s="2"/>
      <c r="UOE7" s="2"/>
      <c r="UOF7" s="2"/>
      <c r="UOG7" s="2"/>
      <c r="UOH7" s="2"/>
      <c r="UOI7" s="2"/>
      <c r="UOJ7" s="2"/>
      <c r="UOK7" s="2"/>
      <c r="UOL7" s="2"/>
      <c r="UOM7" s="2"/>
      <c r="UON7" s="2"/>
      <c r="UOO7" s="2"/>
      <c r="UOP7" s="2"/>
      <c r="UOQ7" s="2"/>
      <c r="UOR7" s="2"/>
      <c r="UOS7" s="2"/>
      <c r="UOT7" s="2"/>
      <c r="UOU7" s="2"/>
      <c r="UOV7" s="2"/>
      <c r="UOW7" s="2"/>
      <c r="UOX7" s="2"/>
      <c r="UOY7" s="2"/>
      <c r="UOZ7" s="2"/>
      <c r="UPA7" s="2"/>
      <c r="UPB7" s="2"/>
      <c r="UPC7" s="2"/>
      <c r="UPD7" s="2"/>
      <c r="UPE7" s="2"/>
      <c r="UPF7" s="2"/>
      <c r="UPG7" s="2"/>
      <c r="UPH7" s="2"/>
      <c r="UPI7" s="2"/>
      <c r="UPJ7" s="2"/>
      <c r="UPK7" s="2"/>
      <c r="UPL7" s="2"/>
      <c r="UPM7" s="2"/>
      <c r="UPN7" s="2"/>
      <c r="UPO7" s="2"/>
      <c r="UPP7" s="2"/>
      <c r="UPQ7" s="2"/>
      <c r="UPR7" s="2"/>
      <c r="UPS7" s="2"/>
      <c r="UPT7" s="2"/>
      <c r="UPU7" s="2"/>
      <c r="UPV7" s="2"/>
      <c r="UPW7" s="2"/>
      <c r="UPX7" s="2"/>
      <c r="UPY7" s="2"/>
      <c r="UPZ7" s="2"/>
      <c r="UQA7" s="2"/>
      <c r="UQB7" s="2"/>
      <c r="UQC7" s="2"/>
      <c r="UQD7" s="2"/>
      <c r="UQE7" s="2"/>
      <c r="UQF7" s="2"/>
      <c r="UQG7" s="2"/>
      <c r="UQH7" s="2"/>
      <c r="UQI7" s="2"/>
      <c r="UQJ7" s="2"/>
      <c r="UQK7" s="2"/>
      <c r="UQL7" s="2"/>
      <c r="UQM7" s="2"/>
      <c r="UQN7" s="2"/>
      <c r="UQO7" s="2"/>
      <c r="UQP7" s="2"/>
      <c r="UQQ7" s="2"/>
      <c r="UQR7" s="2"/>
      <c r="UQS7" s="2"/>
      <c r="UQT7" s="2"/>
      <c r="UQU7" s="2"/>
      <c r="UQV7" s="2"/>
      <c r="UQW7" s="2"/>
      <c r="UQX7" s="2"/>
      <c r="UQY7" s="2"/>
      <c r="UQZ7" s="2"/>
      <c r="URA7" s="2"/>
      <c r="URB7" s="2"/>
      <c r="URC7" s="2"/>
      <c r="URD7" s="2"/>
      <c r="URE7" s="2"/>
      <c r="URF7" s="2"/>
      <c r="URG7" s="2"/>
      <c r="URH7" s="2"/>
      <c r="URI7" s="2"/>
      <c r="URJ7" s="2"/>
      <c r="URK7" s="2"/>
      <c r="URL7" s="2"/>
      <c r="URM7" s="2"/>
      <c r="URN7" s="2"/>
      <c r="URO7" s="2"/>
      <c r="URP7" s="2"/>
      <c r="URQ7" s="2"/>
      <c r="URR7" s="2"/>
      <c r="URS7" s="2"/>
      <c r="URT7" s="2"/>
      <c r="URU7" s="2"/>
      <c r="URV7" s="2"/>
      <c r="URW7" s="2"/>
      <c r="URX7" s="2"/>
      <c r="URY7" s="2"/>
      <c r="URZ7" s="2"/>
      <c r="USA7" s="2"/>
      <c r="USB7" s="2"/>
      <c r="USC7" s="2"/>
      <c r="USD7" s="2"/>
      <c r="USE7" s="2"/>
      <c r="USF7" s="2"/>
      <c r="USG7" s="2"/>
      <c r="USH7" s="2"/>
      <c r="USI7" s="2"/>
      <c r="USJ7" s="2"/>
      <c r="USK7" s="2"/>
      <c r="USL7" s="2"/>
      <c r="USM7" s="2"/>
      <c r="USN7" s="2"/>
      <c r="USO7" s="2"/>
      <c r="USP7" s="2"/>
      <c r="USQ7" s="2"/>
      <c r="USR7" s="2"/>
      <c r="USS7" s="2"/>
      <c r="UST7" s="2"/>
      <c r="USU7" s="2"/>
      <c r="USV7" s="2"/>
      <c r="USW7" s="2"/>
      <c r="USX7" s="2"/>
      <c r="USY7" s="2"/>
      <c r="USZ7" s="2"/>
      <c r="UTA7" s="2"/>
      <c r="UTB7" s="2"/>
      <c r="UTC7" s="2"/>
      <c r="UTD7" s="2"/>
      <c r="UTE7" s="2"/>
      <c r="UTF7" s="2"/>
      <c r="UTG7" s="2"/>
      <c r="UTH7" s="2"/>
      <c r="UTI7" s="2"/>
      <c r="UTJ7" s="2"/>
      <c r="UTK7" s="2"/>
      <c r="UTL7" s="2"/>
      <c r="UTM7" s="2"/>
      <c r="UTN7" s="2"/>
      <c r="UTO7" s="2"/>
      <c r="UTP7" s="2"/>
      <c r="UTQ7" s="2"/>
      <c r="UTR7" s="2"/>
      <c r="UTS7" s="2"/>
      <c r="UTT7" s="2"/>
      <c r="UTU7" s="2"/>
      <c r="UTV7" s="2"/>
      <c r="UTW7" s="2"/>
      <c r="UTX7" s="2"/>
      <c r="UTY7" s="2"/>
      <c r="UTZ7" s="2"/>
      <c r="UUA7" s="2"/>
      <c r="UUB7" s="2"/>
      <c r="UUC7" s="2"/>
      <c r="UUD7" s="2"/>
      <c r="UUE7" s="2"/>
      <c r="UUF7" s="2"/>
      <c r="UUG7" s="2"/>
      <c r="UUH7" s="2"/>
      <c r="UUI7" s="2"/>
      <c r="UUJ7" s="2"/>
      <c r="UUK7" s="2"/>
      <c r="UUL7" s="2"/>
      <c r="UUM7" s="2"/>
      <c r="UUN7" s="2"/>
      <c r="UUO7" s="2"/>
      <c r="UUP7" s="2"/>
      <c r="UUQ7" s="2"/>
      <c r="UUR7" s="2"/>
      <c r="UUS7" s="2"/>
      <c r="UUT7" s="2"/>
      <c r="UUU7" s="2"/>
      <c r="UUV7" s="2"/>
      <c r="UUW7" s="2"/>
      <c r="UUX7" s="2"/>
      <c r="UUY7" s="2"/>
      <c r="UUZ7" s="2"/>
      <c r="UVA7" s="2"/>
      <c r="UVB7" s="2"/>
      <c r="UVC7" s="2"/>
      <c r="UVD7" s="2"/>
      <c r="UVE7" s="2"/>
      <c r="UVF7" s="2"/>
      <c r="UVG7" s="2"/>
      <c r="UVH7" s="2"/>
      <c r="UVI7" s="2"/>
      <c r="UVJ7" s="2"/>
      <c r="UVK7" s="2"/>
      <c r="UVL7" s="2"/>
      <c r="UVM7" s="2"/>
      <c r="UVN7" s="2"/>
      <c r="UVO7" s="2"/>
      <c r="UVP7" s="2"/>
      <c r="UVQ7" s="2"/>
      <c r="UVR7" s="2"/>
      <c r="UVS7" s="2"/>
      <c r="UVT7" s="2"/>
      <c r="UVU7" s="2"/>
      <c r="UVV7" s="2"/>
      <c r="UVW7" s="2"/>
      <c r="UVX7" s="2"/>
      <c r="UVY7" s="2"/>
      <c r="UVZ7" s="2"/>
      <c r="UWA7" s="2"/>
      <c r="UWB7" s="2"/>
      <c r="UWC7" s="2"/>
      <c r="UWD7" s="2"/>
      <c r="UWE7" s="2"/>
      <c r="UWF7" s="2"/>
      <c r="UWG7" s="2"/>
      <c r="UWH7" s="2"/>
      <c r="UWI7" s="2"/>
      <c r="UWJ7" s="2"/>
      <c r="UWK7" s="2"/>
      <c r="UWL7" s="2"/>
      <c r="UWM7" s="2"/>
      <c r="UWN7" s="2"/>
      <c r="UWO7" s="2"/>
      <c r="UWP7" s="2"/>
      <c r="UWQ7" s="2"/>
      <c r="UWR7" s="2"/>
      <c r="UWS7" s="2"/>
      <c r="UWT7" s="2"/>
      <c r="UWU7" s="2"/>
      <c r="UWV7" s="2"/>
      <c r="UWW7" s="2"/>
      <c r="UWX7" s="2"/>
      <c r="UWY7" s="2"/>
      <c r="UWZ7" s="2"/>
      <c r="UXA7" s="2"/>
      <c r="UXB7" s="2"/>
      <c r="UXC7" s="2"/>
      <c r="UXD7" s="2"/>
      <c r="UXE7" s="2"/>
      <c r="UXF7" s="2"/>
      <c r="UXG7" s="2"/>
      <c r="UXH7" s="2"/>
      <c r="UXI7" s="2"/>
      <c r="UXJ7" s="2"/>
      <c r="UXK7" s="2"/>
      <c r="UXL7" s="2"/>
      <c r="UXM7" s="2"/>
      <c r="UXN7" s="2"/>
      <c r="UXO7" s="2"/>
      <c r="UXP7" s="2"/>
      <c r="UXQ7" s="2"/>
      <c r="UXR7" s="2"/>
      <c r="UXS7" s="2"/>
      <c r="UXT7" s="2"/>
      <c r="UXU7" s="2"/>
      <c r="UXV7" s="2"/>
      <c r="UXW7" s="2"/>
      <c r="UXX7" s="2"/>
      <c r="UXY7" s="2"/>
      <c r="UXZ7" s="2"/>
      <c r="UYA7" s="2"/>
      <c r="UYB7" s="2"/>
      <c r="UYC7" s="2"/>
      <c r="UYD7" s="2"/>
      <c r="UYE7" s="2"/>
      <c r="UYF7" s="2"/>
      <c r="UYG7" s="2"/>
      <c r="UYH7" s="2"/>
      <c r="UYI7" s="2"/>
      <c r="UYJ7" s="2"/>
      <c r="UYK7" s="2"/>
      <c r="UYL7" s="2"/>
      <c r="UYM7" s="2"/>
      <c r="UYN7" s="2"/>
      <c r="UYO7" s="2"/>
      <c r="UYP7" s="2"/>
      <c r="UYQ7" s="2"/>
      <c r="UYR7" s="2"/>
      <c r="UYS7" s="2"/>
      <c r="UYT7" s="2"/>
      <c r="UYU7" s="2"/>
      <c r="UYV7" s="2"/>
      <c r="UYW7" s="2"/>
      <c r="UYX7" s="2"/>
      <c r="UYY7" s="2"/>
      <c r="UYZ7" s="2"/>
      <c r="UZA7" s="2"/>
      <c r="UZB7" s="2"/>
      <c r="UZC7" s="2"/>
      <c r="UZD7" s="2"/>
      <c r="UZE7" s="2"/>
      <c r="UZF7" s="2"/>
      <c r="UZG7" s="2"/>
      <c r="UZH7" s="2"/>
      <c r="UZI7" s="2"/>
      <c r="UZJ7" s="2"/>
      <c r="UZK7" s="2"/>
      <c r="UZL7" s="2"/>
      <c r="UZM7" s="2"/>
      <c r="UZN7" s="2"/>
      <c r="UZO7" s="2"/>
      <c r="UZP7" s="2"/>
      <c r="UZQ7" s="2"/>
      <c r="UZR7" s="2"/>
      <c r="UZS7" s="2"/>
      <c r="UZT7" s="2"/>
      <c r="UZU7" s="2"/>
      <c r="UZV7" s="2"/>
      <c r="UZW7" s="2"/>
      <c r="UZX7" s="2"/>
      <c r="UZY7" s="2"/>
      <c r="UZZ7" s="2"/>
      <c r="VAA7" s="2"/>
      <c r="VAB7" s="2"/>
      <c r="VAC7" s="2"/>
      <c r="VAD7" s="2"/>
      <c r="VAE7" s="2"/>
      <c r="VAF7" s="2"/>
      <c r="VAG7" s="2"/>
      <c r="VAH7" s="2"/>
      <c r="VAI7" s="2"/>
      <c r="VAJ7" s="2"/>
      <c r="VAK7" s="2"/>
      <c r="VAL7" s="2"/>
      <c r="VAM7" s="2"/>
      <c r="VAN7" s="2"/>
      <c r="VAO7" s="2"/>
      <c r="VAP7" s="2"/>
      <c r="VAQ7" s="2"/>
      <c r="VAR7" s="2"/>
      <c r="VAS7" s="2"/>
      <c r="VAT7" s="2"/>
      <c r="VAU7" s="2"/>
      <c r="VAV7" s="2"/>
      <c r="VAW7" s="2"/>
      <c r="VAX7" s="2"/>
      <c r="VAY7" s="2"/>
      <c r="VAZ7" s="2"/>
      <c r="VBA7" s="2"/>
      <c r="VBB7" s="2"/>
      <c r="VBC7" s="2"/>
      <c r="VBD7" s="2"/>
      <c r="VBE7" s="2"/>
      <c r="VBF7" s="2"/>
      <c r="VBG7" s="2"/>
      <c r="VBH7" s="2"/>
      <c r="VBI7" s="2"/>
      <c r="VBJ7" s="2"/>
      <c r="VBK7" s="2"/>
      <c r="VBL7" s="2"/>
      <c r="VBM7" s="2"/>
      <c r="VBN7" s="2"/>
      <c r="VBO7" s="2"/>
      <c r="VBP7" s="2"/>
      <c r="VBQ7" s="2"/>
      <c r="VBR7" s="2"/>
      <c r="VBS7" s="2"/>
      <c r="VBT7" s="2"/>
      <c r="VBU7" s="2"/>
      <c r="VBV7" s="2"/>
      <c r="VBW7" s="2"/>
      <c r="VBX7" s="2"/>
      <c r="VBY7" s="2"/>
      <c r="VBZ7" s="2"/>
      <c r="VCA7" s="2"/>
      <c r="VCB7" s="2"/>
      <c r="VCC7" s="2"/>
      <c r="VCD7" s="2"/>
      <c r="VCE7" s="2"/>
      <c r="VCF7" s="2"/>
      <c r="VCG7" s="2"/>
      <c r="VCH7" s="2"/>
      <c r="VCI7" s="2"/>
      <c r="VCJ7" s="2"/>
      <c r="VCK7" s="2"/>
      <c r="VCL7" s="2"/>
      <c r="VCM7" s="2"/>
      <c r="VCN7" s="2"/>
      <c r="VCO7" s="2"/>
      <c r="VCP7" s="2"/>
      <c r="VCQ7" s="2"/>
      <c r="VCR7" s="2"/>
      <c r="VCS7" s="2"/>
      <c r="VCT7" s="2"/>
      <c r="VCU7" s="2"/>
      <c r="VCV7" s="2"/>
      <c r="VCW7" s="2"/>
      <c r="VCX7" s="2"/>
      <c r="VCY7" s="2"/>
      <c r="VCZ7" s="2"/>
      <c r="VDA7" s="2"/>
      <c r="VDB7" s="2"/>
      <c r="VDC7" s="2"/>
      <c r="VDD7" s="2"/>
      <c r="VDE7" s="2"/>
      <c r="VDF7" s="2"/>
      <c r="VDG7" s="2"/>
      <c r="VDH7" s="2"/>
      <c r="VDI7" s="2"/>
      <c r="VDJ7" s="2"/>
      <c r="VDK7" s="2"/>
      <c r="VDL7" s="2"/>
      <c r="VDM7" s="2"/>
      <c r="VDN7" s="2"/>
      <c r="VDO7" s="2"/>
      <c r="VDP7" s="2"/>
      <c r="VDQ7" s="2"/>
      <c r="VDR7" s="2"/>
      <c r="VDS7" s="2"/>
      <c r="VDT7" s="2"/>
      <c r="VDU7" s="2"/>
      <c r="VDV7" s="2"/>
      <c r="VDW7" s="2"/>
      <c r="VDX7" s="2"/>
      <c r="VDY7" s="2"/>
      <c r="VDZ7" s="2"/>
      <c r="VEA7" s="2"/>
      <c r="VEB7" s="2"/>
      <c r="VEC7" s="2"/>
      <c r="VED7" s="2"/>
      <c r="VEE7" s="2"/>
      <c r="VEF7" s="2"/>
      <c r="VEG7" s="2"/>
      <c r="VEH7" s="2"/>
      <c r="VEI7" s="2"/>
      <c r="VEJ7" s="2"/>
      <c r="VEK7" s="2"/>
      <c r="VEL7" s="2"/>
      <c r="VEM7" s="2"/>
      <c r="VEN7" s="2"/>
      <c r="VEO7" s="2"/>
      <c r="VEP7" s="2"/>
      <c r="VEQ7" s="2"/>
      <c r="VER7" s="2"/>
      <c r="VES7" s="2"/>
      <c r="VET7" s="2"/>
      <c r="VEU7" s="2"/>
      <c r="VEV7" s="2"/>
      <c r="VEW7" s="2"/>
      <c r="VEX7" s="2"/>
      <c r="VEY7" s="2"/>
      <c r="VEZ7" s="2"/>
      <c r="VFA7" s="2"/>
      <c r="VFB7" s="2"/>
      <c r="VFC7" s="2"/>
      <c r="VFD7" s="2"/>
      <c r="VFE7" s="2"/>
      <c r="VFF7" s="2"/>
      <c r="VFG7" s="2"/>
      <c r="VFH7" s="2"/>
      <c r="VFI7" s="2"/>
      <c r="VFJ7" s="2"/>
      <c r="VFK7" s="2"/>
      <c r="VFL7" s="2"/>
      <c r="VFM7" s="2"/>
      <c r="VFN7" s="2"/>
      <c r="VFO7" s="2"/>
      <c r="VFP7" s="2"/>
      <c r="VFQ7" s="2"/>
      <c r="VFR7" s="2"/>
      <c r="VFS7" s="2"/>
      <c r="VFT7" s="2"/>
      <c r="VFU7" s="2"/>
      <c r="VFV7" s="2"/>
      <c r="VFW7" s="2"/>
      <c r="VFX7" s="2"/>
      <c r="VFY7" s="2"/>
      <c r="VFZ7" s="2"/>
      <c r="VGA7" s="2"/>
      <c r="VGB7" s="2"/>
      <c r="VGC7" s="2"/>
      <c r="VGD7" s="2"/>
      <c r="VGE7" s="2"/>
      <c r="VGF7" s="2"/>
      <c r="VGG7" s="2"/>
      <c r="VGH7" s="2"/>
      <c r="VGI7" s="2"/>
      <c r="VGJ7" s="2"/>
      <c r="VGK7" s="2"/>
      <c r="VGL7" s="2"/>
      <c r="VGM7" s="2"/>
      <c r="VGN7" s="2"/>
      <c r="VGO7" s="2"/>
      <c r="VGP7" s="2"/>
      <c r="VGQ7" s="2"/>
      <c r="VGR7" s="2"/>
      <c r="VGS7" s="2"/>
      <c r="VGT7" s="2"/>
      <c r="VGU7" s="2"/>
      <c r="VGV7" s="2"/>
      <c r="VGW7" s="2"/>
      <c r="VGX7" s="2"/>
      <c r="VGY7" s="2"/>
      <c r="VGZ7" s="2"/>
      <c r="VHA7" s="2"/>
      <c r="VHB7" s="2"/>
      <c r="VHC7" s="2"/>
      <c r="VHD7" s="2"/>
      <c r="VHE7" s="2"/>
      <c r="VHF7" s="2"/>
      <c r="VHG7" s="2"/>
      <c r="VHH7" s="2"/>
      <c r="VHI7" s="2"/>
      <c r="VHJ7" s="2"/>
      <c r="VHK7" s="2"/>
      <c r="VHL7" s="2"/>
      <c r="VHM7" s="2"/>
      <c r="VHN7" s="2"/>
      <c r="VHO7" s="2"/>
      <c r="VHP7" s="2"/>
      <c r="VHQ7" s="2"/>
      <c r="VHR7" s="2"/>
      <c r="VHS7" s="2"/>
      <c r="VHT7" s="2"/>
      <c r="VHU7" s="2"/>
      <c r="VHV7" s="2"/>
      <c r="VHW7" s="2"/>
      <c r="VHX7" s="2"/>
      <c r="VHY7" s="2"/>
      <c r="VHZ7" s="2"/>
      <c r="VIA7" s="2"/>
      <c r="VIB7" s="2"/>
      <c r="VIC7" s="2"/>
      <c r="VID7" s="2"/>
      <c r="VIE7" s="2"/>
      <c r="VIF7" s="2"/>
      <c r="VIG7" s="2"/>
      <c r="VIH7" s="2"/>
      <c r="VII7" s="2"/>
      <c r="VIJ7" s="2"/>
      <c r="VIK7" s="2"/>
      <c r="VIL7" s="2"/>
      <c r="VIM7" s="2"/>
      <c r="VIN7" s="2"/>
      <c r="VIO7" s="2"/>
      <c r="VIP7" s="2"/>
      <c r="VIQ7" s="2"/>
      <c r="VIR7" s="2"/>
      <c r="VIS7" s="2"/>
      <c r="VIT7" s="2"/>
      <c r="VIU7" s="2"/>
      <c r="VIV7" s="2"/>
      <c r="VIW7" s="2"/>
      <c r="VIX7" s="2"/>
      <c r="VIY7" s="2"/>
      <c r="VIZ7" s="2"/>
      <c r="VJA7" s="2"/>
      <c r="VJB7" s="2"/>
      <c r="VJC7" s="2"/>
      <c r="VJD7" s="2"/>
      <c r="VJE7" s="2"/>
      <c r="VJF7" s="2"/>
      <c r="VJG7" s="2"/>
      <c r="VJH7" s="2"/>
      <c r="VJI7" s="2"/>
      <c r="VJJ7" s="2"/>
      <c r="VJK7" s="2"/>
      <c r="VJL7" s="2"/>
      <c r="VJM7" s="2"/>
      <c r="VJN7" s="2"/>
      <c r="VJO7" s="2"/>
      <c r="VJP7" s="2"/>
      <c r="VJQ7" s="2"/>
      <c r="VJR7" s="2"/>
      <c r="VJS7" s="2"/>
      <c r="VJT7" s="2"/>
      <c r="VJU7" s="2"/>
      <c r="VJV7" s="2"/>
      <c r="VJW7" s="2"/>
      <c r="VJX7" s="2"/>
      <c r="VJY7" s="2"/>
      <c r="VJZ7" s="2"/>
      <c r="VKA7" s="2"/>
      <c r="VKB7" s="2"/>
      <c r="VKC7" s="2"/>
      <c r="VKD7" s="2"/>
      <c r="VKE7" s="2"/>
      <c r="VKF7" s="2"/>
      <c r="VKG7" s="2"/>
      <c r="VKH7" s="2"/>
      <c r="VKI7" s="2"/>
      <c r="VKJ7" s="2"/>
      <c r="VKK7" s="2"/>
      <c r="VKL7" s="2"/>
      <c r="VKM7" s="2"/>
      <c r="VKN7" s="2"/>
      <c r="VKO7" s="2"/>
      <c r="VKP7" s="2"/>
      <c r="VKQ7" s="2"/>
      <c r="VKR7" s="2"/>
      <c r="VKS7" s="2"/>
      <c r="VKT7" s="2"/>
      <c r="VKU7" s="2"/>
      <c r="VKV7" s="2"/>
      <c r="VKW7" s="2"/>
      <c r="VKX7" s="2"/>
      <c r="VKY7" s="2"/>
      <c r="VKZ7" s="2"/>
      <c r="VLA7" s="2"/>
      <c r="VLB7" s="2"/>
      <c r="VLC7" s="2"/>
      <c r="VLD7" s="2"/>
      <c r="VLE7" s="2"/>
      <c r="VLF7" s="2"/>
      <c r="VLG7" s="2"/>
      <c r="VLH7" s="2"/>
      <c r="VLI7" s="2"/>
      <c r="VLJ7" s="2"/>
      <c r="VLK7" s="2"/>
      <c r="VLL7" s="2"/>
      <c r="VLM7" s="2"/>
      <c r="VLN7" s="2"/>
      <c r="VLO7" s="2"/>
      <c r="VLP7" s="2"/>
      <c r="VLQ7" s="2"/>
      <c r="VLR7" s="2"/>
      <c r="VLS7" s="2"/>
      <c r="VLT7" s="2"/>
      <c r="VLU7" s="2"/>
      <c r="VLV7" s="2"/>
      <c r="VLW7" s="2"/>
      <c r="VLX7" s="2"/>
      <c r="VLY7" s="2"/>
      <c r="VLZ7" s="2"/>
      <c r="VMA7" s="2"/>
      <c r="VMB7" s="2"/>
      <c r="VMC7" s="2"/>
      <c r="VMD7" s="2"/>
      <c r="VME7" s="2"/>
      <c r="VMF7" s="2"/>
      <c r="VMG7" s="2"/>
      <c r="VMH7" s="2"/>
      <c r="VMI7" s="2"/>
      <c r="VMJ7" s="2"/>
      <c r="VMK7" s="2"/>
      <c r="VML7" s="2"/>
      <c r="VMM7" s="2"/>
      <c r="VMN7" s="2"/>
      <c r="VMO7" s="2"/>
      <c r="VMP7" s="2"/>
      <c r="VMQ7" s="2"/>
      <c r="VMR7" s="2"/>
      <c r="VMS7" s="2"/>
      <c r="VMT7" s="2"/>
      <c r="VMU7" s="2"/>
      <c r="VMV7" s="2"/>
      <c r="VMW7" s="2"/>
      <c r="VMX7" s="2"/>
      <c r="VMY7" s="2"/>
      <c r="VMZ7" s="2"/>
      <c r="VNA7" s="2"/>
      <c r="VNB7" s="2"/>
      <c r="VNC7" s="2"/>
      <c r="VND7" s="2"/>
      <c r="VNE7" s="2"/>
      <c r="VNF7" s="2"/>
      <c r="VNG7" s="2"/>
      <c r="VNH7" s="2"/>
      <c r="VNI7" s="2"/>
      <c r="VNJ7" s="2"/>
      <c r="VNK7" s="2"/>
      <c r="VNL7" s="2"/>
      <c r="VNM7" s="2"/>
      <c r="VNN7" s="2"/>
      <c r="VNO7" s="2"/>
      <c r="VNP7" s="2"/>
      <c r="VNQ7" s="2"/>
      <c r="VNR7" s="2"/>
      <c r="VNS7" s="2"/>
      <c r="VNT7" s="2"/>
      <c r="VNU7" s="2"/>
      <c r="VNV7" s="2"/>
      <c r="VNW7" s="2"/>
      <c r="VNX7" s="2"/>
      <c r="VNY7" s="2"/>
      <c r="VNZ7" s="2"/>
      <c r="VOA7" s="2"/>
      <c r="VOB7" s="2"/>
      <c r="VOC7" s="2"/>
      <c r="VOD7" s="2"/>
      <c r="VOE7" s="2"/>
      <c r="VOF7" s="2"/>
      <c r="VOG7" s="2"/>
      <c r="VOH7" s="2"/>
      <c r="VOI7" s="2"/>
      <c r="VOJ7" s="2"/>
      <c r="VOK7" s="2"/>
      <c r="VOL7" s="2"/>
      <c r="VOM7" s="2"/>
      <c r="VON7" s="2"/>
      <c r="VOO7" s="2"/>
      <c r="VOP7" s="2"/>
      <c r="VOQ7" s="2"/>
      <c r="VOR7" s="2"/>
      <c r="VOS7" s="2"/>
      <c r="VOT7" s="2"/>
      <c r="VOU7" s="2"/>
      <c r="VOV7" s="2"/>
      <c r="VOW7" s="2"/>
      <c r="VOX7" s="2"/>
      <c r="VOY7" s="2"/>
      <c r="VOZ7" s="2"/>
      <c r="VPA7" s="2"/>
      <c r="VPB7" s="2"/>
      <c r="VPC7" s="2"/>
      <c r="VPD7" s="2"/>
      <c r="VPE7" s="2"/>
      <c r="VPF7" s="2"/>
      <c r="VPG7" s="2"/>
      <c r="VPH7" s="2"/>
      <c r="VPI7" s="2"/>
      <c r="VPJ7" s="2"/>
      <c r="VPK7" s="2"/>
      <c r="VPL7" s="2"/>
      <c r="VPM7" s="2"/>
      <c r="VPN7" s="2"/>
      <c r="VPO7" s="2"/>
      <c r="VPP7" s="2"/>
      <c r="VPQ7" s="2"/>
      <c r="VPR7" s="2"/>
      <c r="VPS7" s="2"/>
      <c r="VPT7" s="2"/>
      <c r="VPU7" s="2"/>
      <c r="VPV7" s="2"/>
      <c r="VPW7" s="2"/>
      <c r="VPX7" s="2"/>
      <c r="VPY7" s="2"/>
      <c r="VPZ7" s="2"/>
      <c r="VQA7" s="2"/>
      <c r="VQB7" s="2"/>
      <c r="VQC7" s="2"/>
      <c r="VQD7" s="2"/>
      <c r="VQE7" s="2"/>
      <c r="VQF7" s="2"/>
      <c r="VQG7" s="2"/>
      <c r="VQH7" s="2"/>
      <c r="VQI7" s="2"/>
      <c r="VQJ7" s="2"/>
      <c r="VQK7" s="2"/>
      <c r="VQL7" s="2"/>
      <c r="VQM7" s="2"/>
      <c r="VQN7" s="2"/>
      <c r="VQO7" s="2"/>
      <c r="VQP7" s="2"/>
      <c r="VQQ7" s="2"/>
      <c r="VQR7" s="2"/>
      <c r="VQS7" s="2"/>
      <c r="VQT7" s="2"/>
      <c r="VQU7" s="2"/>
      <c r="VQV7" s="2"/>
      <c r="VQW7" s="2"/>
      <c r="VQX7" s="2"/>
      <c r="VQY7" s="2"/>
      <c r="VQZ7" s="2"/>
      <c r="VRA7" s="2"/>
      <c r="VRB7" s="2"/>
      <c r="VRC7" s="2"/>
      <c r="VRD7" s="2"/>
      <c r="VRE7" s="2"/>
      <c r="VRF7" s="2"/>
      <c r="VRG7" s="2"/>
      <c r="VRH7" s="2"/>
      <c r="VRI7" s="2"/>
      <c r="VRJ7" s="2"/>
      <c r="VRK7" s="2"/>
      <c r="VRL7" s="2"/>
      <c r="VRM7" s="2"/>
      <c r="VRN7" s="2"/>
      <c r="VRO7" s="2"/>
      <c r="VRP7" s="2"/>
      <c r="VRQ7" s="2"/>
      <c r="VRR7" s="2"/>
      <c r="VRS7" s="2"/>
      <c r="VRT7" s="2"/>
      <c r="VRU7" s="2"/>
      <c r="VRV7" s="2"/>
      <c r="VRW7" s="2"/>
      <c r="VRX7" s="2"/>
      <c r="VRY7" s="2"/>
      <c r="VRZ7" s="2"/>
      <c r="VSA7" s="2"/>
      <c r="VSB7" s="2"/>
      <c r="VSC7" s="2"/>
      <c r="VSD7" s="2"/>
      <c r="VSE7" s="2"/>
      <c r="VSF7" s="2"/>
      <c r="VSG7" s="2"/>
      <c r="VSH7" s="2"/>
      <c r="VSI7" s="2"/>
      <c r="VSJ7" s="2"/>
      <c r="VSK7" s="2"/>
      <c r="VSL7" s="2"/>
      <c r="VSM7" s="2"/>
      <c r="VSN7" s="2"/>
      <c r="VSO7" s="2"/>
      <c r="VSP7" s="2"/>
      <c r="VSQ7" s="2"/>
      <c r="VSR7" s="2"/>
      <c r="VSS7" s="2"/>
      <c r="VST7" s="2"/>
      <c r="VSU7" s="2"/>
      <c r="VSV7" s="2"/>
      <c r="VSW7" s="2"/>
      <c r="VSX7" s="2"/>
      <c r="VSY7" s="2"/>
      <c r="VSZ7" s="2"/>
      <c r="VTA7" s="2"/>
      <c r="VTB7" s="2"/>
      <c r="VTC7" s="2"/>
      <c r="VTD7" s="2"/>
      <c r="VTE7" s="2"/>
      <c r="VTF7" s="2"/>
      <c r="VTG7" s="2"/>
      <c r="VTH7" s="2"/>
      <c r="VTI7" s="2"/>
      <c r="VTJ7" s="2"/>
      <c r="VTK7" s="2"/>
      <c r="VTL7" s="2"/>
      <c r="VTM7" s="2"/>
      <c r="VTN7" s="2"/>
      <c r="VTO7" s="2"/>
      <c r="VTP7" s="2"/>
      <c r="VTQ7" s="2"/>
      <c r="VTR7" s="2"/>
      <c r="VTS7" s="2"/>
      <c r="VTT7" s="2"/>
      <c r="VTU7" s="2"/>
      <c r="VTV7" s="2"/>
      <c r="VTW7" s="2"/>
      <c r="VTX7" s="2"/>
      <c r="VTY7" s="2"/>
      <c r="VTZ7" s="2"/>
      <c r="VUA7" s="2"/>
      <c r="VUB7" s="2"/>
      <c r="VUC7" s="2"/>
      <c r="VUD7" s="2"/>
      <c r="VUE7" s="2"/>
      <c r="VUF7" s="2"/>
      <c r="VUG7" s="2"/>
      <c r="VUH7" s="2"/>
      <c r="VUI7" s="2"/>
      <c r="VUJ7" s="2"/>
      <c r="VUK7" s="2"/>
      <c r="VUL7" s="2"/>
      <c r="VUM7" s="2"/>
      <c r="VUN7" s="2"/>
      <c r="VUO7" s="2"/>
      <c r="VUP7" s="2"/>
      <c r="VUQ7" s="2"/>
      <c r="VUR7" s="2"/>
      <c r="VUS7" s="2"/>
      <c r="VUT7" s="2"/>
      <c r="VUU7" s="2"/>
      <c r="VUV7" s="2"/>
      <c r="VUW7" s="2"/>
      <c r="VUX7" s="2"/>
      <c r="VUY7" s="2"/>
      <c r="VUZ7" s="2"/>
      <c r="VVA7" s="2"/>
      <c r="VVB7" s="2"/>
      <c r="VVC7" s="2"/>
      <c r="VVD7" s="2"/>
      <c r="VVE7" s="2"/>
      <c r="VVF7" s="2"/>
      <c r="VVG7" s="2"/>
      <c r="VVH7" s="2"/>
      <c r="VVI7" s="2"/>
      <c r="VVJ7" s="2"/>
      <c r="VVK7" s="2"/>
      <c r="VVL7" s="2"/>
      <c r="VVM7" s="2"/>
      <c r="VVN7" s="2"/>
      <c r="VVO7" s="2"/>
      <c r="VVP7" s="2"/>
      <c r="VVQ7" s="2"/>
      <c r="VVR7" s="2"/>
      <c r="VVS7" s="2"/>
      <c r="VVT7" s="2"/>
      <c r="VVU7" s="2"/>
      <c r="VVV7" s="2"/>
      <c r="VVW7" s="2"/>
      <c r="VVX7" s="2"/>
      <c r="VVY7" s="2"/>
      <c r="VVZ7" s="2"/>
      <c r="VWA7" s="2"/>
      <c r="VWB7" s="2"/>
      <c r="VWC7" s="2"/>
      <c r="VWD7" s="2"/>
      <c r="VWE7" s="2"/>
      <c r="VWF7" s="2"/>
      <c r="VWG7" s="2"/>
      <c r="VWH7" s="2"/>
      <c r="VWI7" s="2"/>
      <c r="VWJ7" s="2"/>
      <c r="VWK7" s="2"/>
      <c r="VWL7" s="2"/>
      <c r="VWM7" s="2"/>
      <c r="VWN7" s="2"/>
      <c r="VWO7" s="2"/>
      <c r="VWP7" s="2"/>
      <c r="VWQ7" s="2"/>
      <c r="VWR7" s="2"/>
      <c r="VWS7" s="2"/>
      <c r="VWT7" s="2"/>
      <c r="VWU7" s="2"/>
      <c r="VWV7" s="2"/>
      <c r="VWW7" s="2"/>
      <c r="VWX7" s="2"/>
      <c r="VWY7" s="2"/>
      <c r="VWZ7" s="2"/>
      <c r="VXA7" s="2"/>
      <c r="VXB7" s="2"/>
      <c r="VXC7" s="2"/>
      <c r="VXD7" s="2"/>
      <c r="VXE7" s="2"/>
      <c r="VXF7" s="2"/>
      <c r="VXG7" s="2"/>
      <c r="VXH7" s="2"/>
      <c r="VXI7" s="2"/>
      <c r="VXJ7" s="2"/>
      <c r="VXK7" s="2"/>
      <c r="VXL7" s="2"/>
      <c r="VXM7" s="2"/>
      <c r="VXN7" s="2"/>
      <c r="VXO7" s="2"/>
      <c r="VXP7" s="2"/>
      <c r="VXQ7" s="2"/>
      <c r="VXR7" s="2"/>
      <c r="VXS7" s="2"/>
      <c r="VXT7" s="2"/>
      <c r="VXU7" s="2"/>
      <c r="VXV7" s="2"/>
      <c r="VXW7" s="2"/>
      <c r="VXX7" s="2"/>
      <c r="VXY7" s="2"/>
      <c r="VXZ7" s="2"/>
      <c r="VYA7" s="2"/>
      <c r="VYB7" s="2"/>
      <c r="VYC7" s="2"/>
      <c r="VYD7" s="2"/>
      <c r="VYE7" s="2"/>
      <c r="VYF7" s="2"/>
      <c r="VYG7" s="2"/>
      <c r="VYH7" s="2"/>
      <c r="VYI7" s="2"/>
      <c r="VYJ7" s="2"/>
      <c r="VYK7" s="2"/>
      <c r="VYL7" s="2"/>
      <c r="VYM7" s="2"/>
      <c r="VYN7" s="2"/>
      <c r="VYO7" s="2"/>
      <c r="VYP7" s="2"/>
      <c r="VYQ7" s="2"/>
      <c r="VYR7" s="2"/>
      <c r="VYS7" s="2"/>
      <c r="VYT7" s="2"/>
      <c r="VYU7" s="2"/>
      <c r="VYV7" s="2"/>
      <c r="VYW7" s="2"/>
      <c r="VYX7" s="2"/>
      <c r="VYY7" s="2"/>
      <c r="VYZ7" s="2"/>
      <c r="VZA7" s="2"/>
      <c r="VZB7" s="2"/>
      <c r="VZC7" s="2"/>
      <c r="VZD7" s="2"/>
      <c r="VZE7" s="2"/>
      <c r="VZF7" s="2"/>
      <c r="VZG7" s="2"/>
      <c r="VZH7" s="2"/>
      <c r="VZI7" s="2"/>
      <c r="VZJ7" s="2"/>
      <c r="VZK7" s="2"/>
      <c r="VZL7" s="2"/>
      <c r="VZM7" s="2"/>
      <c r="VZN7" s="2"/>
      <c r="VZO7" s="2"/>
      <c r="VZP7" s="2"/>
      <c r="VZQ7" s="2"/>
      <c r="VZR7" s="2"/>
      <c r="VZS7" s="2"/>
      <c r="VZT7" s="2"/>
      <c r="VZU7" s="2"/>
      <c r="VZV7" s="2"/>
      <c r="VZW7" s="2"/>
      <c r="VZX7" s="2"/>
      <c r="VZY7" s="2"/>
      <c r="VZZ7" s="2"/>
      <c r="WAA7" s="2"/>
      <c r="WAB7" s="2"/>
      <c r="WAC7" s="2"/>
      <c r="WAD7" s="2"/>
      <c r="WAE7" s="2"/>
      <c r="WAF7" s="2"/>
      <c r="WAG7" s="2"/>
      <c r="WAH7" s="2"/>
      <c r="WAI7" s="2"/>
      <c r="WAJ7" s="2"/>
      <c r="WAK7" s="2"/>
      <c r="WAL7" s="2"/>
      <c r="WAM7" s="2"/>
      <c r="WAN7" s="2"/>
      <c r="WAO7" s="2"/>
      <c r="WAP7" s="2"/>
      <c r="WAQ7" s="2"/>
      <c r="WAR7" s="2"/>
      <c r="WAS7" s="2"/>
      <c r="WAT7" s="2"/>
      <c r="WAU7" s="2"/>
      <c r="WAV7" s="2"/>
      <c r="WAW7" s="2"/>
      <c r="WAX7" s="2"/>
      <c r="WAY7" s="2"/>
      <c r="WAZ7" s="2"/>
      <c r="WBA7" s="2"/>
      <c r="WBB7" s="2"/>
      <c r="WBC7" s="2"/>
      <c r="WBD7" s="2"/>
      <c r="WBE7" s="2"/>
      <c r="WBF7" s="2"/>
      <c r="WBG7" s="2"/>
      <c r="WBH7" s="2"/>
      <c r="WBI7" s="2"/>
      <c r="WBJ7" s="2"/>
      <c r="WBK7" s="2"/>
      <c r="WBL7" s="2"/>
      <c r="WBM7" s="2"/>
      <c r="WBN7" s="2"/>
      <c r="WBO7" s="2"/>
      <c r="WBP7" s="2"/>
      <c r="WBQ7" s="2"/>
      <c r="WBR7" s="2"/>
      <c r="WBS7" s="2"/>
      <c r="WBT7" s="2"/>
      <c r="WBU7" s="2"/>
      <c r="WBV7" s="2"/>
      <c r="WBW7" s="2"/>
      <c r="WBX7" s="2"/>
      <c r="WBY7" s="2"/>
      <c r="WBZ7" s="2"/>
      <c r="WCA7" s="2"/>
      <c r="WCB7" s="2"/>
      <c r="WCC7" s="2"/>
      <c r="WCD7" s="2"/>
      <c r="WCE7" s="2"/>
      <c r="WCF7" s="2"/>
      <c r="WCG7" s="2"/>
      <c r="WCH7" s="2"/>
      <c r="WCI7" s="2"/>
      <c r="WCJ7" s="2"/>
      <c r="WCK7" s="2"/>
      <c r="WCL7" s="2"/>
      <c r="WCM7" s="2"/>
      <c r="WCN7" s="2"/>
      <c r="WCO7" s="2"/>
      <c r="WCP7" s="2"/>
      <c r="WCQ7" s="2"/>
      <c r="WCR7" s="2"/>
      <c r="WCS7" s="2"/>
      <c r="WCT7" s="2"/>
      <c r="WCU7" s="2"/>
      <c r="WCV7" s="2"/>
      <c r="WCW7" s="2"/>
      <c r="WCX7" s="2"/>
      <c r="WCY7" s="2"/>
      <c r="WCZ7" s="2"/>
      <c r="WDA7" s="2"/>
      <c r="WDB7" s="2"/>
      <c r="WDC7" s="2"/>
      <c r="WDD7" s="2"/>
      <c r="WDE7" s="2"/>
      <c r="WDF7" s="2"/>
      <c r="WDG7" s="2"/>
      <c r="WDH7" s="2"/>
      <c r="WDI7" s="2"/>
      <c r="WDJ7" s="2"/>
      <c r="WDK7" s="2"/>
      <c r="WDL7" s="2"/>
      <c r="WDM7" s="2"/>
      <c r="WDN7" s="2"/>
      <c r="WDO7" s="2"/>
      <c r="WDP7" s="2"/>
      <c r="WDQ7" s="2"/>
      <c r="WDR7" s="2"/>
      <c r="WDS7" s="2"/>
      <c r="WDT7" s="2"/>
      <c r="WDU7" s="2"/>
      <c r="WDV7" s="2"/>
      <c r="WDW7" s="2"/>
      <c r="WDX7" s="2"/>
      <c r="WDY7" s="2"/>
      <c r="WDZ7" s="2"/>
      <c r="WEA7" s="2"/>
      <c r="WEB7" s="2"/>
      <c r="WEC7" s="2"/>
      <c r="WED7" s="2"/>
      <c r="WEE7" s="2"/>
      <c r="WEF7" s="2"/>
      <c r="WEG7" s="2"/>
      <c r="WEH7" s="2"/>
      <c r="WEI7" s="2"/>
      <c r="WEJ7" s="2"/>
      <c r="WEK7" s="2"/>
      <c r="WEL7" s="2"/>
      <c r="WEM7" s="2"/>
      <c r="WEN7" s="2"/>
      <c r="WEO7" s="2"/>
      <c r="WEP7" s="2"/>
      <c r="WEQ7" s="2"/>
      <c r="WER7" s="2"/>
      <c r="WES7" s="2"/>
      <c r="WET7" s="2"/>
      <c r="WEU7" s="2"/>
      <c r="WEV7" s="2"/>
      <c r="WEW7" s="2"/>
      <c r="WEX7" s="2"/>
      <c r="WEY7" s="2"/>
      <c r="WEZ7" s="2"/>
      <c r="WFA7" s="2"/>
      <c r="WFB7" s="2"/>
      <c r="WFC7" s="2"/>
      <c r="WFD7" s="2"/>
      <c r="WFE7" s="2"/>
      <c r="WFF7" s="2"/>
      <c r="WFG7" s="2"/>
      <c r="WFH7" s="2"/>
      <c r="WFI7" s="2"/>
      <c r="WFJ7" s="2"/>
      <c r="WFK7" s="2"/>
      <c r="WFL7" s="2"/>
      <c r="WFM7" s="2"/>
      <c r="WFN7" s="2"/>
      <c r="WFO7" s="2"/>
      <c r="WFP7" s="2"/>
      <c r="WFQ7" s="2"/>
      <c r="WFR7" s="2"/>
      <c r="WFS7" s="2"/>
      <c r="WFT7" s="2"/>
      <c r="WFU7" s="2"/>
      <c r="WFV7" s="2"/>
      <c r="WFW7" s="2"/>
      <c r="WFX7" s="2"/>
      <c r="WFY7" s="2"/>
      <c r="WFZ7" s="2"/>
      <c r="WGA7" s="2"/>
      <c r="WGB7" s="2"/>
      <c r="WGC7" s="2"/>
      <c r="WGD7" s="2"/>
      <c r="WGE7" s="2"/>
      <c r="WGF7" s="2"/>
      <c r="WGG7" s="2"/>
      <c r="WGH7" s="2"/>
      <c r="WGI7" s="2"/>
      <c r="WGJ7" s="2"/>
      <c r="WGK7" s="2"/>
      <c r="WGL7" s="2"/>
      <c r="WGM7" s="2"/>
      <c r="WGN7" s="2"/>
      <c r="WGO7" s="2"/>
      <c r="WGP7" s="2"/>
      <c r="WGQ7" s="2"/>
      <c r="WGR7" s="2"/>
      <c r="WGS7" s="2"/>
      <c r="WGT7" s="2"/>
      <c r="WGU7" s="2"/>
      <c r="WGV7" s="2"/>
      <c r="WGW7" s="2"/>
      <c r="WGX7" s="2"/>
      <c r="WGY7" s="2"/>
      <c r="WGZ7" s="2"/>
      <c r="WHA7" s="2"/>
      <c r="WHB7" s="2"/>
      <c r="WHC7" s="2"/>
      <c r="WHD7" s="2"/>
      <c r="WHE7" s="2"/>
      <c r="WHF7" s="2"/>
      <c r="WHG7" s="2"/>
      <c r="WHH7" s="2"/>
      <c r="WHI7" s="2"/>
      <c r="WHJ7" s="2"/>
      <c r="WHK7" s="2"/>
      <c r="WHL7" s="2"/>
      <c r="WHM7" s="2"/>
      <c r="WHN7" s="2"/>
      <c r="WHO7" s="2"/>
      <c r="WHP7" s="2"/>
      <c r="WHQ7" s="2"/>
      <c r="WHR7" s="2"/>
      <c r="WHS7" s="2"/>
      <c r="WHT7" s="2"/>
      <c r="WHU7" s="2"/>
      <c r="WHV7" s="2"/>
      <c r="WHW7" s="2"/>
      <c r="WHX7" s="2"/>
      <c r="WHY7" s="2"/>
      <c r="WHZ7" s="2"/>
      <c r="WIA7" s="2"/>
      <c r="WIB7" s="2"/>
      <c r="WIC7" s="2"/>
      <c r="WID7" s="2"/>
      <c r="WIE7" s="2"/>
      <c r="WIF7" s="2"/>
      <c r="WIG7" s="2"/>
      <c r="WIH7" s="2"/>
      <c r="WII7" s="2"/>
      <c r="WIJ7" s="2"/>
      <c r="WIK7" s="2"/>
      <c r="WIL7" s="2"/>
      <c r="WIM7" s="2"/>
      <c r="WIN7" s="2"/>
      <c r="WIO7" s="2"/>
      <c r="WIP7" s="2"/>
      <c r="WIQ7" s="2"/>
      <c r="WIR7" s="2"/>
      <c r="WIS7" s="2"/>
      <c r="WIT7" s="2"/>
      <c r="WIU7" s="2"/>
      <c r="WIV7" s="2"/>
      <c r="WIW7" s="2"/>
      <c r="WIX7" s="2"/>
      <c r="WIY7" s="2"/>
      <c r="WIZ7" s="2"/>
      <c r="WJA7" s="2"/>
      <c r="WJB7" s="2"/>
      <c r="WJC7" s="2"/>
      <c r="WJD7" s="2"/>
      <c r="WJE7" s="2"/>
      <c r="WJF7" s="2"/>
      <c r="WJG7" s="2"/>
      <c r="WJH7" s="2"/>
      <c r="WJI7" s="2"/>
      <c r="WJJ7" s="2"/>
      <c r="WJK7" s="2"/>
      <c r="WJL7" s="2"/>
      <c r="WJM7" s="2"/>
      <c r="WJN7" s="2"/>
      <c r="WJO7" s="2"/>
      <c r="WJP7" s="2"/>
      <c r="WJQ7" s="2"/>
      <c r="WJR7" s="2"/>
      <c r="WJS7" s="2"/>
      <c r="WJT7" s="2"/>
      <c r="WJU7" s="2"/>
      <c r="WJV7" s="2"/>
      <c r="WJW7" s="2"/>
      <c r="WJX7" s="2"/>
      <c r="WJY7" s="2"/>
      <c r="WJZ7" s="2"/>
      <c r="WKA7" s="2"/>
      <c r="WKB7" s="2"/>
      <c r="WKC7" s="2"/>
      <c r="WKD7" s="2"/>
      <c r="WKE7" s="2"/>
      <c r="WKF7" s="2"/>
      <c r="WKG7" s="2"/>
      <c r="WKH7" s="2"/>
      <c r="WKI7" s="2"/>
      <c r="WKJ7" s="2"/>
      <c r="WKK7" s="2"/>
      <c r="WKL7" s="2"/>
      <c r="WKM7" s="2"/>
      <c r="WKN7" s="2"/>
      <c r="WKO7" s="2"/>
      <c r="WKP7" s="2"/>
      <c r="WKQ7" s="2"/>
      <c r="WKR7" s="2"/>
      <c r="WKS7" s="2"/>
      <c r="WKT7" s="2"/>
      <c r="WKU7" s="2"/>
      <c r="WKV7" s="2"/>
      <c r="WKW7" s="2"/>
      <c r="WKX7" s="2"/>
      <c r="WKY7" s="2"/>
      <c r="WKZ7" s="2"/>
      <c r="WLA7" s="2"/>
      <c r="WLB7" s="2"/>
      <c r="WLC7" s="2"/>
      <c r="WLD7" s="2"/>
      <c r="WLE7" s="2"/>
      <c r="WLF7" s="2"/>
      <c r="WLG7" s="2"/>
      <c r="WLH7" s="2"/>
      <c r="WLI7" s="2"/>
      <c r="WLJ7" s="2"/>
      <c r="WLK7" s="2"/>
      <c r="WLL7" s="2"/>
      <c r="WLM7" s="2"/>
      <c r="WLN7" s="2"/>
      <c r="WLO7" s="2"/>
      <c r="WLP7" s="2"/>
      <c r="WLQ7" s="2"/>
      <c r="WLR7" s="2"/>
      <c r="WLS7" s="2"/>
      <c r="WLT7" s="2"/>
      <c r="WLU7" s="2"/>
      <c r="WLV7" s="2"/>
      <c r="WLW7" s="2"/>
      <c r="WLX7" s="2"/>
      <c r="WLY7" s="2"/>
      <c r="WLZ7" s="2"/>
      <c r="WMA7" s="2"/>
      <c r="WMB7" s="2"/>
      <c r="WMC7" s="2"/>
      <c r="WMD7" s="2"/>
      <c r="WME7" s="2"/>
      <c r="WMF7" s="2"/>
      <c r="WMG7" s="2"/>
      <c r="WMH7" s="2"/>
      <c r="WMI7" s="2"/>
      <c r="WMJ7" s="2"/>
      <c r="WMK7" s="2"/>
      <c r="WML7" s="2"/>
      <c r="WMM7" s="2"/>
      <c r="WMN7" s="2"/>
      <c r="WMO7" s="2"/>
      <c r="WMP7" s="2"/>
      <c r="WMQ7" s="2"/>
      <c r="WMR7" s="2"/>
      <c r="WMS7" s="2"/>
      <c r="WMT7" s="2"/>
      <c r="WMU7" s="2"/>
      <c r="WMV7" s="2"/>
      <c r="WMW7" s="2"/>
      <c r="WMX7" s="2"/>
      <c r="WMY7" s="2"/>
      <c r="WMZ7" s="2"/>
      <c r="WNA7" s="2"/>
      <c r="WNB7" s="2"/>
      <c r="WNC7" s="2"/>
      <c r="WND7" s="2"/>
      <c r="WNE7" s="2"/>
      <c r="WNF7" s="2"/>
      <c r="WNG7" s="2"/>
      <c r="WNH7" s="2"/>
      <c r="WNI7" s="2"/>
      <c r="WNJ7" s="2"/>
      <c r="WNK7" s="2"/>
      <c r="WNL7" s="2"/>
      <c r="WNM7" s="2"/>
      <c r="WNN7" s="2"/>
      <c r="WNO7" s="2"/>
      <c r="WNP7" s="2"/>
      <c r="WNQ7" s="2"/>
      <c r="WNR7" s="2"/>
      <c r="WNS7" s="2"/>
      <c r="WNT7" s="2"/>
      <c r="WNU7" s="2"/>
      <c r="WNV7" s="2"/>
      <c r="WNW7" s="2"/>
      <c r="WNX7" s="2"/>
      <c r="WNY7" s="2"/>
      <c r="WNZ7" s="2"/>
      <c r="WOA7" s="2"/>
      <c r="WOB7" s="2"/>
      <c r="WOC7" s="2"/>
      <c r="WOD7" s="2"/>
      <c r="WOE7" s="2"/>
      <c r="WOF7" s="2"/>
      <c r="WOG7" s="2"/>
      <c r="WOH7" s="2"/>
      <c r="WOI7" s="2"/>
      <c r="WOJ7" s="2"/>
      <c r="WOK7" s="2"/>
      <c r="WOL7" s="2"/>
      <c r="WOM7" s="2"/>
      <c r="WON7" s="2"/>
      <c r="WOO7" s="2"/>
      <c r="WOP7" s="2"/>
      <c r="WOQ7" s="2"/>
      <c r="WOR7" s="2"/>
      <c r="WOS7" s="2"/>
      <c r="WOT7" s="2"/>
      <c r="WOU7" s="2"/>
      <c r="WOV7" s="2"/>
      <c r="WOW7" s="2"/>
      <c r="WOX7" s="2"/>
      <c r="WOY7" s="2"/>
      <c r="WOZ7" s="2"/>
      <c r="WPA7" s="2"/>
      <c r="WPB7" s="2"/>
      <c r="WPC7" s="2"/>
      <c r="WPD7" s="2"/>
      <c r="WPE7" s="2"/>
      <c r="WPF7" s="2"/>
      <c r="WPG7" s="2"/>
      <c r="WPH7" s="2"/>
      <c r="WPI7" s="2"/>
      <c r="WPJ7" s="2"/>
      <c r="WPK7" s="2"/>
      <c r="WPL7" s="2"/>
      <c r="WPM7" s="2"/>
      <c r="WPN7" s="2"/>
      <c r="WPO7" s="2"/>
      <c r="WPP7" s="2"/>
      <c r="WPQ7" s="2"/>
      <c r="WPR7" s="2"/>
      <c r="WPS7" s="2"/>
      <c r="WPT7" s="2"/>
      <c r="WPU7" s="2"/>
      <c r="WPV7" s="2"/>
      <c r="WPW7" s="2"/>
      <c r="WPX7" s="2"/>
      <c r="WPY7" s="2"/>
      <c r="WPZ7" s="2"/>
      <c r="WQA7" s="2"/>
      <c r="WQB7" s="2"/>
      <c r="WQC7" s="2"/>
      <c r="WQD7" s="2"/>
      <c r="WQE7" s="2"/>
      <c r="WQF7" s="2"/>
      <c r="WQG7" s="2"/>
      <c r="WQH7" s="2"/>
      <c r="WQI7" s="2"/>
      <c r="WQJ7" s="2"/>
      <c r="WQK7" s="2"/>
      <c r="WQL7" s="2"/>
      <c r="WQM7" s="2"/>
      <c r="WQN7" s="2"/>
      <c r="WQO7" s="2"/>
      <c r="WQP7" s="2"/>
      <c r="WQQ7" s="2"/>
      <c r="WQR7" s="2"/>
      <c r="WQS7" s="2"/>
      <c r="WQT7" s="2"/>
      <c r="WQU7" s="2"/>
      <c r="WQV7" s="2"/>
      <c r="WQW7" s="2"/>
      <c r="WQX7" s="2"/>
      <c r="WQY7" s="2"/>
      <c r="WQZ7" s="2"/>
      <c r="WRA7" s="2"/>
      <c r="WRB7" s="2"/>
      <c r="WRC7" s="2"/>
      <c r="WRD7" s="2"/>
      <c r="WRE7" s="2"/>
      <c r="WRF7" s="2"/>
      <c r="WRG7" s="2"/>
      <c r="WRH7" s="2"/>
      <c r="WRI7" s="2"/>
      <c r="WRJ7" s="2"/>
      <c r="WRK7" s="2"/>
      <c r="WRL7" s="2"/>
      <c r="WRM7" s="2"/>
      <c r="WRN7" s="2"/>
      <c r="WRO7" s="2"/>
      <c r="WRP7" s="2"/>
      <c r="WRQ7" s="2"/>
      <c r="WRR7" s="2"/>
      <c r="WRS7" s="2"/>
      <c r="WRT7" s="2"/>
      <c r="WRU7" s="2"/>
      <c r="WRV7" s="2"/>
      <c r="WRW7" s="2"/>
      <c r="WRX7" s="2"/>
      <c r="WRY7" s="2"/>
      <c r="WRZ7" s="2"/>
      <c r="WSA7" s="2"/>
      <c r="WSB7" s="2"/>
      <c r="WSC7" s="2"/>
      <c r="WSD7" s="2"/>
      <c r="WSE7" s="2"/>
      <c r="WSF7" s="2"/>
      <c r="WSG7" s="2"/>
      <c r="WSH7" s="2"/>
      <c r="WSI7" s="2"/>
      <c r="WSJ7" s="2"/>
      <c r="WSK7" s="2"/>
      <c r="WSL7" s="2"/>
      <c r="WSM7" s="2"/>
      <c r="WSN7" s="2"/>
      <c r="WSO7" s="2"/>
      <c r="WSP7" s="2"/>
      <c r="WSQ7" s="2"/>
      <c r="WSR7" s="2"/>
      <c r="WSS7" s="2"/>
      <c r="WST7" s="2"/>
      <c r="WSU7" s="2"/>
      <c r="WSV7" s="2"/>
      <c r="WSW7" s="2"/>
      <c r="WSX7" s="2"/>
      <c r="WSY7" s="2"/>
      <c r="WSZ7" s="2"/>
      <c r="WTA7" s="2"/>
      <c r="WTB7" s="2"/>
      <c r="WTC7" s="2"/>
      <c r="WTD7" s="2"/>
      <c r="WTE7" s="2"/>
      <c r="WTF7" s="2"/>
      <c r="WTG7" s="2"/>
      <c r="WTH7" s="2"/>
      <c r="WTI7" s="2"/>
      <c r="WTJ7" s="2"/>
      <c r="WTK7" s="2"/>
      <c r="WTL7" s="2"/>
      <c r="WTM7" s="2"/>
      <c r="WTN7" s="2"/>
      <c r="WTO7" s="2"/>
      <c r="WTP7" s="2"/>
      <c r="WTQ7" s="2"/>
      <c r="WTR7" s="2"/>
      <c r="WTS7" s="2"/>
      <c r="WTT7" s="2"/>
      <c r="WTU7" s="2"/>
      <c r="WTV7" s="2"/>
      <c r="WTW7" s="2"/>
      <c r="WTX7" s="2"/>
      <c r="WTY7" s="2"/>
      <c r="WTZ7" s="2"/>
      <c r="WUA7" s="2"/>
      <c r="WUB7" s="2"/>
      <c r="WUC7" s="2"/>
      <c r="WUD7" s="2"/>
      <c r="WUE7" s="2"/>
      <c r="WUF7" s="2"/>
      <c r="WUG7" s="2"/>
      <c r="WUH7" s="2"/>
      <c r="WUI7" s="2"/>
      <c r="WUJ7" s="2"/>
      <c r="WUK7" s="2"/>
      <c r="WUL7" s="2"/>
      <c r="WUM7" s="2"/>
      <c r="WUN7" s="2"/>
      <c r="WUO7" s="2"/>
      <c r="WUP7" s="2"/>
      <c r="WUQ7" s="2"/>
      <c r="WUR7" s="2"/>
      <c r="WUS7" s="2"/>
      <c r="WUT7" s="2"/>
      <c r="WUU7" s="2"/>
      <c r="WUV7" s="2"/>
      <c r="WUW7" s="2"/>
      <c r="WUX7" s="2"/>
      <c r="WUY7" s="2"/>
      <c r="WUZ7" s="2"/>
      <c r="WVA7" s="2"/>
      <c r="WVB7" s="2"/>
      <c r="WVC7" s="2"/>
      <c r="WVD7" s="2"/>
      <c r="WVE7" s="2"/>
      <c r="WVF7" s="2"/>
      <c r="WVG7" s="2"/>
      <c r="WVH7" s="2"/>
      <c r="WVI7" s="2"/>
      <c r="WVJ7" s="2"/>
      <c r="WVK7" s="2"/>
      <c r="WVL7" s="2"/>
      <c r="WVM7" s="2"/>
      <c r="WVN7" s="2"/>
      <c r="WVO7" s="2"/>
      <c r="WVP7" s="2"/>
      <c r="WVQ7" s="2"/>
      <c r="WVR7" s="2"/>
      <c r="WVS7" s="2"/>
      <c r="WVT7" s="2"/>
      <c r="WVU7" s="2"/>
      <c r="WVV7" s="2"/>
      <c r="WVW7" s="2"/>
      <c r="WVX7" s="2"/>
      <c r="WVY7" s="2"/>
      <c r="WVZ7" s="2"/>
      <c r="WWA7" s="2"/>
      <c r="WWB7" s="2"/>
      <c r="WWC7" s="2"/>
      <c r="WWD7" s="2"/>
      <c r="WWE7" s="2"/>
      <c r="WWF7" s="2"/>
      <c r="WWG7" s="2"/>
      <c r="WWH7" s="2"/>
      <c r="WWI7" s="2"/>
      <c r="WWJ7" s="2"/>
      <c r="WWK7" s="2"/>
      <c r="WWL7" s="2"/>
      <c r="WWM7" s="2"/>
      <c r="WWN7" s="2"/>
      <c r="WWO7" s="2"/>
      <c r="WWP7" s="2"/>
      <c r="WWQ7" s="2"/>
      <c r="WWR7" s="2"/>
      <c r="WWS7" s="2"/>
      <c r="WWT7" s="2"/>
      <c r="WWU7" s="2"/>
      <c r="WWV7" s="2"/>
      <c r="WWW7" s="2"/>
      <c r="WWX7" s="2"/>
      <c r="WWY7" s="2"/>
      <c r="WWZ7" s="2"/>
      <c r="WXA7" s="2"/>
      <c r="WXB7" s="2"/>
      <c r="WXC7" s="2"/>
      <c r="WXD7" s="2"/>
      <c r="WXE7" s="2"/>
      <c r="WXF7" s="2"/>
      <c r="WXG7" s="2"/>
      <c r="WXH7" s="2"/>
      <c r="WXI7" s="2"/>
      <c r="WXJ7" s="2"/>
      <c r="WXK7" s="2"/>
      <c r="WXL7" s="2"/>
      <c r="WXM7" s="2"/>
      <c r="WXN7" s="2"/>
      <c r="WXO7" s="2"/>
      <c r="WXP7" s="2"/>
      <c r="WXQ7" s="2"/>
      <c r="WXR7" s="2"/>
      <c r="WXS7" s="2"/>
      <c r="WXT7" s="2"/>
      <c r="WXU7" s="2"/>
      <c r="WXV7" s="2"/>
      <c r="WXW7" s="2"/>
      <c r="WXX7" s="2"/>
      <c r="WXY7" s="2"/>
      <c r="WXZ7" s="2"/>
      <c r="WYA7" s="2"/>
      <c r="WYB7" s="2"/>
      <c r="WYC7" s="2"/>
      <c r="WYD7" s="2"/>
      <c r="WYE7" s="2"/>
      <c r="WYF7" s="2"/>
      <c r="WYG7" s="2"/>
      <c r="WYH7" s="2"/>
      <c r="WYI7" s="2"/>
      <c r="WYJ7" s="2"/>
      <c r="WYK7" s="2"/>
      <c r="WYL7" s="2"/>
      <c r="WYM7" s="2"/>
      <c r="WYN7" s="2"/>
      <c r="WYO7" s="2"/>
      <c r="WYP7" s="2"/>
      <c r="WYQ7" s="2"/>
      <c r="WYR7" s="2"/>
      <c r="WYS7" s="2"/>
      <c r="WYT7" s="2"/>
      <c r="WYU7" s="2"/>
      <c r="WYV7" s="2"/>
      <c r="WYW7" s="2"/>
      <c r="WYX7" s="2"/>
      <c r="WYY7" s="2"/>
      <c r="WYZ7" s="2"/>
      <c r="WZA7" s="2"/>
      <c r="WZB7" s="2"/>
      <c r="WZC7" s="2"/>
      <c r="WZD7" s="2"/>
      <c r="WZE7" s="2"/>
      <c r="WZF7" s="2"/>
      <c r="WZG7" s="2"/>
      <c r="WZH7" s="2"/>
      <c r="WZI7" s="2"/>
      <c r="WZJ7" s="2"/>
      <c r="WZK7" s="2"/>
      <c r="WZL7" s="2"/>
      <c r="WZM7" s="2"/>
      <c r="WZN7" s="2"/>
      <c r="WZO7" s="2"/>
      <c r="WZP7" s="2"/>
      <c r="WZQ7" s="2"/>
      <c r="WZR7" s="2"/>
      <c r="WZS7" s="2"/>
      <c r="WZT7" s="2"/>
      <c r="WZU7" s="2"/>
      <c r="WZV7" s="2"/>
      <c r="WZW7" s="2"/>
      <c r="WZX7" s="2"/>
      <c r="WZY7" s="2"/>
      <c r="WZZ7" s="2"/>
      <c r="XAA7" s="2"/>
      <c r="XAB7" s="2"/>
      <c r="XAC7" s="2"/>
      <c r="XAD7" s="2"/>
      <c r="XAE7" s="2"/>
      <c r="XAF7" s="2"/>
      <c r="XAG7" s="2"/>
      <c r="XAH7" s="2"/>
      <c r="XAI7" s="2"/>
      <c r="XAJ7" s="2"/>
      <c r="XAK7" s="2"/>
      <c r="XAL7" s="2"/>
      <c r="XAM7" s="2"/>
      <c r="XAN7" s="2"/>
      <c r="XAO7" s="2"/>
      <c r="XAP7" s="2"/>
      <c r="XAQ7" s="2"/>
      <c r="XAR7" s="2"/>
      <c r="XAS7" s="2"/>
      <c r="XAT7" s="2"/>
      <c r="XAU7" s="2"/>
      <c r="XAV7" s="2"/>
      <c r="XAW7" s="2"/>
      <c r="XAX7" s="2"/>
      <c r="XAY7" s="2"/>
      <c r="XAZ7" s="2"/>
      <c r="XBA7" s="2"/>
      <c r="XBB7" s="2"/>
      <c r="XBC7" s="2"/>
      <c r="XBD7" s="2"/>
      <c r="XBE7" s="2"/>
      <c r="XBF7" s="2"/>
      <c r="XBG7" s="2"/>
      <c r="XBH7" s="2"/>
      <c r="XBI7" s="2"/>
      <c r="XBJ7" s="2"/>
      <c r="XBK7" s="2"/>
      <c r="XBL7" s="2"/>
      <c r="XBM7" s="2"/>
      <c r="XBN7" s="2"/>
      <c r="XBO7" s="2"/>
      <c r="XBP7" s="2"/>
      <c r="XBQ7" s="2"/>
      <c r="XBR7" s="2"/>
      <c r="XBS7" s="2"/>
      <c r="XBT7" s="2"/>
      <c r="XBU7" s="2"/>
      <c r="XBV7" s="2"/>
      <c r="XBW7" s="2"/>
      <c r="XBX7" s="2"/>
      <c r="XBY7" s="2"/>
      <c r="XBZ7" s="2"/>
      <c r="XCA7" s="2"/>
      <c r="XCB7" s="2"/>
      <c r="XCC7" s="2"/>
      <c r="XCD7" s="2"/>
      <c r="XCE7" s="2"/>
      <c r="XCF7" s="2"/>
      <c r="XCG7" s="2"/>
      <c r="XCH7" s="2"/>
      <c r="XCI7" s="2"/>
      <c r="XCJ7" s="2"/>
      <c r="XCK7" s="2"/>
      <c r="XCL7" s="2"/>
      <c r="XCM7" s="2"/>
      <c r="XCN7" s="2"/>
      <c r="XCO7" s="2"/>
      <c r="XCP7" s="2"/>
      <c r="XCQ7" s="2"/>
      <c r="XCR7" s="2"/>
      <c r="XCS7" s="2"/>
      <c r="XCT7" s="2"/>
      <c r="XCU7" s="2"/>
      <c r="XCV7" s="2"/>
      <c r="XCW7" s="2"/>
      <c r="XCX7" s="2"/>
      <c r="XCY7" s="2"/>
      <c r="XCZ7" s="2"/>
      <c r="XDA7" s="2"/>
      <c r="XDB7" s="2"/>
      <c r="XDC7" s="2"/>
      <c r="XDD7" s="2"/>
      <c r="XDE7" s="2"/>
      <c r="XDF7" s="2"/>
      <c r="XDG7" s="2"/>
      <c r="XDH7" s="2"/>
      <c r="XDI7" s="2"/>
      <c r="XDJ7" s="2"/>
      <c r="XDK7" s="2"/>
      <c r="XDL7" s="2"/>
      <c r="XDM7" s="2"/>
      <c r="XDN7" s="2"/>
      <c r="XDO7" s="2"/>
      <c r="XDP7" s="2"/>
      <c r="XDQ7" s="2"/>
      <c r="XDR7" s="2"/>
      <c r="XDS7" s="2"/>
      <c r="XDT7" s="2"/>
      <c r="XDU7" s="2"/>
      <c r="XDV7" s="2"/>
      <c r="XDW7" s="2"/>
      <c r="XDX7" s="2"/>
      <c r="XDY7" s="2"/>
      <c r="XDZ7" s="2"/>
      <c r="XEA7" s="2"/>
      <c r="XEB7" s="2"/>
      <c r="XEC7" s="2"/>
    </row>
    <row r="8" spans="1:16384" customFormat="1" ht="15.95" customHeight="1" x14ac:dyDescent="0.25">
      <c r="A8" s="19" t="s">
        <v>157</v>
      </c>
      <c r="B8" s="19" t="s">
        <v>156</v>
      </c>
      <c r="C8" s="33">
        <v>1</v>
      </c>
      <c r="D8" s="33">
        <v>1</v>
      </c>
      <c r="E8" s="33">
        <v>1</v>
      </c>
      <c r="F8" s="33">
        <v>7</v>
      </c>
      <c r="G8" s="33">
        <v>1</v>
      </c>
      <c r="H8" s="33" cm="1">
        <f t="array" ref="H8">G8*_xlfn.IFS(Настройки!$B$2="M",'Печатные изд.'!C8,Настройки!$B$2="L",'Печатные изд.'!D8,Настройки!$B$2="XL",'Печатные изд.'!E8)</f>
        <v>1</v>
      </c>
      <c r="I8" s="41">
        <f t="shared" si="0"/>
        <v>7</v>
      </c>
      <c r="J8" s="33" t="s">
        <v>509</v>
      </c>
      <c r="K8" s="41" cm="1">
        <f t="array" ref="K8">_xlfn.IFS(J8="Высоконагруженная",Настройки!$B$6,J8="Средне-нагруженная",Настройки!$B$7,J8="Ненагруженная",Настройки!$B$8,J8="Гибкая",Настройки!$B$9)</f>
        <v>1.21</v>
      </c>
      <c r="L8" s="41" cm="1">
        <f t="array" ref="L8">_xlfn.IFS(J8="Высоконагруженная",Настройки!$C$6,J8="Средне-нагруженная",Настройки!$C$7,J8="Ненагруженная",Настройки!$C$8,J8="Гибкая",Настройки!$C$9)/1000</f>
        <v>5</v>
      </c>
      <c r="M8" s="51">
        <f t="shared" si="1"/>
        <v>8.4699999999999989</v>
      </c>
      <c r="N8" s="51">
        <f t="shared" si="2"/>
        <v>0</v>
      </c>
      <c r="O8" s="51">
        <f t="shared" si="3"/>
        <v>0</v>
      </c>
      <c r="P8" s="51">
        <f t="shared" si="4"/>
        <v>0</v>
      </c>
      <c r="Q8" s="52">
        <f t="shared" si="5"/>
        <v>42.349999999999994</v>
      </c>
      <c r="R8" s="43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  <c r="CEP8" s="2"/>
      <c r="CEQ8" s="2"/>
      <c r="CER8" s="2"/>
      <c r="CES8" s="2"/>
      <c r="CET8" s="2"/>
      <c r="CEU8" s="2"/>
      <c r="CEV8" s="2"/>
      <c r="CEW8" s="2"/>
      <c r="CEX8" s="2"/>
      <c r="CEY8" s="2"/>
      <c r="CEZ8" s="2"/>
      <c r="CFA8" s="2"/>
      <c r="CFB8" s="2"/>
      <c r="CFC8" s="2"/>
      <c r="CFD8" s="2"/>
      <c r="CFE8" s="2"/>
      <c r="CFF8" s="2"/>
      <c r="CFG8" s="2"/>
      <c r="CFH8" s="2"/>
      <c r="CFI8" s="2"/>
      <c r="CFJ8" s="2"/>
      <c r="CFK8" s="2"/>
      <c r="CFL8" s="2"/>
      <c r="CFM8" s="2"/>
      <c r="CFN8" s="2"/>
      <c r="CFO8" s="2"/>
      <c r="CFP8" s="2"/>
      <c r="CFQ8" s="2"/>
      <c r="CFR8" s="2"/>
      <c r="CFS8" s="2"/>
      <c r="CFT8" s="2"/>
      <c r="CFU8" s="2"/>
      <c r="CFV8" s="2"/>
      <c r="CFW8" s="2"/>
      <c r="CFX8" s="2"/>
      <c r="CFY8" s="2"/>
      <c r="CFZ8" s="2"/>
      <c r="CGA8" s="2"/>
      <c r="CGB8" s="2"/>
      <c r="CGC8" s="2"/>
      <c r="CGD8" s="2"/>
      <c r="CGE8" s="2"/>
      <c r="CGF8" s="2"/>
      <c r="CGG8" s="2"/>
      <c r="CGH8" s="2"/>
      <c r="CGI8" s="2"/>
      <c r="CGJ8" s="2"/>
      <c r="CGK8" s="2"/>
      <c r="CGL8" s="2"/>
      <c r="CGM8" s="2"/>
      <c r="CGN8" s="2"/>
      <c r="CGO8" s="2"/>
      <c r="CGP8" s="2"/>
      <c r="CGQ8" s="2"/>
      <c r="CGR8" s="2"/>
      <c r="CGS8" s="2"/>
      <c r="CGT8" s="2"/>
      <c r="CGU8" s="2"/>
      <c r="CGV8" s="2"/>
      <c r="CGW8" s="2"/>
      <c r="CGX8" s="2"/>
      <c r="CGY8" s="2"/>
      <c r="CGZ8" s="2"/>
      <c r="CHA8" s="2"/>
      <c r="CHB8" s="2"/>
      <c r="CHC8" s="2"/>
      <c r="CHD8" s="2"/>
      <c r="CHE8" s="2"/>
      <c r="CHF8" s="2"/>
      <c r="CHG8" s="2"/>
      <c r="CHH8" s="2"/>
      <c r="CHI8" s="2"/>
      <c r="CHJ8" s="2"/>
      <c r="CHK8" s="2"/>
      <c r="CHL8" s="2"/>
      <c r="CHM8" s="2"/>
      <c r="CHN8" s="2"/>
      <c r="CHO8" s="2"/>
      <c r="CHP8" s="2"/>
      <c r="CHQ8" s="2"/>
      <c r="CHR8" s="2"/>
      <c r="CHS8" s="2"/>
      <c r="CHT8" s="2"/>
      <c r="CHU8" s="2"/>
      <c r="CHV8" s="2"/>
      <c r="CHW8" s="2"/>
      <c r="CHX8" s="2"/>
      <c r="CHY8" s="2"/>
      <c r="CHZ8" s="2"/>
      <c r="CIA8" s="2"/>
      <c r="CIB8" s="2"/>
      <c r="CIC8" s="2"/>
      <c r="CID8" s="2"/>
      <c r="CIE8" s="2"/>
      <c r="CIF8" s="2"/>
      <c r="CIG8" s="2"/>
      <c r="CIH8" s="2"/>
      <c r="CII8" s="2"/>
      <c r="CIJ8" s="2"/>
      <c r="CIK8" s="2"/>
      <c r="CIL8" s="2"/>
      <c r="CIM8" s="2"/>
      <c r="CIN8" s="2"/>
      <c r="CIO8" s="2"/>
      <c r="CIP8" s="2"/>
      <c r="CIQ8" s="2"/>
      <c r="CIR8" s="2"/>
      <c r="CIS8" s="2"/>
      <c r="CIT8" s="2"/>
      <c r="CIU8" s="2"/>
      <c r="CIV8" s="2"/>
      <c r="CIW8" s="2"/>
      <c r="CIX8" s="2"/>
      <c r="CIY8" s="2"/>
      <c r="CIZ8" s="2"/>
      <c r="CJA8" s="2"/>
      <c r="CJB8" s="2"/>
      <c r="CJC8" s="2"/>
      <c r="CJD8" s="2"/>
      <c r="CJE8" s="2"/>
      <c r="CJF8" s="2"/>
      <c r="CJG8" s="2"/>
      <c r="CJH8" s="2"/>
      <c r="CJI8" s="2"/>
      <c r="CJJ8" s="2"/>
      <c r="CJK8" s="2"/>
      <c r="CJL8" s="2"/>
      <c r="CJM8" s="2"/>
      <c r="CJN8" s="2"/>
      <c r="CJO8" s="2"/>
      <c r="CJP8" s="2"/>
      <c r="CJQ8" s="2"/>
      <c r="CJR8" s="2"/>
      <c r="CJS8" s="2"/>
      <c r="CJT8" s="2"/>
      <c r="CJU8" s="2"/>
      <c r="CJV8" s="2"/>
      <c r="CJW8" s="2"/>
      <c r="CJX8" s="2"/>
      <c r="CJY8" s="2"/>
      <c r="CJZ8" s="2"/>
      <c r="CKA8" s="2"/>
      <c r="CKB8" s="2"/>
      <c r="CKC8" s="2"/>
      <c r="CKD8" s="2"/>
      <c r="CKE8" s="2"/>
      <c r="CKF8" s="2"/>
      <c r="CKG8" s="2"/>
      <c r="CKH8" s="2"/>
      <c r="CKI8" s="2"/>
      <c r="CKJ8" s="2"/>
      <c r="CKK8" s="2"/>
      <c r="CKL8" s="2"/>
      <c r="CKM8" s="2"/>
      <c r="CKN8" s="2"/>
      <c r="CKO8" s="2"/>
      <c r="CKP8" s="2"/>
      <c r="CKQ8" s="2"/>
      <c r="CKR8" s="2"/>
      <c r="CKS8" s="2"/>
      <c r="CKT8" s="2"/>
      <c r="CKU8" s="2"/>
      <c r="CKV8" s="2"/>
      <c r="CKW8" s="2"/>
      <c r="CKX8" s="2"/>
      <c r="CKY8" s="2"/>
      <c r="CKZ8" s="2"/>
      <c r="CLA8" s="2"/>
      <c r="CLB8" s="2"/>
      <c r="CLC8" s="2"/>
      <c r="CLD8" s="2"/>
      <c r="CLE8" s="2"/>
      <c r="CLF8" s="2"/>
      <c r="CLG8" s="2"/>
      <c r="CLH8" s="2"/>
      <c r="CLI8" s="2"/>
      <c r="CLJ8" s="2"/>
      <c r="CLK8" s="2"/>
      <c r="CLL8" s="2"/>
      <c r="CLM8" s="2"/>
      <c r="CLN8" s="2"/>
      <c r="CLO8" s="2"/>
      <c r="CLP8" s="2"/>
      <c r="CLQ8" s="2"/>
      <c r="CLR8" s="2"/>
      <c r="CLS8" s="2"/>
      <c r="CLT8" s="2"/>
      <c r="CLU8" s="2"/>
      <c r="CLV8" s="2"/>
      <c r="CLW8" s="2"/>
      <c r="CLX8" s="2"/>
      <c r="CLY8" s="2"/>
      <c r="CLZ8" s="2"/>
      <c r="CMA8" s="2"/>
      <c r="CMB8" s="2"/>
      <c r="CMC8" s="2"/>
      <c r="CMD8" s="2"/>
      <c r="CME8" s="2"/>
      <c r="CMF8" s="2"/>
      <c r="CMG8" s="2"/>
      <c r="CMH8" s="2"/>
      <c r="CMI8" s="2"/>
      <c r="CMJ8" s="2"/>
      <c r="CMK8" s="2"/>
      <c r="CML8" s="2"/>
      <c r="CMM8" s="2"/>
      <c r="CMN8" s="2"/>
      <c r="CMO8" s="2"/>
      <c r="CMP8" s="2"/>
      <c r="CMQ8" s="2"/>
      <c r="CMR8" s="2"/>
      <c r="CMS8" s="2"/>
      <c r="CMT8" s="2"/>
      <c r="CMU8" s="2"/>
      <c r="CMV8" s="2"/>
      <c r="CMW8" s="2"/>
      <c r="CMX8" s="2"/>
      <c r="CMY8" s="2"/>
      <c r="CMZ8" s="2"/>
      <c r="CNA8" s="2"/>
      <c r="CNB8" s="2"/>
      <c r="CNC8" s="2"/>
      <c r="CND8" s="2"/>
      <c r="CNE8" s="2"/>
      <c r="CNF8" s="2"/>
      <c r="CNG8" s="2"/>
      <c r="CNH8" s="2"/>
      <c r="CNI8" s="2"/>
      <c r="CNJ8" s="2"/>
      <c r="CNK8" s="2"/>
      <c r="CNL8" s="2"/>
      <c r="CNM8" s="2"/>
      <c r="CNN8" s="2"/>
      <c r="CNO8" s="2"/>
      <c r="CNP8" s="2"/>
      <c r="CNQ8" s="2"/>
      <c r="CNR8" s="2"/>
      <c r="CNS8" s="2"/>
      <c r="CNT8" s="2"/>
      <c r="CNU8" s="2"/>
      <c r="CNV8" s="2"/>
      <c r="CNW8" s="2"/>
      <c r="CNX8" s="2"/>
      <c r="CNY8" s="2"/>
      <c r="CNZ8" s="2"/>
      <c r="COA8" s="2"/>
      <c r="COB8" s="2"/>
      <c r="COC8" s="2"/>
      <c r="COD8" s="2"/>
      <c r="COE8" s="2"/>
      <c r="COF8" s="2"/>
      <c r="COG8" s="2"/>
      <c r="COH8" s="2"/>
      <c r="COI8" s="2"/>
      <c r="COJ8" s="2"/>
      <c r="COK8" s="2"/>
      <c r="COL8" s="2"/>
      <c r="COM8" s="2"/>
      <c r="CON8" s="2"/>
      <c r="COO8" s="2"/>
      <c r="COP8" s="2"/>
      <c r="COQ8" s="2"/>
      <c r="COR8" s="2"/>
      <c r="COS8" s="2"/>
      <c r="COT8" s="2"/>
      <c r="COU8" s="2"/>
      <c r="COV8" s="2"/>
      <c r="COW8" s="2"/>
      <c r="COX8" s="2"/>
      <c r="COY8" s="2"/>
      <c r="COZ8" s="2"/>
      <c r="CPA8" s="2"/>
      <c r="CPB8" s="2"/>
      <c r="CPC8" s="2"/>
      <c r="CPD8" s="2"/>
      <c r="CPE8" s="2"/>
      <c r="CPF8" s="2"/>
      <c r="CPG8" s="2"/>
      <c r="CPH8" s="2"/>
      <c r="CPI8" s="2"/>
      <c r="CPJ8" s="2"/>
      <c r="CPK8" s="2"/>
      <c r="CPL8" s="2"/>
      <c r="CPM8" s="2"/>
      <c r="CPN8" s="2"/>
      <c r="CPO8" s="2"/>
      <c r="CPP8" s="2"/>
      <c r="CPQ8" s="2"/>
      <c r="CPR8" s="2"/>
      <c r="CPS8" s="2"/>
      <c r="CPT8" s="2"/>
      <c r="CPU8" s="2"/>
      <c r="CPV8" s="2"/>
      <c r="CPW8" s="2"/>
      <c r="CPX8" s="2"/>
      <c r="CPY8" s="2"/>
      <c r="CPZ8" s="2"/>
      <c r="CQA8" s="2"/>
      <c r="CQB8" s="2"/>
      <c r="CQC8" s="2"/>
      <c r="CQD8" s="2"/>
      <c r="CQE8" s="2"/>
      <c r="CQF8" s="2"/>
      <c r="CQG8" s="2"/>
      <c r="CQH8" s="2"/>
      <c r="CQI8" s="2"/>
      <c r="CQJ8" s="2"/>
      <c r="CQK8" s="2"/>
      <c r="CQL8" s="2"/>
      <c r="CQM8" s="2"/>
      <c r="CQN8" s="2"/>
      <c r="CQO8" s="2"/>
      <c r="CQP8" s="2"/>
      <c r="CQQ8" s="2"/>
      <c r="CQR8" s="2"/>
      <c r="CQS8" s="2"/>
      <c r="CQT8" s="2"/>
      <c r="CQU8" s="2"/>
      <c r="CQV8" s="2"/>
      <c r="CQW8" s="2"/>
      <c r="CQX8" s="2"/>
      <c r="CQY8" s="2"/>
      <c r="CQZ8" s="2"/>
      <c r="CRA8" s="2"/>
      <c r="CRB8" s="2"/>
      <c r="CRC8" s="2"/>
      <c r="CRD8" s="2"/>
      <c r="CRE8" s="2"/>
      <c r="CRF8" s="2"/>
      <c r="CRG8" s="2"/>
      <c r="CRH8" s="2"/>
      <c r="CRI8" s="2"/>
      <c r="CRJ8" s="2"/>
      <c r="CRK8" s="2"/>
      <c r="CRL8" s="2"/>
      <c r="CRM8" s="2"/>
      <c r="CRN8" s="2"/>
      <c r="CRO8" s="2"/>
      <c r="CRP8" s="2"/>
      <c r="CRQ8" s="2"/>
      <c r="CRR8" s="2"/>
      <c r="CRS8" s="2"/>
      <c r="CRT8" s="2"/>
      <c r="CRU8" s="2"/>
      <c r="CRV8" s="2"/>
      <c r="CRW8" s="2"/>
      <c r="CRX8" s="2"/>
      <c r="CRY8" s="2"/>
      <c r="CRZ8" s="2"/>
      <c r="CSA8" s="2"/>
      <c r="CSB8" s="2"/>
      <c r="CSC8" s="2"/>
      <c r="CSD8" s="2"/>
      <c r="CSE8" s="2"/>
      <c r="CSF8" s="2"/>
      <c r="CSG8" s="2"/>
      <c r="CSH8" s="2"/>
      <c r="CSI8" s="2"/>
      <c r="CSJ8" s="2"/>
      <c r="CSK8" s="2"/>
      <c r="CSL8" s="2"/>
      <c r="CSM8" s="2"/>
      <c r="CSN8" s="2"/>
      <c r="CSO8" s="2"/>
      <c r="CSP8" s="2"/>
      <c r="CSQ8" s="2"/>
      <c r="CSR8" s="2"/>
      <c r="CSS8" s="2"/>
      <c r="CST8" s="2"/>
      <c r="CSU8" s="2"/>
      <c r="CSV8" s="2"/>
      <c r="CSW8" s="2"/>
      <c r="CSX8" s="2"/>
      <c r="CSY8" s="2"/>
      <c r="CSZ8" s="2"/>
      <c r="CTA8" s="2"/>
      <c r="CTB8" s="2"/>
      <c r="CTC8" s="2"/>
      <c r="CTD8" s="2"/>
      <c r="CTE8" s="2"/>
      <c r="CTF8" s="2"/>
      <c r="CTG8" s="2"/>
      <c r="CTH8" s="2"/>
      <c r="CTI8" s="2"/>
      <c r="CTJ8" s="2"/>
      <c r="CTK8" s="2"/>
      <c r="CTL8" s="2"/>
      <c r="CTM8" s="2"/>
      <c r="CTN8" s="2"/>
      <c r="CTO8" s="2"/>
      <c r="CTP8" s="2"/>
      <c r="CTQ8" s="2"/>
      <c r="CTR8" s="2"/>
      <c r="CTS8" s="2"/>
      <c r="CTT8" s="2"/>
      <c r="CTU8" s="2"/>
      <c r="CTV8" s="2"/>
      <c r="CTW8" s="2"/>
      <c r="CTX8" s="2"/>
      <c r="CTY8" s="2"/>
      <c r="CTZ8" s="2"/>
      <c r="CUA8" s="2"/>
      <c r="CUB8" s="2"/>
      <c r="CUC8" s="2"/>
      <c r="CUD8" s="2"/>
      <c r="CUE8" s="2"/>
      <c r="CUF8" s="2"/>
      <c r="CUG8" s="2"/>
      <c r="CUH8" s="2"/>
      <c r="CUI8" s="2"/>
      <c r="CUJ8" s="2"/>
      <c r="CUK8" s="2"/>
      <c r="CUL8" s="2"/>
      <c r="CUM8" s="2"/>
      <c r="CUN8" s="2"/>
      <c r="CUO8" s="2"/>
      <c r="CUP8" s="2"/>
      <c r="CUQ8" s="2"/>
      <c r="CUR8" s="2"/>
      <c r="CUS8" s="2"/>
      <c r="CUT8" s="2"/>
      <c r="CUU8" s="2"/>
      <c r="CUV8" s="2"/>
      <c r="CUW8" s="2"/>
      <c r="CUX8" s="2"/>
      <c r="CUY8" s="2"/>
      <c r="CUZ8" s="2"/>
      <c r="CVA8" s="2"/>
      <c r="CVB8" s="2"/>
      <c r="CVC8" s="2"/>
      <c r="CVD8" s="2"/>
      <c r="CVE8" s="2"/>
      <c r="CVF8" s="2"/>
      <c r="CVG8" s="2"/>
      <c r="CVH8" s="2"/>
      <c r="CVI8" s="2"/>
      <c r="CVJ8" s="2"/>
      <c r="CVK8" s="2"/>
      <c r="CVL8" s="2"/>
      <c r="CVM8" s="2"/>
      <c r="CVN8" s="2"/>
      <c r="CVO8" s="2"/>
      <c r="CVP8" s="2"/>
      <c r="CVQ8" s="2"/>
      <c r="CVR8" s="2"/>
      <c r="CVS8" s="2"/>
      <c r="CVT8" s="2"/>
      <c r="CVU8" s="2"/>
      <c r="CVV8" s="2"/>
      <c r="CVW8" s="2"/>
      <c r="CVX8" s="2"/>
      <c r="CVY8" s="2"/>
      <c r="CVZ8" s="2"/>
      <c r="CWA8" s="2"/>
      <c r="CWB8" s="2"/>
      <c r="CWC8" s="2"/>
      <c r="CWD8" s="2"/>
      <c r="CWE8" s="2"/>
      <c r="CWF8" s="2"/>
      <c r="CWG8" s="2"/>
      <c r="CWH8" s="2"/>
      <c r="CWI8" s="2"/>
      <c r="CWJ8" s="2"/>
      <c r="CWK8" s="2"/>
      <c r="CWL8" s="2"/>
      <c r="CWM8" s="2"/>
      <c r="CWN8" s="2"/>
      <c r="CWO8" s="2"/>
      <c r="CWP8" s="2"/>
      <c r="CWQ8" s="2"/>
      <c r="CWR8" s="2"/>
      <c r="CWS8" s="2"/>
      <c r="CWT8" s="2"/>
      <c r="CWU8" s="2"/>
      <c r="CWV8" s="2"/>
      <c r="CWW8" s="2"/>
      <c r="CWX8" s="2"/>
      <c r="CWY8" s="2"/>
      <c r="CWZ8" s="2"/>
      <c r="CXA8" s="2"/>
      <c r="CXB8" s="2"/>
      <c r="CXC8" s="2"/>
      <c r="CXD8" s="2"/>
      <c r="CXE8" s="2"/>
      <c r="CXF8" s="2"/>
      <c r="CXG8" s="2"/>
      <c r="CXH8" s="2"/>
      <c r="CXI8" s="2"/>
      <c r="CXJ8" s="2"/>
      <c r="CXK8" s="2"/>
      <c r="CXL8" s="2"/>
      <c r="CXM8" s="2"/>
      <c r="CXN8" s="2"/>
      <c r="CXO8" s="2"/>
      <c r="CXP8" s="2"/>
      <c r="CXQ8" s="2"/>
      <c r="CXR8" s="2"/>
      <c r="CXS8" s="2"/>
      <c r="CXT8" s="2"/>
      <c r="CXU8" s="2"/>
      <c r="CXV8" s="2"/>
      <c r="CXW8" s="2"/>
      <c r="CXX8" s="2"/>
      <c r="CXY8" s="2"/>
      <c r="CXZ8" s="2"/>
      <c r="CYA8" s="2"/>
      <c r="CYB8" s="2"/>
      <c r="CYC8" s="2"/>
      <c r="CYD8" s="2"/>
      <c r="CYE8" s="2"/>
      <c r="CYF8" s="2"/>
      <c r="CYG8" s="2"/>
      <c r="CYH8" s="2"/>
      <c r="CYI8" s="2"/>
      <c r="CYJ8" s="2"/>
      <c r="CYK8" s="2"/>
      <c r="CYL8" s="2"/>
      <c r="CYM8" s="2"/>
      <c r="CYN8" s="2"/>
      <c r="CYO8" s="2"/>
      <c r="CYP8" s="2"/>
      <c r="CYQ8" s="2"/>
      <c r="CYR8" s="2"/>
      <c r="CYS8" s="2"/>
      <c r="CYT8" s="2"/>
      <c r="CYU8" s="2"/>
      <c r="CYV8" s="2"/>
      <c r="CYW8" s="2"/>
      <c r="CYX8" s="2"/>
      <c r="CYY8" s="2"/>
      <c r="CYZ8" s="2"/>
      <c r="CZA8" s="2"/>
      <c r="CZB8" s="2"/>
      <c r="CZC8" s="2"/>
      <c r="CZD8" s="2"/>
      <c r="CZE8" s="2"/>
      <c r="CZF8" s="2"/>
      <c r="CZG8" s="2"/>
      <c r="CZH8" s="2"/>
      <c r="CZI8" s="2"/>
      <c r="CZJ8" s="2"/>
      <c r="CZK8" s="2"/>
      <c r="CZL8" s="2"/>
      <c r="CZM8" s="2"/>
      <c r="CZN8" s="2"/>
      <c r="CZO8" s="2"/>
      <c r="CZP8" s="2"/>
      <c r="CZQ8" s="2"/>
      <c r="CZR8" s="2"/>
      <c r="CZS8" s="2"/>
      <c r="CZT8" s="2"/>
      <c r="CZU8" s="2"/>
      <c r="CZV8" s="2"/>
      <c r="CZW8" s="2"/>
      <c r="CZX8" s="2"/>
      <c r="CZY8" s="2"/>
      <c r="CZZ8" s="2"/>
      <c r="DAA8" s="2"/>
      <c r="DAB8" s="2"/>
      <c r="DAC8" s="2"/>
      <c r="DAD8" s="2"/>
      <c r="DAE8" s="2"/>
      <c r="DAF8" s="2"/>
      <c r="DAG8" s="2"/>
      <c r="DAH8" s="2"/>
      <c r="DAI8" s="2"/>
      <c r="DAJ8" s="2"/>
      <c r="DAK8" s="2"/>
      <c r="DAL8" s="2"/>
      <c r="DAM8" s="2"/>
      <c r="DAN8" s="2"/>
      <c r="DAO8" s="2"/>
      <c r="DAP8" s="2"/>
      <c r="DAQ8" s="2"/>
      <c r="DAR8" s="2"/>
      <c r="DAS8" s="2"/>
      <c r="DAT8" s="2"/>
      <c r="DAU8" s="2"/>
      <c r="DAV8" s="2"/>
      <c r="DAW8" s="2"/>
      <c r="DAX8" s="2"/>
      <c r="DAY8" s="2"/>
      <c r="DAZ8" s="2"/>
      <c r="DBA8" s="2"/>
      <c r="DBB8" s="2"/>
      <c r="DBC8" s="2"/>
      <c r="DBD8" s="2"/>
      <c r="DBE8" s="2"/>
      <c r="DBF8" s="2"/>
      <c r="DBG8" s="2"/>
      <c r="DBH8" s="2"/>
      <c r="DBI8" s="2"/>
      <c r="DBJ8" s="2"/>
      <c r="DBK8" s="2"/>
      <c r="DBL8" s="2"/>
      <c r="DBM8" s="2"/>
      <c r="DBN8" s="2"/>
      <c r="DBO8" s="2"/>
      <c r="DBP8" s="2"/>
      <c r="DBQ8" s="2"/>
      <c r="DBR8" s="2"/>
      <c r="DBS8" s="2"/>
      <c r="DBT8" s="2"/>
      <c r="DBU8" s="2"/>
      <c r="DBV8" s="2"/>
      <c r="DBW8" s="2"/>
      <c r="DBX8" s="2"/>
      <c r="DBY8" s="2"/>
      <c r="DBZ8" s="2"/>
      <c r="DCA8" s="2"/>
      <c r="DCB8" s="2"/>
      <c r="DCC8" s="2"/>
      <c r="DCD8" s="2"/>
      <c r="DCE8" s="2"/>
      <c r="DCF8" s="2"/>
      <c r="DCG8" s="2"/>
      <c r="DCH8" s="2"/>
      <c r="DCI8" s="2"/>
      <c r="DCJ8" s="2"/>
      <c r="DCK8" s="2"/>
      <c r="DCL8" s="2"/>
      <c r="DCM8" s="2"/>
      <c r="DCN8" s="2"/>
      <c r="DCO8" s="2"/>
      <c r="DCP8" s="2"/>
      <c r="DCQ8" s="2"/>
      <c r="DCR8" s="2"/>
      <c r="DCS8" s="2"/>
      <c r="DCT8" s="2"/>
      <c r="DCU8" s="2"/>
      <c r="DCV8" s="2"/>
      <c r="DCW8" s="2"/>
      <c r="DCX8" s="2"/>
      <c r="DCY8" s="2"/>
      <c r="DCZ8" s="2"/>
      <c r="DDA8" s="2"/>
      <c r="DDB8" s="2"/>
      <c r="DDC8" s="2"/>
      <c r="DDD8" s="2"/>
      <c r="DDE8" s="2"/>
      <c r="DDF8" s="2"/>
      <c r="DDG8" s="2"/>
      <c r="DDH8" s="2"/>
      <c r="DDI8" s="2"/>
      <c r="DDJ8" s="2"/>
      <c r="DDK8" s="2"/>
      <c r="DDL8" s="2"/>
      <c r="DDM8" s="2"/>
      <c r="DDN8" s="2"/>
      <c r="DDO8" s="2"/>
      <c r="DDP8" s="2"/>
      <c r="DDQ8" s="2"/>
      <c r="DDR8" s="2"/>
      <c r="DDS8" s="2"/>
      <c r="DDT8" s="2"/>
      <c r="DDU8" s="2"/>
      <c r="DDV8" s="2"/>
      <c r="DDW8" s="2"/>
      <c r="DDX8" s="2"/>
      <c r="DDY8" s="2"/>
      <c r="DDZ8" s="2"/>
      <c r="DEA8" s="2"/>
      <c r="DEB8" s="2"/>
      <c r="DEC8" s="2"/>
      <c r="DED8" s="2"/>
      <c r="DEE8" s="2"/>
      <c r="DEF8" s="2"/>
      <c r="DEG8" s="2"/>
      <c r="DEH8" s="2"/>
      <c r="DEI8" s="2"/>
      <c r="DEJ8" s="2"/>
      <c r="DEK8" s="2"/>
      <c r="DEL8" s="2"/>
      <c r="DEM8" s="2"/>
      <c r="DEN8" s="2"/>
      <c r="DEO8" s="2"/>
      <c r="DEP8" s="2"/>
      <c r="DEQ8" s="2"/>
      <c r="DER8" s="2"/>
      <c r="DES8" s="2"/>
      <c r="DET8" s="2"/>
      <c r="DEU8" s="2"/>
      <c r="DEV8" s="2"/>
      <c r="DEW8" s="2"/>
      <c r="DEX8" s="2"/>
      <c r="DEY8" s="2"/>
      <c r="DEZ8" s="2"/>
      <c r="DFA8" s="2"/>
      <c r="DFB8" s="2"/>
      <c r="DFC8" s="2"/>
      <c r="DFD8" s="2"/>
      <c r="DFE8" s="2"/>
      <c r="DFF8" s="2"/>
      <c r="DFG8" s="2"/>
      <c r="DFH8" s="2"/>
      <c r="DFI8" s="2"/>
      <c r="DFJ8" s="2"/>
      <c r="DFK8" s="2"/>
      <c r="DFL8" s="2"/>
      <c r="DFM8" s="2"/>
      <c r="DFN8" s="2"/>
      <c r="DFO8" s="2"/>
      <c r="DFP8" s="2"/>
      <c r="DFQ8" s="2"/>
      <c r="DFR8" s="2"/>
      <c r="DFS8" s="2"/>
      <c r="DFT8" s="2"/>
      <c r="DFU8" s="2"/>
      <c r="DFV8" s="2"/>
      <c r="DFW8" s="2"/>
      <c r="DFX8" s="2"/>
      <c r="DFY8" s="2"/>
      <c r="DFZ8" s="2"/>
      <c r="DGA8" s="2"/>
      <c r="DGB8" s="2"/>
      <c r="DGC8" s="2"/>
      <c r="DGD8" s="2"/>
      <c r="DGE8" s="2"/>
      <c r="DGF8" s="2"/>
      <c r="DGG8" s="2"/>
      <c r="DGH8" s="2"/>
      <c r="DGI8" s="2"/>
      <c r="DGJ8" s="2"/>
      <c r="DGK8" s="2"/>
      <c r="DGL8" s="2"/>
      <c r="DGM8" s="2"/>
      <c r="DGN8" s="2"/>
      <c r="DGO8" s="2"/>
      <c r="DGP8" s="2"/>
      <c r="DGQ8" s="2"/>
      <c r="DGR8" s="2"/>
      <c r="DGS8" s="2"/>
      <c r="DGT8" s="2"/>
      <c r="DGU8" s="2"/>
      <c r="DGV8" s="2"/>
      <c r="DGW8" s="2"/>
      <c r="DGX8" s="2"/>
      <c r="DGY8" s="2"/>
      <c r="DGZ8" s="2"/>
      <c r="DHA8" s="2"/>
      <c r="DHB8" s="2"/>
      <c r="DHC8" s="2"/>
      <c r="DHD8" s="2"/>
      <c r="DHE8" s="2"/>
      <c r="DHF8" s="2"/>
      <c r="DHG8" s="2"/>
      <c r="DHH8" s="2"/>
      <c r="DHI8" s="2"/>
      <c r="DHJ8" s="2"/>
      <c r="DHK8" s="2"/>
      <c r="DHL8" s="2"/>
      <c r="DHM8" s="2"/>
      <c r="DHN8" s="2"/>
      <c r="DHO8" s="2"/>
      <c r="DHP8" s="2"/>
      <c r="DHQ8" s="2"/>
      <c r="DHR8" s="2"/>
      <c r="DHS8" s="2"/>
      <c r="DHT8" s="2"/>
      <c r="DHU8" s="2"/>
      <c r="DHV8" s="2"/>
      <c r="DHW8" s="2"/>
      <c r="DHX8" s="2"/>
      <c r="DHY8" s="2"/>
      <c r="DHZ8" s="2"/>
      <c r="DIA8" s="2"/>
      <c r="DIB8" s="2"/>
      <c r="DIC8" s="2"/>
      <c r="DID8" s="2"/>
      <c r="DIE8" s="2"/>
      <c r="DIF8" s="2"/>
      <c r="DIG8" s="2"/>
      <c r="DIH8" s="2"/>
      <c r="DII8" s="2"/>
      <c r="DIJ8" s="2"/>
      <c r="DIK8" s="2"/>
      <c r="DIL8" s="2"/>
      <c r="DIM8" s="2"/>
      <c r="DIN8" s="2"/>
      <c r="DIO8" s="2"/>
      <c r="DIP8" s="2"/>
      <c r="DIQ8" s="2"/>
      <c r="DIR8" s="2"/>
      <c r="DIS8" s="2"/>
      <c r="DIT8" s="2"/>
      <c r="DIU8" s="2"/>
      <c r="DIV8" s="2"/>
      <c r="DIW8" s="2"/>
      <c r="DIX8" s="2"/>
      <c r="DIY8" s="2"/>
      <c r="DIZ8" s="2"/>
      <c r="DJA8" s="2"/>
      <c r="DJB8" s="2"/>
      <c r="DJC8" s="2"/>
      <c r="DJD8" s="2"/>
      <c r="DJE8" s="2"/>
      <c r="DJF8" s="2"/>
      <c r="DJG8" s="2"/>
      <c r="DJH8" s="2"/>
      <c r="DJI8" s="2"/>
      <c r="DJJ8" s="2"/>
      <c r="DJK8" s="2"/>
      <c r="DJL8" s="2"/>
      <c r="DJM8" s="2"/>
      <c r="DJN8" s="2"/>
      <c r="DJO8" s="2"/>
      <c r="DJP8" s="2"/>
      <c r="DJQ8" s="2"/>
      <c r="DJR8" s="2"/>
      <c r="DJS8" s="2"/>
      <c r="DJT8" s="2"/>
      <c r="DJU8" s="2"/>
      <c r="DJV8" s="2"/>
      <c r="DJW8" s="2"/>
      <c r="DJX8" s="2"/>
      <c r="DJY8" s="2"/>
      <c r="DJZ8" s="2"/>
      <c r="DKA8" s="2"/>
      <c r="DKB8" s="2"/>
      <c r="DKC8" s="2"/>
      <c r="DKD8" s="2"/>
      <c r="DKE8" s="2"/>
      <c r="DKF8" s="2"/>
      <c r="DKG8" s="2"/>
      <c r="DKH8" s="2"/>
      <c r="DKI8" s="2"/>
      <c r="DKJ8" s="2"/>
      <c r="DKK8" s="2"/>
      <c r="DKL8" s="2"/>
      <c r="DKM8" s="2"/>
      <c r="DKN8" s="2"/>
      <c r="DKO8" s="2"/>
      <c r="DKP8" s="2"/>
      <c r="DKQ8" s="2"/>
      <c r="DKR8" s="2"/>
      <c r="DKS8" s="2"/>
      <c r="DKT8" s="2"/>
      <c r="DKU8" s="2"/>
      <c r="DKV8" s="2"/>
      <c r="DKW8" s="2"/>
      <c r="DKX8" s="2"/>
      <c r="DKY8" s="2"/>
      <c r="DKZ8" s="2"/>
      <c r="DLA8" s="2"/>
      <c r="DLB8" s="2"/>
      <c r="DLC8" s="2"/>
      <c r="DLD8" s="2"/>
      <c r="DLE8" s="2"/>
      <c r="DLF8" s="2"/>
      <c r="DLG8" s="2"/>
      <c r="DLH8" s="2"/>
      <c r="DLI8" s="2"/>
      <c r="DLJ8" s="2"/>
      <c r="DLK8" s="2"/>
      <c r="DLL8" s="2"/>
      <c r="DLM8" s="2"/>
      <c r="DLN8" s="2"/>
      <c r="DLO8" s="2"/>
      <c r="DLP8" s="2"/>
      <c r="DLQ8" s="2"/>
      <c r="DLR8" s="2"/>
      <c r="DLS8" s="2"/>
      <c r="DLT8" s="2"/>
      <c r="DLU8" s="2"/>
      <c r="DLV8" s="2"/>
      <c r="DLW8" s="2"/>
      <c r="DLX8" s="2"/>
      <c r="DLY8" s="2"/>
      <c r="DLZ8" s="2"/>
      <c r="DMA8" s="2"/>
      <c r="DMB8" s="2"/>
      <c r="DMC8" s="2"/>
      <c r="DMD8" s="2"/>
      <c r="DME8" s="2"/>
      <c r="DMF8" s="2"/>
      <c r="DMG8" s="2"/>
      <c r="DMH8" s="2"/>
      <c r="DMI8" s="2"/>
      <c r="DMJ8" s="2"/>
      <c r="DMK8" s="2"/>
      <c r="DML8" s="2"/>
      <c r="DMM8" s="2"/>
      <c r="DMN8" s="2"/>
      <c r="DMO8" s="2"/>
      <c r="DMP8" s="2"/>
      <c r="DMQ8" s="2"/>
      <c r="DMR8" s="2"/>
      <c r="DMS8" s="2"/>
      <c r="DMT8" s="2"/>
      <c r="DMU8" s="2"/>
      <c r="DMV8" s="2"/>
      <c r="DMW8" s="2"/>
      <c r="DMX8" s="2"/>
      <c r="DMY8" s="2"/>
      <c r="DMZ8" s="2"/>
      <c r="DNA8" s="2"/>
      <c r="DNB8" s="2"/>
      <c r="DNC8" s="2"/>
      <c r="DND8" s="2"/>
      <c r="DNE8" s="2"/>
      <c r="DNF8" s="2"/>
      <c r="DNG8" s="2"/>
      <c r="DNH8" s="2"/>
      <c r="DNI8" s="2"/>
      <c r="DNJ8" s="2"/>
      <c r="DNK8" s="2"/>
      <c r="DNL8" s="2"/>
      <c r="DNM8" s="2"/>
      <c r="DNN8" s="2"/>
      <c r="DNO8" s="2"/>
      <c r="DNP8" s="2"/>
      <c r="DNQ8" s="2"/>
      <c r="DNR8" s="2"/>
      <c r="DNS8" s="2"/>
      <c r="DNT8" s="2"/>
      <c r="DNU8" s="2"/>
      <c r="DNV8" s="2"/>
      <c r="DNW8" s="2"/>
      <c r="DNX8" s="2"/>
      <c r="DNY8" s="2"/>
      <c r="DNZ8" s="2"/>
      <c r="DOA8" s="2"/>
      <c r="DOB8" s="2"/>
      <c r="DOC8" s="2"/>
      <c r="DOD8" s="2"/>
      <c r="DOE8" s="2"/>
      <c r="DOF8" s="2"/>
      <c r="DOG8" s="2"/>
      <c r="DOH8" s="2"/>
      <c r="DOI8" s="2"/>
      <c r="DOJ8" s="2"/>
      <c r="DOK8" s="2"/>
      <c r="DOL8" s="2"/>
      <c r="DOM8" s="2"/>
      <c r="DON8" s="2"/>
      <c r="DOO8" s="2"/>
      <c r="DOP8" s="2"/>
      <c r="DOQ8" s="2"/>
      <c r="DOR8" s="2"/>
      <c r="DOS8" s="2"/>
      <c r="DOT8" s="2"/>
      <c r="DOU8" s="2"/>
      <c r="DOV8" s="2"/>
      <c r="DOW8" s="2"/>
      <c r="DOX8" s="2"/>
      <c r="DOY8" s="2"/>
      <c r="DOZ8" s="2"/>
      <c r="DPA8" s="2"/>
      <c r="DPB8" s="2"/>
      <c r="DPC8" s="2"/>
      <c r="DPD8" s="2"/>
      <c r="DPE8" s="2"/>
      <c r="DPF8" s="2"/>
      <c r="DPG8" s="2"/>
      <c r="DPH8" s="2"/>
      <c r="DPI8" s="2"/>
      <c r="DPJ8" s="2"/>
      <c r="DPK8" s="2"/>
      <c r="DPL8" s="2"/>
      <c r="DPM8" s="2"/>
      <c r="DPN8" s="2"/>
      <c r="DPO8" s="2"/>
      <c r="DPP8" s="2"/>
      <c r="DPQ8" s="2"/>
      <c r="DPR8" s="2"/>
      <c r="DPS8" s="2"/>
      <c r="DPT8" s="2"/>
      <c r="DPU8" s="2"/>
      <c r="DPV8" s="2"/>
      <c r="DPW8" s="2"/>
      <c r="DPX8" s="2"/>
      <c r="DPY8" s="2"/>
      <c r="DPZ8" s="2"/>
      <c r="DQA8" s="2"/>
      <c r="DQB8" s="2"/>
      <c r="DQC8" s="2"/>
      <c r="DQD8" s="2"/>
      <c r="DQE8" s="2"/>
      <c r="DQF8" s="2"/>
      <c r="DQG8" s="2"/>
      <c r="DQH8" s="2"/>
      <c r="DQI8" s="2"/>
      <c r="DQJ8" s="2"/>
      <c r="DQK8" s="2"/>
      <c r="DQL8" s="2"/>
      <c r="DQM8" s="2"/>
      <c r="DQN8" s="2"/>
      <c r="DQO8" s="2"/>
      <c r="DQP8" s="2"/>
      <c r="DQQ8" s="2"/>
      <c r="DQR8" s="2"/>
      <c r="DQS8" s="2"/>
      <c r="DQT8" s="2"/>
      <c r="DQU8" s="2"/>
      <c r="DQV8" s="2"/>
      <c r="DQW8" s="2"/>
      <c r="DQX8" s="2"/>
      <c r="DQY8" s="2"/>
      <c r="DQZ8" s="2"/>
      <c r="DRA8" s="2"/>
      <c r="DRB8" s="2"/>
      <c r="DRC8" s="2"/>
      <c r="DRD8" s="2"/>
      <c r="DRE8" s="2"/>
      <c r="DRF8" s="2"/>
      <c r="DRG8" s="2"/>
      <c r="DRH8" s="2"/>
      <c r="DRI8" s="2"/>
      <c r="DRJ8" s="2"/>
      <c r="DRK8" s="2"/>
      <c r="DRL8" s="2"/>
      <c r="DRM8" s="2"/>
      <c r="DRN8" s="2"/>
      <c r="DRO8" s="2"/>
      <c r="DRP8" s="2"/>
      <c r="DRQ8" s="2"/>
      <c r="DRR8" s="2"/>
      <c r="DRS8" s="2"/>
      <c r="DRT8" s="2"/>
      <c r="DRU8" s="2"/>
      <c r="DRV8" s="2"/>
      <c r="DRW8" s="2"/>
      <c r="DRX8" s="2"/>
      <c r="DRY8" s="2"/>
      <c r="DRZ8" s="2"/>
      <c r="DSA8" s="2"/>
      <c r="DSB8" s="2"/>
      <c r="DSC8" s="2"/>
      <c r="DSD8" s="2"/>
      <c r="DSE8" s="2"/>
      <c r="DSF8" s="2"/>
      <c r="DSG8" s="2"/>
      <c r="DSH8" s="2"/>
      <c r="DSI8" s="2"/>
      <c r="DSJ8" s="2"/>
      <c r="DSK8" s="2"/>
      <c r="DSL8" s="2"/>
      <c r="DSM8" s="2"/>
      <c r="DSN8" s="2"/>
      <c r="DSO8" s="2"/>
      <c r="DSP8" s="2"/>
      <c r="DSQ8" s="2"/>
      <c r="DSR8" s="2"/>
      <c r="DSS8" s="2"/>
      <c r="DST8" s="2"/>
      <c r="DSU8" s="2"/>
      <c r="DSV8" s="2"/>
      <c r="DSW8" s="2"/>
      <c r="DSX8" s="2"/>
      <c r="DSY8" s="2"/>
      <c r="DSZ8" s="2"/>
      <c r="DTA8" s="2"/>
      <c r="DTB8" s="2"/>
      <c r="DTC8" s="2"/>
      <c r="DTD8" s="2"/>
      <c r="DTE8" s="2"/>
      <c r="DTF8" s="2"/>
      <c r="DTG8" s="2"/>
      <c r="DTH8" s="2"/>
      <c r="DTI8" s="2"/>
      <c r="DTJ8" s="2"/>
      <c r="DTK8" s="2"/>
      <c r="DTL8" s="2"/>
      <c r="DTM8" s="2"/>
      <c r="DTN8" s="2"/>
      <c r="DTO8" s="2"/>
      <c r="DTP8" s="2"/>
      <c r="DTQ8" s="2"/>
      <c r="DTR8" s="2"/>
      <c r="DTS8" s="2"/>
      <c r="DTT8" s="2"/>
      <c r="DTU8" s="2"/>
      <c r="DTV8" s="2"/>
      <c r="DTW8" s="2"/>
      <c r="DTX8" s="2"/>
      <c r="DTY8" s="2"/>
      <c r="DTZ8" s="2"/>
      <c r="DUA8" s="2"/>
      <c r="DUB8" s="2"/>
      <c r="DUC8" s="2"/>
      <c r="DUD8" s="2"/>
      <c r="DUE8" s="2"/>
      <c r="DUF8" s="2"/>
      <c r="DUG8" s="2"/>
      <c r="DUH8" s="2"/>
      <c r="DUI8" s="2"/>
      <c r="DUJ8" s="2"/>
      <c r="DUK8" s="2"/>
      <c r="DUL8" s="2"/>
      <c r="DUM8" s="2"/>
      <c r="DUN8" s="2"/>
      <c r="DUO8" s="2"/>
      <c r="DUP8" s="2"/>
      <c r="DUQ8" s="2"/>
      <c r="DUR8" s="2"/>
      <c r="DUS8" s="2"/>
      <c r="DUT8" s="2"/>
      <c r="DUU8" s="2"/>
      <c r="DUV8" s="2"/>
      <c r="DUW8" s="2"/>
      <c r="DUX8" s="2"/>
      <c r="DUY8" s="2"/>
      <c r="DUZ8" s="2"/>
      <c r="DVA8" s="2"/>
      <c r="DVB8" s="2"/>
      <c r="DVC8" s="2"/>
      <c r="DVD8" s="2"/>
      <c r="DVE8" s="2"/>
      <c r="DVF8" s="2"/>
      <c r="DVG8" s="2"/>
      <c r="DVH8" s="2"/>
      <c r="DVI8" s="2"/>
      <c r="DVJ8" s="2"/>
      <c r="DVK8" s="2"/>
      <c r="DVL8" s="2"/>
      <c r="DVM8" s="2"/>
      <c r="DVN8" s="2"/>
      <c r="DVO8" s="2"/>
      <c r="DVP8" s="2"/>
      <c r="DVQ8" s="2"/>
      <c r="DVR8" s="2"/>
      <c r="DVS8" s="2"/>
      <c r="DVT8" s="2"/>
      <c r="DVU8" s="2"/>
      <c r="DVV8" s="2"/>
      <c r="DVW8" s="2"/>
      <c r="DVX8" s="2"/>
      <c r="DVY8" s="2"/>
      <c r="DVZ8" s="2"/>
      <c r="DWA8" s="2"/>
      <c r="DWB8" s="2"/>
      <c r="DWC8" s="2"/>
      <c r="DWD8" s="2"/>
      <c r="DWE8" s="2"/>
      <c r="DWF8" s="2"/>
      <c r="DWG8" s="2"/>
      <c r="DWH8" s="2"/>
      <c r="DWI8" s="2"/>
      <c r="DWJ8" s="2"/>
      <c r="DWK8" s="2"/>
      <c r="DWL8" s="2"/>
      <c r="DWM8" s="2"/>
      <c r="DWN8" s="2"/>
      <c r="DWO8" s="2"/>
      <c r="DWP8" s="2"/>
      <c r="DWQ8" s="2"/>
      <c r="DWR8" s="2"/>
      <c r="DWS8" s="2"/>
      <c r="DWT8" s="2"/>
      <c r="DWU8" s="2"/>
      <c r="DWV8" s="2"/>
      <c r="DWW8" s="2"/>
      <c r="DWX8" s="2"/>
      <c r="DWY8" s="2"/>
      <c r="DWZ8" s="2"/>
      <c r="DXA8" s="2"/>
      <c r="DXB8" s="2"/>
      <c r="DXC8" s="2"/>
      <c r="DXD8" s="2"/>
      <c r="DXE8" s="2"/>
      <c r="DXF8" s="2"/>
      <c r="DXG8" s="2"/>
      <c r="DXH8" s="2"/>
      <c r="DXI8" s="2"/>
      <c r="DXJ8" s="2"/>
      <c r="DXK8" s="2"/>
      <c r="DXL8" s="2"/>
      <c r="DXM8" s="2"/>
      <c r="DXN8" s="2"/>
      <c r="DXO8" s="2"/>
      <c r="DXP8" s="2"/>
      <c r="DXQ8" s="2"/>
      <c r="DXR8" s="2"/>
      <c r="DXS8" s="2"/>
      <c r="DXT8" s="2"/>
      <c r="DXU8" s="2"/>
      <c r="DXV8" s="2"/>
      <c r="DXW8" s="2"/>
      <c r="DXX8" s="2"/>
      <c r="DXY8" s="2"/>
      <c r="DXZ8" s="2"/>
      <c r="DYA8" s="2"/>
      <c r="DYB8" s="2"/>
      <c r="DYC8" s="2"/>
      <c r="DYD8" s="2"/>
      <c r="DYE8" s="2"/>
      <c r="DYF8" s="2"/>
      <c r="DYG8" s="2"/>
      <c r="DYH8" s="2"/>
      <c r="DYI8" s="2"/>
      <c r="DYJ8" s="2"/>
      <c r="DYK8" s="2"/>
      <c r="DYL8" s="2"/>
      <c r="DYM8" s="2"/>
      <c r="DYN8" s="2"/>
      <c r="DYO8" s="2"/>
      <c r="DYP8" s="2"/>
      <c r="DYQ8" s="2"/>
      <c r="DYR8" s="2"/>
      <c r="DYS8" s="2"/>
      <c r="DYT8" s="2"/>
      <c r="DYU8" s="2"/>
      <c r="DYV8" s="2"/>
      <c r="DYW8" s="2"/>
      <c r="DYX8" s="2"/>
      <c r="DYY8" s="2"/>
      <c r="DYZ8" s="2"/>
      <c r="DZA8" s="2"/>
      <c r="DZB8" s="2"/>
      <c r="DZC8" s="2"/>
      <c r="DZD8" s="2"/>
      <c r="DZE8" s="2"/>
      <c r="DZF8" s="2"/>
      <c r="DZG8" s="2"/>
      <c r="DZH8" s="2"/>
      <c r="DZI8" s="2"/>
      <c r="DZJ8" s="2"/>
      <c r="DZK8" s="2"/>
      <c r="DZL8" s="2"/>
      <c r="DZM8" s="2"/>
      <c r="DZN8" s="2"/>
      <c r="DZO8" s="2"/>
      <c r="DZP8" s="2"/>
      <c r="DZQ8" s="2"/>
      <c r="DZR8" s="2"/>
      <c r="DZS8" s="2"/>
      <c r="DZT8" s="2"/>
      <c r="DZU8" s="2"/>
      <c r="DZV8" s="2"/>
      <c r="DZW8" s="2"/>
      <c r="DZX8" s="2"/>
      <c r="DZY8" s="2"/>
      <c r="DZZ8" s="2"/>
      <c r="EAA8" s="2"/>
      <c r="EAB8" s="2"/>
      <c r="EAC8" s="2"/>
      <c r="EAD8" s="2"/>
      <c r="EAE8" s="2"/>
      <c r="EAF8" s="2"/>
      <c r="EAG8" s="2"/>
      <c r="EAH8" s="2"/>
      <c r="EAI8" s="2"/>
      <c r="EAJ8" s="2"/>
      <c r="EAK8" s="2"/>
      <c r="EAL8" s="2"/>
      <c r="EAM8" s="2"/>
      <c r="EAN8" s="2"/>
      <c r="EAO8" s="2"/>
      <c r="EAP8" s="2"/>
      <c r="EAQ8" s="2"/>
      <c r="EAR8" s="2"/>
      <c r="EAS8" s="2"/>
      <c r="EAT8" s="2"/>
      <c r="EAU8" s="2"/>
      <c r="EAV8" s="2"/>
      <c r="EAW8" s="2"/>
      <c r="EAX8" s="2"/>
      <c r="EAY8" s="2"/>
      <c r="EAZ8" s="2"/>
      <c r="EBA8" s="2"/>
      <c r="EBB8" s="2"/>
      <c r="EBC8" s="2"/>
      <c r="EBD8" s="2"/>
      <c r="EBE8" s="2"/>
      <c r="EBF8" s="2"/>
      <c r="EBG8" s="2"/>
      <c r="EBH8" s="2"/>
      <c r="EBI8" s="2"/>
      <c r="EBJ8" s="2"/>
      <c r="EBK8" s="2"/>
      <c r="EBL8" s="2"/>
      <c r="EBM8" s="2"/>
      <c r="EBN8" s="2"/>
      <c r="EBO8" s="2"/>
      <c r="EBP8" s="2"/>
      <c r="EBQ8" s="2"/>
      <c r="EBR8" s="2"/>
      <c r="EBS8" s="2"/>
      <c r="EBT8" s="2"/>
      <c r="EBU8" s="2"/>
      <c r="EBV8" s="2"/>
      <c r="EBW8" s="2"/>
      <c r="EBX8" s="2"/>
      <c r="EBY8" s="2"/>
      <c r="EBZ8" s="2"/>
      <c r="ECA8" s="2"/>
      <c r="ECB8" s="2"/>
      <c r="ECC8" s="2"/>
      <c r="ECD8" s="2"/>
      <c r="ECE8" s="2"/>
      <c r="ECF8" s="2"/>
      <c r="ECG8" s="2"/>
      <c r="ECH8" s="2"/>
      <c r="ECI8" s="2"/>
      <c r="ECJ8" s="2"/>
      <c r="ECK8" s="2"/>
      <c r="ECL8" s="2"/>
      <c r="ECM8" s="2"/>
      <c r="ECN8" s="2"/>
      <c r="ECO8" s="2"/>
      <c r="ECP8" s="2"/>
      <c r="ECQ8" s="2"/>
      <c r="ECR8" s="2"/>
      <c r="ECS8" s="2"/>
      <c r="ECT8" s="2"/>
      <c r="ECU8" s="2"/>
      <c r="ECV8" s="2"/>
      <c r="ECW8" s="2"/>
      <c r="ECX8" s="2"/>
      <c r="ECY8" s="2"/>
      <c r="ECZ8" s="2"/>
      <c r="EDA8" s="2"/>
      <c r="EDB8" s="2"/>
      <c r="EDC8" s="2"/>
      <c r="EDD8" s="2"/>
      <c r="EDE8" s="2"/>
      <c r="EDF8" s="2"/>
      <c r="EDG8" s="2"/>
      <c r="EDH8" s="2"/>
      <c r="EDI8" s="2"/>
      <c r="EDJ8" s="2"/>
      <c r="EDK8" s="2"/>
      <c r="EDL8" s="2"/>
      <c r="EDM8" s="2"/>
      <c r="EDN8" s="2"/>
      <c r="EDO8" s="2"/>
      <c r="EDP8" s="2"/>
      <c r="EDQ8" s="2"/>
      <c r="EDR8" s="2"/>
      <c r="EDS8" s="2"/>
      <c r="EDT8" s="2"/>
      <c r="EDU8" s="2"/>
      <c r="EDV8" s="2"/>
      <c r="EDW8" s="2"/>
      <c r="EDX8" s="2"/>
      <c r="EDY8" s="2"/>
      <c r="EDZ8" s="2"/>
      <c r="EEA8" s="2"/>
      <c r="EEB8" s="2"/>
      <c r="EEC8" s="2"/>
      <c r="EED8" s="2"/>
      <c r="EEE8" s="2"/>
      <c r="EEF8" s="2"/>
      <c r="EEG8" s="2"/>
      <c r="EEH8" s="2"/>
      <c r="EEI8" s="2"/>
      <c r="EEJ8" s="2"/>
      <c r="EEK8" s="2"/>
      <c r="EEL8" s="2"/>
      <c r="EEM8" s="2"/>
      <c r="EEN8" s="2"/>
      <c r="EEO8" s="2"/>
      <c r="EEP8" s="2"/>
      <c r="EEQ8" s="2"/>
      <c r="EER8" s="2"/>
      <c r="EES8" s="2"/>
      <c r="EET8" s="2"/>
      <c r="EEU8" s="2"/>
      <c r="EEV8" s="2"/>
      <c r="EEW8" s="2"/>
      <c r="EEX8" s="2"/>
      <c r="EEY8" s="2"/>
      <c r="EEZ8" s="2"/>
      <c r="EFA8" s="2"/>
      <c r="EFB8" s="2"/>
      <c r="EFC8" s="2"/>
      <c r="EFD8" s="2"/>
      <c r="EFE8" s="2"/>
      <c r="EFF8" s="2"/>
      <c r="EFG8" s="2"/>
      <c r="EFH8" s="2"/>
      <c r="EFI8" s="2"/>
      <c r="EFJ8" s="2"/>
      <c r="EFK8" s="2"/>
      <c r="EFL8" s="2"/>
      <c r="EFM8" s="2"/>
      <c r="EFN8" s="2"/>
      <c r="EFO8" s="2"/>
      <c r="EFP8" s="2"/>
      <c r="EFQ8" s="2"/>
      <c r="EFR8" s="2"/>
      <c r="EFS8" s="2"/>
      <c r="EFT8" s="2"/>
      <c r="EFU8" s="2"/>
      <c r="EFV8" s="2"/>
      <c r="EFW8" s="2"/>
      <c r="EFX8" s="2"/>
      <c r="EFY8" s="2"/>
      <c r="EFZ8" s="2"/>
      <c r="EGA8" s="2"/>
      <c r="EGB8" s="2"/>
      <c r="EGC8" s="2"/>
      <c r="EGD8" s="2"/>
      <c r="EGE8" s="2"/>
      <c r="EGF8" s="2"/>
      <c r="EGG8" s="2"/>
      <c r="EGH8" s="2"/>
      <c r="EGI8" s="2"/>
      <c r="EGJ8" s="2"/>
      <c r="EGK8" s="2"/>
      <c r="EGL8" s="2"/>
      <c r="EGM8" s="2"/>
      <c r="EGN8" s="2"/>
      <c r="EGO8" s="2"/>
      <c r="EGP8" s="2"/>
      <c r="EGQ8" s="2"/>
      <c r="EGR8" s="2"/>
      <c r="EGS8" s="2"/>
      <c r="EGT8" s="2"/>
      <c r="EGU8" s="2"/>
      <c r="EGV8" s="2"/>
      <c r="EGW8" s="2"/>
      <c r="EGX8" s="2"/>
      <c r="EGY8" s="2"/>
      <c r="EGZ8" s="2"/>
      <c r="EHA8" s="2"/>
      <c r="EHB8" s="2"/>
      <c r="EHC8" s="2"/>
      <c r="EHD8" s="2"/>
      <c r="EHE8" s="2"/>
      <c r="EHF8" s="2"/>
      <c r="EHG8" s="2"/>
      <c r="EHH8" s="2"/>
      <c r="EHI8" s="2"/>
      <c r="EHJ8" s="2"/>
      <c r="EHK8" s="2"/>
      <c r="EHL8" s="2"/>
      <c r="EHM8" s="2"/>
      <c r="EHN8" s="2"/>
      <c r="EHO8" s="2"/>
      <c r="EHP8" s="2"/>
      <c r="EHQ8" s="2"/>
      <c r="EHR8" s="2"/>
      <c r="EHS8" s="2"/>
      <c r="EHT8" s="2"/>
      <c r="EHU8" s="2"/>
      <c r="EHV8" s="2"/>
      <c r="EHW8" s="2"/>
      <c r="EHX8" s="2"/>
      <c r="EHY8" s="2"/>
      <c r="EHZ8" s="2"/>
      <c r="EIA8" s="2"/>
      <c r="EIB8" s="2"/>
      <c r="EIC8" s="2"/>
      <c r="EID8" s="2"/>
      <c r="EIE8" s="2"/>
      <c r="EIF8" s="2"/>
      <c r="EIG8" s="2"/>
      <c r="EIH8" s="2"/>
      <c r="EII8" s="2"/>
      <c r="EIJ8" s="2"/>
      <c r="EIK8" s="2"/>
      <c r="EIL8" s="2"/>
      <c r="EIM8" s="2"/>
      <c r="EIN8" s="2"/>
      <c r="EIO8" s="2"/>
      <c r="EIP8" s="2"/>
      <c r="EIQ8" s="2"/>
      <c r="EIR8" s="2"/>
      <c r="EIS8" s="2"/>
      <c r="EIT8" s="2"/>
      <c r="EIU8" s="2"/>
      <c r="EIV8" s="2"/>
      <c r="EIW8" s="2"/>
      <c r="EIX8" s="2"/>
      <c r="EIY8" s="2"/>
      <c r="EIZ8" s="2"/>
      <c r="EJA8" s="2"/>
      <c r="EJB8" s="2"/>
      <c r="EJC8" s="2"/>
      <c r="EJD8" s="2"/>
      <c r="EJE8" s="2"/>
      <c r="EJF8" s="2"/>
      <c r="EJG8" s="2"/>
      <c r="EJH8" s="2"/>
      <c r="EJI8" s="2"/>
      <c r="EJJ8" s="2"/>
      <c r="EJK8" s="2"/>
      <c r="EJL8" s="2"/>
      <c r="EJM8" s="2"/>
      <c r="EJN8" s="2"/>
      <c r="EJO8" s="2"/>
      <c r="EJP8" s="2"/>
      <c r="EJQ8" s="2"/>
      <c r="EJR8" s="2"/>
      <c r="EJS8" s="2"/>
      <c r="EJT8" s="2"/>
      <c r="EJU8" s="2"/>
      <c r="EJV8" s="2"/>
      <c r="EJW8" s="2"/>
      <c r="EJX8" s="2"/>
      <c r="EJY8" s="2"/>
      <c r="EJZ8" s="2"/>
      <c r="EKA8" s="2"/>
      <c r="EKB8" s="2"/>
      <c r="EKC8" s="2"/>
      <c r="EKD8" s="2"/>
      <c r="EKE8" s="2"/>
      <c r="EKF8" s="2"/>
      <c r="EKG8" s="2"/>
      <c r="EKH8" s="2"/>
      <c r="EKI8" s="2"/>
      <c r="EKJ8" s="2"/>
      <c r="EKK8" s="2"/>
      <c r="EKL8" s="2"/>
      <c r="EKM8" s="2"/>
      <c r="EKN8" s="2"/>
      <c r="EKO8" s="2"/>
      <c r="EKP8" s="2"/>
      <c r="EKQ8" s="2"/>
      <c r="EKR8" s="2"/>
      <c r="EKS8" s="2"/>
      <c r="EKT8" s="2"/>
      <c r="EKU8" s="2"/>
      <c r="EKV8" s="2"/>
      <c r="EKW8" s="2"/>
      <c r="EKX8" s="2"/>
      <c r="EKY8" s="2"/>
      <c r="EKZ8" s="2"/>
      <c r="ELA8" s="2"/>
      <c r="ELB8" s="2"/>
      <c r="ELC8" s="2"/>
      <c r="ELD8" s="2"/>
      <c r="ELE8" s="2"/>
      <c r="ELF8" s="2"/>
      <c r="ELG8" s="2"/>
      <c r="ELH8" s="2"/>
      <c r="ELI8" s="2"/>
      <c r="ELJ8" s="2"/>
      <c r="ELK8" s="2"/>
      <c r="ELL8" s="2"/>
      <c r="ELM8" s="2"/>
      <c r="ELN8" s="2"/>
      <c r="ELO8" s="2"/>
      <c r="ELP8" s="2"/>
      <c r="ELQ8" s="2"/>
      <c r="ELR8" s="2"/>
      <c r="ELS8" s="2"/>
      <c r="ELT8" s="2"/>
      <c r="ELU8" s="2"/>
      <c r="ELV8" s="2"/>
      <c r="ELW8" s="2"/>
      <c r="ELX8" s="2"/>
      <c r="ELY8" s="2"/>
      <c r="ELZ8" s="2"/>
      <c r="EMA8" s="2"/>
      <c r="EMB8" s="2"/>
      <c r="EMC8" s="2"/>
      <c r="EMD8" s="2"/>
      <c r="EME8" s="2"/>
      <c r="EMF8" s="2"/>
      <c r="EMG8" s="2"/>
      <c r="EMH8" s="2"/>
      <c r="EMI8" s="2"/>
      <c r="EMJ8" s="2"/>
      <c r="EMK8" s="2"/>
      <c r="EML8" s="2"/>
      <c r="EMM8" s="2"/>
      <c r="EMN8" s="2"/>
      <c r="EMO8" s="2"/>
      <c r="EMP8" s="2"/>
      <c r="EMQ8" s="2"/>
      <c r="EMR8" s="2"/>
      <c r="EMS8" s="2"/>
      <c r="EMT8" s="2"/>
      <c r="EMU8" s="2"/>
      <c r="EMV8" s="2"/>
      <c r="EMW8" s="2"/>
      <c r="EMX8" s="2"/>
      <c r="EMY8" s="2"/>
      <c r="EMZ8" s="2"/>
      <c r="ENA8" s="2"/>
      <c r="ENB8" s="2"/>
      <c r="ENC8" s="2"/>
      <c r="END8" s="2"/>
      <c r="ENE8" s="2"/>
      <c r="ENF8" s="2"/>
      <c r="ENG8" s="2"/>
      <c r="ENH8" s="2"/>
      <c r="ENI8" s="2"/>
      <c r="ENJ8" s="2"/>
      <c r="ENK8" s="2"/>
      <c r="ENL8" s="2"/>
      <c r="ENM8" s="2"/>
      <c r="ENN8" s="2"/>
      <c r="ENO8" s="2"/>
      <c r="ENP8" s="2"/>
      <c r="ENQ8" s="2"/>
      <c r="ENR8" s="2"/>
      <c r="ENS8" s="2"/>
      <c r="ENT8" s="2"/>
      <c r="ENU8" s="2"/>
      <c r="ENV8" s="2"/>
      <c r="ENW8" s="2"/>
      <c r="ENX8" s="2"/>
      <c r="ENY8" s="2"/>
      <c r="ENZ8" s="2"/>
      <c r="EOA8" s="2"/>
      <c r="EOB8" s="2"/>
      <c r="EOC8" s="2"/>
      <c r="EOD8" s="2"/>
      <c r="EOE8" s="2"/>
      <c r="EOF8" s="2"/>
      <c r="EOG8" s="2"/>
      <c r="EOH8" s="2"/>
      <c r="EOI8" s="2"/>
      <c r="EOJ8" s="2"/>
      <c r="EOK8" s="2"/>
      <c r="EOL8" s="2"/>
      <c r="EOM8" s="2"/>
      <c r="EON8" s="2"/>
      <c r="EOO8" s="2"/>
      <c r="EOP8" s="2"/>
      <c r="EOQ8" s="2"/>
      <c r="EOR8" s="2"/>
      <c r="EOS8" s="2"/>
      <c r="EOT8" s="2"/>
      <c r="EOU8" s="2"/>
      <c r="EOV8" s="2"/>
      <c r="EOW8" s="2"/>
      <c r="EOX8" s="2"/>
      <c r="EOY8" s="2"/>
      <c r="EOZ8" s="2"/>
      <c r="EPA8" s="2"/>
      <c r="EPB8" s="2"/>
      <c r="EPC8" s="2"/>
      <c r="EPD8" s="2"/>
      <c r="EPE8" s="2"/>
      <c r="EPF8" s="2"/>
      <c r="EPG8" s="2"/>
      <c r="EPH8" s="2"/>
      <c r="EPI8" s="2"/>
      <c r="EPJ8" s="2"/>
      <c r="EPK8" s="2"/>
      <c r="EPL8" s="2"/>
      <c r="EPM8" s="2"/>
      <c r="EPN8" s="2"/>
      <c r="EPO8" s="2"/>
      <c r="EPP8" s="2"/>
      <c r="EPQ8" s="2"/>
      <c r="EPR8" s="2"/>
      <c r="EPS8" s="2"/>
      <c r="EPT8" s="2"/>
      <c r="EPU8" s="2"/>
      <c r="EPV8" s="2"/>
      <c r="EPW8" s="2"/>
      <c r="EPX8" s="2"/>
      <c r="EPY8" s="2"/>
      <c r="EPZ8" s="2"/>
      <c r="EQA8" s="2"/>
      <c r="EQB8" s="2"/>
      <c r="EQC8" s="2"/>
      <c r="EQD8" s="2"/>
      <c r="EQE8" s="2"/>
      <c r="EQF8" s="2"/>
      <c r="EQG8" s="2"/>
      <c r="EQH8" s="2"/>
      <c r="EQI8" s="2"/>
      <c r="EQJ8" s="2"/>
      <c r="EQK8" s="2"/>
      <c r="EQL8" s="2"/>
      <c r="EQM8" s="2"/>
      <c r="EQN8" s="2"/>
      <c r="EQO8" s="2"/>
      <c r="EQP8" s="2"/>
      <c r="EQQ8" s="2"/>
      <c r="EQR8" s="2"/>
      <c r="EQS8" s="2"/>
      <c r="EQT8" s="2"/>
      <c r="EQU8" s="2"/>
      <c r="EQV8" s="2"/>
      <c r="EQW8" s="2"/>
      <c r="EQX8" s="2"/>
      <c r="EQY8" s="2"/>
      <c r="EQZ8" s="2"/>
      <c r="ERA8" s="2"/>
      <c r="ERB8" s="2"/>
      <c r="ERC8" s="2"/>
      <c r="ERD8" s="2"/>
      <c r="ERE8" s="2"/>
      <c r="ERF8" s="2"/>
      <c r="ERG8" s="2"/>
      <c r="ERH8" s="2"/>
      <c r="ERI8" s="2"/>
      <c r="ERJ8" s="2"/>
      <c r="ERK8" s="2"/>
      <c r="ERL8" s="2"/>
      <c r="ERM8" s="2"/>
      <c r="ERN8" s="2"/>
      <c r="ERO8" s="2"/>
      <c r="ERP8" s="2"/>
      <c r="ERQ8" s="2"/>
      <c r="ERR8" s="2"/>
      <c r="ERS8" s="2"/>
      <c r="ERT8" s="2"/>
      <c r="ERU8" s="2"/>
      <c r="ERV8" s="2"/>
      <c r="ERW8" s="2"/>
      <c r="ERX8" s="2"/>
      <c r="ERY8" s="2"/>
      <c r="ERZ8" s="2"/>
      <c r="ESA8" s="2"/>
      <c r="ESB8" s="2"/>
      <c r="ESC8" s="2"/>
      <c r="ESD8" s="2"/>
      <c r="ESE8" s="2"/>
      <c r="ESF8" s="2"/>
      <c r="ESG8" s="2"/>
      <c r="ESH8" s="2"/>
      <c r="ESI8" s="2"/>
      <c r="ESJ8" s="2"/>
      <c r="ESK8" s="2"/>
      <c r="ESL8" s="2"/>
      <c r="ESM8" s="2"/>
      <c r="ESN8" s="2"/>
      <c r="ESO8" s="2"/>
      <c r="ESP8" s="2"/>
      <c r="ESQ8" s="2"/>
      <c r="ESR8" s="2"/>
      <c r="ESS8" s="2"/>
      <c r="EST8" s="2"/>
      <c r="ESU8" s="2"/>
      <c r="ESV8" s="2"/>
      <c r="ESW8" s="2"/>
      <c r="ESX8" s="2"/>
      <c r="ESY8" s="2"/>
      <c r="ESZ8" s="2"/>
      <c r="ETA8" s="2"/>
      <c r="ETB8" s="2"/>
      <c r="ETC8" s="2"/>
      <c r="ETD8" s="2"/>
      <c r="ETE8" s="2"/>
      <c r="ETF8" s="2"/>
      <c r="ETG8" s="2"/>
      <c r="ETH8" s="2"/>
      <c r="ETI8" s="2"/>
      <c r="ETJ8" s="2"/>
      <c r="ETK8" s="2"/>
      <c r="ETL8" s="2"/>
      <c r="ETM8" s="2"/>
      <c r="ETN8" s="2"/>
      <c r="ETO8" s="2"/>
      <c r="ETP8" s="2"/>
      <c r="ETQ8" s="2"/>
      <c r="ETR8" s="2"/>
      <c r="ETS8" s="2"/>
      <c r="ETT8" s="2"/>
      <c r="ETU8" s="2"/>
      <c r="ETV8" s="2"/>
      <c r="ETW8" s="2"/>
      <c r="ETX8" s="2"/>
      <c r="ETY8" s="2"/>
      <c r="ETZ8" s="2"/>
      <c r="EUA8" s="2"/>
      <c r="EUB8" s="2"/>
      <c r="EUC8" s="2"/>
      <c r="EUD8" s="2"/>
      <c r="EUE8" s="2"/>
      <c r="EUF8" s="2"/>
      <c r="EUG8" s="2"/>
      <c r="EUH8" s="2"/>
      <c r="EUI8" s="2"/>
      <c r="EUJ8" s="2"/>
      <c r="EUK8" s="2"/>
      <c r="EUL8" s="2"/>
      <c r="EUM8" s="2"/>
      <c r="EUN8" s="2"/>
      <c r="EUO8" s="2"/>
      <c r="EUP8" s="2"/>
      <c r="EUQ8" s="2"/>
      <c r="EUR8" s="2"/>
      <c r="EUS8" s="2"/>
      <c r="EUT8" s="2"/>
      <c r="EUU8" s="2"/>
      <c r="EUV8" s="2"/>
      <c r="EUW8" s="2"/>
      <c r="EUX8" s="2"/>
      <c r="EUY8" s="2"/>
      <c r="EUZ8" s="2"/>
      <c r="EVA8" s="2"/>
      <c r="EVB8" s="2"/>
      <c r="EVC8" s="2"/>
      <c r="EVD8" s="2"/>
      <c r="EVE8" s="2"/>
      <c r="EVF8" s="2"/>
      <c r="EVG8" s="2"/>
      <c r="EVH8" s="2"/>
      <c r="EVI8" s="2"/>
      <c r="EVJ8" s="2"/>
      <c r="EVK8" s="2"/>
      <c r="EVL8" s="2"/>
      <c r="EVM8" s="2"/>
      <c r="EVN8" s="2"/>
      <c r="EVO8" s="2"/>
      <c r="EVP8" s="2"/>
      <c r="EVQ8" s="2"/>
      <c r="EVR8" s="2"/>
      <c r="EVS8" s="2"/>
      <c r="EVT8" s="2"/>
      <c r="EVU8" s="2"/>
      <c r="EVV8" s="2"/>
      <c r="EVW8" s="2"/>
      <c r="EVX8" s="2"/>
      <c r="EVY8" s="2"/>
      <c r="EVZ8" s="2"/>
      <c r="EWA8" s="2"/>
      <c r="EWB8" s="2"/>
      <c r="EWC8" s="2"/>
      <c r="EWD8" s="2"/>
      <c r="EWE8" s="2"/>
      <c r="EWF8" s="2"/>
      <c r="EWG8" s="2"/>
      <c r="EWH8" s="2"/>
      <c r="EWI8" s="2"/>
      <c r="EWJ8" s="2"/>
      <c r="EWK8" s="2"/>
      <c r="EWL8" s="2"/>
      <c r="EWM8" s="2"/>
      <c r="EWN8" s="2"/>
      <c r="EWO8" s="2"/>
      <c r="EWP8" s="2"/>
      <c r="EWQ8" s="2"/>
      <c r="EWR8" s="2"/>
      <c r="EWS8" s="2"/>
      <c r="EWT8" s="2"/>
      <c r="EWU8" s="2"/>
      <c r="EWV8" s="2"/>
      <c r="EWW8" s="2"/>
      <c r="EWX8" s="2"/>
      <c r="EWY8" s="2"/>
      <c r="EWZ8" s="2"/>
      <c r="EXA8" s="2"/>
      <c r="EXB8" s="2"/>
      <c r="EXC8" s="2"/>
      <c r="EXD8" s="2"/>
      <c r="EXE8" s="2"/>
      <c r="EXF8" s="2"/>
      <c r="EXG8" s="2"/>
      <c r="EXH8" s="2"/>
      <c r="EXI8" s="2"/>
      <c r="EXJ8" s="2"/>
      <c r="EXK8" s="2"/>
      <c r="EXL8" s="2"/>
      <c r="EXM8" s="2"/>
      <c r="EXN8" s="2"/>
      <c r="EXO8" s="2"/>
      <c r="EXP8" s="2"/>
      <c r="EXQ8" s="2"/>
      <c r="EXR8" s="2"/>
      <c r="EXS8" s="2"/>
      <c r="EXT8" s="2"/>
      <c r="EXU8" s="2"/>
      <c r="EXV8" s="2"/>
      <c r="EXW8" s="2"/>
      <c r="EXX8" s="2"/>
      <c r="EXY8" s="2"/>
      <c r="EXZ8" s="2"/>
      <c r="EYA8" s="2"/>
      <c r="EYB8" s="2"/>
      <c r="EYC8" s="2"/>
      <c r="EYD8" s="2"/>
      <c r="EYE8" s="2"/>
      <c r="EYF8" s="2"/>
      <c r="EYG8" s="2"/>
      <c r="EYH8" s="2"/>
      <c r="EYI8" s="2"/>
      <c r="EYJ8" s="2"/>
      <c r="EYK8" s="2"/>
      <c r="EYL8" s="2"/>
      <c r="EYM8" s="2"/>
      <c r="EYN8" s="2"/>
      <c r="EYO8" s="2"/>
      <c r="EYP8" s="2"/>
      <c r="EYQ8" s="2"/>
      <c r="EYR8" s="2"/>
      <c r="EYS8" s="2"/>
      <c r="EYT8" s="2"/>
      <c r="EYU8" s="2"/>
      <c r="EYV8" s="2"/>
      <c r="EYW8" s="2"/>
      <c r="EYX8" s="2"/>
      <c r="EYY8" s="2"/>
      <c r="EYZ8" s="2"/>
      <c r="EZA8" s="2"/>
      <c r="EZB8" s="2"/>
      <c r="EZC8" s="2"/>
      <c r="EZD8" s="2"/>
      <c r="EZE8" s="2"/>
      <c r="EZF8" s="2"/>
      <c r="EZG8" s="2"/>
      <c r="EZH8" s="2"/>
      <c r="EZI8" s="2"/>
      <c r="EZJ8" s="2"/>
      <c r="EZK8" s="2"/>
      <c r="EZL8" s="2"/>
      <c r="EZM8" s="2"/>
      <c r="EZN8" s="2"/>
      <c r="EZO8" s="2"/>
      <c r="EZP8" s="2"/>
      <c r="EZQ8" s="2"/>
      <c r="EZR8" s="2"/>
      <c r="EZS8" s="2"/>
      <c r="EZT8" s="2"/>
      <c r="EZU8" s="2"/>
      <c r="EZV8" s="2"/>
      <c r="EZW8" s="2"/>
      <c r="EZX8" s="2"/>
      <c r="EZY8" s="2"/>
      <c r="EZZ8" s="2"/>
      <c r="FAA8" s="2"/>
      <c r="FAB8" s="2"/>
      <c r="FAC8" s="2"/>
      <c r="FAD8" s="2"/>
      <c r="FAE8" s="2"/>
      <c r="FAF8" s="2"/>
      <c r="FAG8" s="2"/>
      <c r="FAH8" s="2"/>
      <c r="FAI8" s="2"/>
      <c r="FAJ8" s="2"/>
      <c r="FAK8" s="2"/>
      <c r="FAL8" s="2"/>
      <c r="FAM8" s="2"/>
      <c r="FAN8" s="2"/>
      <c r="FAO8" s="2"/>
      <c r="FAP8" s="2"/>
      <c r="FAQ8" s="2"/>
      <c r="FAR8" s="2"/>
      <c r="FAS8" s="2"/>
      <c r="FAT8" s="2"/>
      <c r="FAU8" s="2"/>
      <c r="FAV8" s="2"/>
      <c r="FAW8" s="2"/>
      <c r="FAX8" s="2"/>
      <c r="FAY8" s="2"/>
      <c r="FAZ8" s="2"/>
      <c r="FBA8" s="2"/>
      <c r="FBB8" s="2"/>
      <c r="FBC8" s="2"/>
      <c r="FBD8" s="2"/>
      <c r="FBE8" s="2"/>
      <c r="FBF8" s="2"/>
      <c r="FBG8" s="2"/>
      <c r="FBH8" s="2"/>
      <c r="FBI8" s="2"/>
      <c r="FBJ8" s="2"/>
      <c r="FBK8" s="2"/>
      <c r="FBL8" s="2"/>
      <c r="FBM8" s="2"/>
      <c r="FBN8" s="2"/>
      <c r="FBO8" s="2"/>
      <c r="FBP8" s="2"/>
      <c r="FBQ8" s="2"/>
      <c r="FBR8" s="2"/>
      <c r="FBS8" s="2"/>
      <c r="FBT8" s="2"/>
      <c r="FBU8" s="2"/>
      <c r="FBV8" s="2"/>
      <c r="FBW8" s="2"/>
      <c r="FBX8" s="2"/>
      <c r="FBY8" s="2"/>
      <c r="FBZ8" s="2"/>
      <c r="FCA8" s="2"/>
      <c r="FCB8" s="2"/>
      <c r="FCC8" s="2"/>
      <c r="FCD8" s="2"/>
      <c r="FCE8" s="2"/>
      <c r="FCF8" s="2"/>
      <c r="FCG8" s="2"/>
      <c r="FCH8" s="2"/>
      <c r="FCI8" s="2"/>
      <c r="FCJ8" s="2"/>
      <c r="FCK8" s="2"/>
      <c r="FCL8" s="2"/>
      <c r="FCM8" s="2"/>
      <c r="FCN8" s="2"/>
      <c r="FCO8" s="2"/>
      <c r="FCP8" s="2"/>
      <c r="FCQ8" s="2"/>
      <c r="FCR8" s="2"/>
      <c r="FCS8" s="2"/>
      <c r="FCT8" s="2"/>
      <c r="FCU8" s="2"/>
      <c r="FCV8" s="2"/>
      <c r="FCW8" s="2"/>
      <c r="FCX8" s="2"/>
      <c r="FCY8" s="2"/>
      <c r="FCZ8" s="2"/>
      <c r="FDA8" s="2"/>
      <c r="FDB8" s="2"/>
      <c r="FDC8" s="2"/>
      <c r="FDD8" s="2"/>
      <c r="FDE8" s="2"/>
      <c r="FDF8" s="2"/>
      <c r="FDG8" s="2"/>
      <c r="FDH8" s="2"/>
      <c r="FDI8" s="2"/>
      <c r="FDJ8" s="2"/>
      <c r="FDK8" s="2"/>
      <c r="FDL8" s="2"/>
      <c r="FDM8" s="2"/>
      <c r="FDN8" s="2"/>
      <c r="FDO8" s="2"/>
      <c r="FDP8" s="2"/>
      <c r="FDQ8" s="2"/>
      <c r="FDR8" s="2"/>
      <c r="FDS8" s="2"/>
      <c r="FDT8" s="2"/>
      <c r="FDU8" s="2"/>
      <c r="FDV8" s="2"/>
      <c r="FDW8" s="2"/>
      <c r="FDX8" s="2"/>
      <c r="FDY8" s="2"/>
      <c r="FDZ8" s="2"/>
      <c r="FEA8" s="2"/>
      <c r="FEB8" s="2"/>
      <c r="FEC8" s="2"/>
      <c r="FED8" s="2"/>
      <c r="FEE8" s="2"/>
      <c r="FEF8" s="2"/>
      <c r="FEG8" s="2"/>
      <c r="FEH8" s="2"/>
      <c r="FEI8" s="2"/>
      <c r="FEJ8" s="2"/>
      <c r="FEK8" s="2"/>
      <c r="FEL8" s="2"/>
      <c r="FEM8" s="2"/>
      <c r="FEN8" s="2"/>
      <c r="FEO8" s="2"/>
      <c r="FEP8" s="2"/>
      <c r="FEQ8" s="2"/>
      <c r="FER8" s="2"/>
      <c r="FES8" s="2"/>
      <c r="FET8" s="2"/>
      <c r="FEU8" s="2"/>
      <c r="FEV8" s="2"/>
      <c r="FEW8" s="2"/>
      <c r="FEX8" s="2"/>
      <c r="FEY8" s="2"/>
      <c r="FEZ8" s="2"/>
      <c r="FFA8" s="2"/>
      <c r="FFB8" s="2"/>
      <c r="FFC8" s="2"/>
      <c r="FFD8" s="2"/>
      <c r="FFE8" s="2"/>
      <c r="FFF8" s="2"/>
      <c r="FFG8" s="2"/>
      <c r="FFH8" s="2"/>
      <c r="FFI8" s="2"/>
      <c r="FFJ8" s="2"/>
      <c r="FFK8" s="2"/>
      <c r="FFL8" s="2"/>
      <c r="FFM8" s="2"/>
      <c r="FFN8" s="2"/>
      <c r="FFO8" s="2"/>
      <c r="FFP8" s="2"/>
      <c r="FFQ8" s="2"/>
      <c r="FFR8" s="2"/>
      <c r="FFS8" s="2"/>
      <c r="FFT8" s="2"/>
      <c r="FFU8" s="2"/>
      <c r="FFV8" s="2"/>
      <c r="FFW8" s="2"/>
      <c r="FFX8" s="2"/>
      <c r="FFY8" s="2"/>
      <c r="FFZ8" s="2"/>
      <c r="FGA8" s="2"/>
      <c r="FGB8" s="2"/>
      <c r="FGC8" s="2"/>
      <c r="FGD8" s="2"/>
      <c r="FGE8" s="2"/>
      <c r="FGF8" s="2"/>
      <c r="FGG8" s="2"/>
      <c r="FGH8" s="2"/>
      <c r="FGI8" s="2"/>
      <c r="FGJ8" s="2"/>
      <c r="FGK8" s="2"/>
      <c r="FGL8" s="2"/>
      <c r="FGM8" s="2"/>
      <c r="FGN8" s="2"/>
      <c r="FGO8" s="2"/>
      <c r="FGP8" s="2"/>
      <c r="FGQ8" s="2"/>
      <c r="FGR8" s="2"/>
      <c r="FGS8" s="2"/>
      <c r="FGT8" s="2"/>
      <c r="FGU8" s="2"/>
      <c r="FGV8" s="2"/>
      <c r="FGW8" s="2"/>
      <c r="FGX8" s="2"/>
      <c r="FGY8" s="2"/>
      <c r="FGZ8" s="2"/>
      <c r="FHA8" s="2"/>
      <c r="FHB8" s="2"/>
      <c r="FHC8" s="2"/>
      <c r="FHD8" s="2"/>
      <c r="FHE8" s="2"/>
      <c r="FHF8" s="2"/>
      <c r="FHG8" s="2"/>
      <c r="FHH8" s="2"/>
      <c r="FHI8" s="2"/>
      <c r="FHJ8" s="2"/>
      <c r="FHK8" s="2"/>
      <c r="FHL8" s="2"/>
      <c r="FHM8" s="2"/>
      <c r="FHN8" s="2"/>
      <c r="FHO8" s="2"/>
      <c r="FHP8" s="2"/>
      <c r="FHQ8" s="2"/>
      <c r="FHR8" s="2"/>
      <c r="FHS8" s="2"/>
      <c r="FHT8" s="2"/>
      <c r="FHU8" s="2"/>
      <c r="FHV8" s="2"/>
      <c r="FHW8" s="2"/>
      <c r="FHX8" s="2"/>
      <c r="FHY8" s="2"/>
      <c r="FHZ8" s="2"/>
      <c r="FIA8" s="2"/>
      <c r="FIB8" s="2"/>
      <c r="FIC8" s="2"/>
      <c r="FID8" s="2"/>
      <c r="FIE8" s="2"/>
      <c r="FIF8" s="2"/>
      <c r="FIG8" s="2"/>
      <c r="FIH8" s="2"/>
      <c r="FII8" s="2"/>
      <c r="FIJ8" s="2"/>
      <c r="FIK8" s="2"/>
      <c r="FIL8" s="2"/>
      <c r="FIM8" s="2"/>
      <c r="FIN8" s="2"/>
      <c r="FIO8" s="2"/>
      <c r="FIP8" s="2"/>
      <c r="FIQ8" s="2"/>
      <c r="FIR8" s="2"/>
      <c r="FIS8" s="2"/>
      <c r="FIT8" s="2"/>
      <c r="FIU8" s="2"/>
      <c r="FIV8" s="2"/>
      <c r="FIW8" s="2"/>
      <c r="FIX8" s="2"/>
      <c r="FIY8" s="2"/>
      <c r="FIZ8" s="2"/>
      <c r="FJA8" s="2"/>
      <c r="FJB8" s="2"/>
      <c r="FJC8" s="2"/>
      <c r="FJD8" s="2"/>
      <c r="FJE8" s="2"/>
      <c r="FJF8" s="2"/>
      <c r="FJG8" s="2"/>
      <c r="FJH8" s="2"/>
      <c r="FJI8" s="2"/>
      <c r="FJJ8" s="2"/>
      <c r="FJK8" s="2"/>
      <c r="FJL8" s="2"/>
      <c r="FJM8" s="2"/>
      <c r="FJN8" s="2"/>
      <c r="FJO8" s="2"/>
      <c r="FJP8" s="2"/>
      <c r="FJQ8" s="2"/>
      <c r="FJR8" s="2"/>
      <c r="FJS8" s="2"/>
      <c r="FJT8" s="2"/>
      <c r="FJU8" s="2"/>
      <c r="FJV8" s="2"/>
      <c r="FJW8" s="2"/>
      <c r="FJX8" s="2"/>
      <c r="FJY8" s="2"/>
      <c r="FJZ8" s="2"/>
      <c r="FKA8" s="2"/>
      <c r="FKB8" s="2"/>
      <c r="FKC8" s="2"/>
      <c r="FKD8" s="2"/>
      <c r="FKE8" s="2"/>
      <c r="FKF8" s="2"/>
      <c r="FKG8" s="2"/>
      <c r="FKH8" s="2"/>
      <c r="FKI8" s="2"/>
      <c r="FKJ8" s="2"/>
      <c r="FKK8" s="2"/>
      <c r="FKL8" s="2"/>
      <c r="FKM8" s="2"/>
      <c r="FKN8" s="2"/>
      <c r="FKO8" s="2"/>
      <c r="FKP8" s="2"/>
      <c r="FKQ8" s="2"/>
      <c r="FKR8" s="2"/>
      <c r="FKS8" s="2"/>
      <c r="FKT8" s="2"/>
      <c r="FKU8" s="2"/>
      <c r="FKV8" s="2"/>
      <c r="FKW8" s="2"/>
      <c r="FKX8" s="2"/>
      <c r="FKY8" s="2"/>
      <c r="FKZ8" s="2"/>
      <c r="FLA8" s="2"/>
      <c r="FLB8" s="2"/>
      <c r="FLC8" s="2"/>
      <c r="FLD8" s="2"/>
      <c r="FLE8" s="2"/>
      <c r="FLF8" s="2"/>
      <c r="FLG8" s="2"/>
      <c r="FLH8" s="2"/>
      <c r="FLI8" s="2"/>
      <c r="FLJ8" s="2"/>
      <c r="FLK8" s="2"/>
      <c r="FLL8" s="2"/>
      <c r="FLM8" s="2"/>
      <c r="FLN8" s="2"/>
      <c r="FLO8" s="2"/>
      <c r="FLP8" s="2"/>
      <c r="FLQ8" s="2"/>
      <c r="FLR8" s="2"/>
      <c r="FLS8" s="2"/>
      <c r="FLT8" s="2"/>
      <c r="FLU8" s="2"/>
      <c r="FLV8" s="2"/>
      <c r="FLW8" s="2"/>
      <c r="FLX8" s="2"/>
      <c r="FLY8" s="2"/>
      <c r="FLZ8" s="2"/>
      <c r="FMA8" s="2"/>
      <c r="FMB8" s="2"/>
      <c r="FMC8" s="2"/>
      <c r="FMD8" s="2"/>
      <c r="FME8" s="2"/>
      <c r="FMF8" s="2"/>
      <c r="FMG8" s="2"/>
      <c r="FMH8" s="2"/>
      <c r="FMI8" s="2"/>
      <c r="FMJ8" s="2"/>
      <c r="FMK8" s="2"/>
      <c r="FML8" s="2"/>
      <c r="FMM8" s="2"/>
      <c r="FMN8" s="2"/>
      <c r="FMO8" s="2"/>
      <c r="FMP8" s="2"/>
      <c r="FMQ8" s="2"/>
      <c r="FMR8" s="2"/>
      <c r="FMS8" s="2"/>
      <c r="FMT8" s="2"/>
      <c r="FMU8" s="2"/>
      <c r="FMV8" s="2"/>
      <c r="FMW8" s="2"/>
      <c r="FMX8" s="2"/>
      <c r="FMY8" s="2"/>
      <c r="FMZ8" s="2"/>
      <c r="FNA8" s="2"/>
      <c r="FNB8" s="2"/>
      <c r="FNC8" s="2"/>
      <c r="FND8" s="2"/>
      <c r="FNE8" s="2"/>
      <c r="FNF8" s="2"/>
      <c r="FNG8" s="2"/>
      <c r="FNH8" s="2"/>
      <c r="FNI8" s="2"/>
      <c r="FNJ8" s="2"/>
      <c r="FNK8" s="2"/>
      <c r="FNL8" s="2"/>
      <c r="FNM8" s="2"/>
      <c r="FNN8" s="2"/>
      <c r="FNO8" s="2"/>
      <c r="FNP8" s="2"/>
      <c r="FNQ8" s="2"/>
      <c r="FNR8" s="2"/>
      <c r="FNS8" s="2"/>
      <c r="FNT8" s="2"/>
      <c r="FNU8" s="2"/>
      <c r="FNV8" s="2"/>
      <c r="FNW8" s="2"/>
      <c r="FNX8" s="2"/>
      <c r="FNY8" s="2"/>
      <c r="FNZ8" s="2"/>
      <c r="FOA8" s="2"/>
      <c r="FOB8" s="2"/>
      <c r="FOC8" s="2"/>
      <c r="FOD8" s="2"/>
      <c r="FOE8" s="2"/>
      <c r="FOF8" s="2"/>
      <c r="FOG8" s="2"/>
      <c r="FOH8" s="2"/>
      <c r="FOI8" s="2"/>
      <c r="FOJ8" s="2"/>
      <c r="FOK8" s="2"/>
      <c r="FOL8" s="2"/>
      <c r="FOM8" s="2"/>
      <c r="FON8" s="2"/>
      <c r="FOO8" s="2"/>
      <c r="FOP8" s="2"/>
      <c r="FOQ8" s="2"/>
      <c r="FOR8" s="2"/>
      <c r="FOS8" s="2"/>
      <c r="FOT8" s="2"/>
      <c r="FOU8" s="2"/>
      <c r="FOV8" s="2"/>
      <c r="FOW8" s="2"/>
      <c r="FOX8" s="2"/>
      <c r="FOY8" s="2"/>
      <c r="FOZ8" s="2"/>
      <c r="FPA8" s="2"/>
      <c r="FPB8" s="2"/>
      <c r="FPC8" s="2"/>
      <c r="FPD8" s="2"/>
      <c r="FPE8" s="2"/>
      <c r="FPF8" s="2"/>
      <c r="FPG8" s="2"/>
      <c r="FPH8" s="2"/>
      <c r="FPI8" s="2"/>
      <c r="FPJ8" s="2"/>
      <c r="FPK8" s="2"/>
      <c r="FPL8" s="2"/>
      <c r="FPM8" s="2"/>
      <c r="FPN8" s="2"/>
      <c r="FPO8" s="2"/>
      <c r="FPP8" s="2"/>
      <c r="FPQ8" s="2"/>
      <c r="FPR8" s="2"/>
      <c r="FPS8" s="2"/>
      <c r="FPT8" s="2"/>
      <c r="FPU8" s="2"/>
      <c r="FPV8" s="2"/>
      <c r="FPW8" s="2"/>
      <c r="FPX8" s="2"/>
      <c r="FPY8" s="2"/>
      <c r="FPZ8" s="2"/>
      <c r="FQA8" s="2"/>
      <c r="FQB8" s="2"/>
      <c r="FQC8" s="2"/>
      <c r="FQD8" s="2"/>
      <c r="FQE8" s="2"/>
      <c r="FQF8" s="2"/>
      <c r="FQG8" s="2"/>
      <c r="FQH8" s="2"/>
      <c r="FQI8" s="2"/>
      <c r="FQJ8" s="2"/>
      <c r="FQK8" s="2"/>
      <c r="FQL8" s="2"/>
      <c r="FQM8" s="2"/>
      <c r="FQN8" s="2"/>
      <c r="FQO8" s="2"/>
      <c r="FQP8" s="2"/>
      <c r="FQQ8" s="2"/>
      <c r="FQR8" s="2"/>
      <c r="FQS8" s="2"/>
      <c r="FQT8" s="2"/>
      <c r="FQU8" s="2"/>
      <c r="FQV8" s="2"/>
      <c r="FQW8" s="2"/>
      <c r="FQX8" s="2"/>
      <c r="FQY8" s="2"/>
      <c r="FQZ8" s="2"/>
      <c r="FRA8" s="2"/>
      <c r="FRB8" s="2"/>
      <c r="FRC8" s="2"/>
      <c r="FRD8" s="2"/>
      <c r="FRE8" s="2"/>
      <c r="FRF8" s="2"/>
      <c r="FRG8" s="2"/>
      <c r="FRH8" s="2"/>
      <c r="FRI8" s="2"/>
      <c r="FRJ8" s="2"/>
      <c r="FRK8" s="2"/>
      <c r="FRL8" s="2"/>
      <c r="FRM8" s="2"/>
      <c r="FRN8" s="2"/>
      <c r="FRO8" s="2"/>
      <c r="FRP8" s="2"/>
      <c r="FRQ8" s="2"/>
      <c r="FRR8" s="2"/>
      <c r="FRS8" s="2"/>
      <c r="FRT8" s="2"/>
      <c r="FRU8" s="2"/>
      <c r="FRV8" s="2"/>
      <c r="FRW8" s="2"/>
      <c r="FRX8" s="2"/>
      <c r="FRY8" s="2"/>
      <c r="FRZ8" s="2"/>
      <c r="FSA8" s="2"/>
      <c r="FSB8" s="2"/>
      <c r="FSC8" s="2"/>
      <c r="FSD8" s="2"/>
      <c r="FSE8" s="2"/>
      <c r="FSF8" s="2"/>
      <c r="FSG8" s="2"/>
      <c r="FSH8" s="2"/>
      <c r="FSI8" s="2"/>
      <c r="FSJ8" s="2"/>
      <c r="FSK8" s="2"/>
      <c r="FSL8" s="2"/>
      <c r="FSM8" s="2"/>
      <c r="FSN8" s="2"/>
      <c r="FSO8" s="2"/>
      <c r="FSP8" s="2"/>
      <c r="FSQ8" s="2"/>
      <c r="FSR8" s="2"/>
      <c r="FSS8" s="2"/>
      <c r="FST8" s="2"/>
      <c r="FSU8" s="2"/>
      <c r="FSV8" s="2"/>
      <c r="FSW8" s="2"/>
      <c r="FSX8" s="2"/>
      <c r="FSY8" s="2"/>
      <c r="FSZ8" s="2"/>
      <c r="FTA8" s="2"/>
      <c r="FTB8" s="2"/>
      <c r="FTC8" s="2"/>
      <c r="FTD8" s="2"/>
      <c r="FTE8" s="2"/>
      <c r="FTF8" s="2"/>
      <c r="FTG8" s="2"/>
      <c r="FTH8" s="2"/>
      <c r="FTI8" s="2"/>
      <c r="FTJ8" s="2"/>
      <c r="FTK8" s="2"/>
      <c r="FTL8" s="2"/>
      <c r="FTM8" s="2"/>
      <c r="FTN8" s="2"/>
      <c r="FTO8" s="2"/>
      <c r="FTP8" s="2"/>
      <c r="FTQ8" s="2"/>
      <c r="FTR8" s="2"/>
      <c r="FTS8" s="2"/>
      <c r="FTT8" s="2"/>
      <c r="FTU8" s="2"/>
      <c r="FTV8" s="2"/>
      <c r="FTW8" s="2"/>
      <c r="FTX8" s="2"/>
      <c r="FTY8" s="2"/>
      <c r="FTZ8" s="2"/>
      <c r="FUA8" s="2"/>
      <c r="FUB8" s="2"/>
      <c r="FUC8" s="2"/>
      <c r="FUD8" s="2"/>
      <c r="FUE8" s="2"/>
      <c r="FUF8" s="2"/>
      <c r="FUG8" s="2"/>
      <c r="FUH8" s="2"/>
      <c r="FUI8" s="2"/>
      <c r="FUJ8" s="2"/>
      <c r="FUK8" s="2"/>
      <c r="FUL8" s="2"/>
      <c r="FUM8" s="2"/>
      <c r="FUN8" s="2"/>
      <c r="FUO8" s="2"/>
      <c r="FUP8" s="2"/>
      <c r="FUQ8" s="2"/>
      <c r="FUR8" s="2"/>
      <c r="FUS8" s="2"/>
      <c r="FUT8" s="2"/>
      <c r="FUU8" s="2"/>
      <c r="FUV8" s="2"/>
      <c r="FUW8" s="2"/>
      <c r="FUX8" s="2"/>
      <c r="FUY8" s="2"/>
      <c r="FUZ8" s="2"/>
      <c r="FVA8" s="2"/>
      <c r="FVB8" s="2"/>
      <c r="FVC8" s="2"/>
      <c r="FVD8" s="2"/>
      <c r="FVE8" s="2"/>
      <c r="FVF8" s="2"/>
      <c r="FVG8" s="2"/>
      <c r="FVH8" s="2"/>
      <c r="FVI8" s="2"/>
      <c r="FVJ8" s="2"/>
      <c r="FVK8" s="2"/>
      <c r="FVL8" s="2"/>
      <c r="FVM8" s="2"/>
      <c r="FVN8" s="2"/>
      <c r="FVO8" s="2"/>
      <c r="FVP8" s="2"/>
      <c r="FVQ8" s="2"/>
      <c r="FVR8" s="2"/>
      <c r="FVS8" s="2"/>
      <c r="FVT8" s="2"/>
      <c r="FVU8" s="2"/>
      <c r="FVV8" s="2"/>
      <c r="FVW8" s="2"/>
      <c r="FVX8" s="2"/>
      <c r="FVY8" s="2"/>
      <c r="FVZ8" s="2"/>
      <c r="FWA8" s="2"/>
      <c r="FWB8" s="2"/>
      <c r="FWC8" s="2"/>
      <c r="FWD8" s="2"/>
      <c r="FWE8" s="2"/>
      <c r="FWF8" s="2"/>
      <c r="FWG8" s="2"/>
      <c r="FWH8" s="2"/>
      <c r="FWI8" s="2"/>
      <c r="FWJ8" s="2"/>
      <c r="FWK8" s="2"/>
      <c r="FWL8" s="2"/>
      <c r="FWM8" s="2"/>
      <c r="FWN8" s="2"/>
      <c r="FWO8" s="2"/>
      <c r="FWP8" s="2"/>
      <c r="FWQ8" s="2"/>
      <c r="FWR8" s="2"/>
      <c r="FWS8" s="2"/>
      <c r="FWT8" s="2"/>
      <c r="FWU8" s="2"/>
      <c r="FWV8" s="2"/>
      <c r="FWW8" s="2"/>
      <c r="FWX8" s="2"/>
      <c r="FWY8" s="2"/>
      <c r="FWZ8" s="2"/>
      <c r="FXA8" s="2"/>
      <c r="FXB8" s="2"/>
      <c r="FXC8" s="2"/>
      <c r="FXD8" s="2"/>
      <c r="FXE8" s="2"/>
      <c r="FXF8" s="2"/>
      <c r="FXG8" s="2"/>
      <c r="FXH8" s="2"/>
      <c r="FXI8" s="2"/>
      <c r="FXJ8" s="2"/>
      <c r="FXK8" s="2"/>
      <c r="FXL8" s="2"/>
      <c r="FXM8" s="2"/>
      <c r="FXN8" s="2"/>
      <c r="FXO8" s="2"/>
      <c r="FXP8" s="2"/>
      <c r="FXQ8" s="2"/>
      <c r="FXR8" s="2"/>
      <c r="FXS8" s="2"/>
      <c r="FXT8" s="2"/>
      <c r="FXU8" s="2"/>
      <c r="FXV8" s="2"/>
      <c r="FXW8" s="2"/>
      <c r="FXX8" s="2"/>
      <c r="FXY8" s="2"/>
      <c r="FXZ8" s="2"/>
      <c r="FYA8" s="2"/>
      <c r="FYB8" s="2"/>
      <c r="FYC8" s="2"/>
      <c r="FYD8" s="2"/>
      <c r="FYE8" s="2"/>
      <c r="FYF8" s="2"/>
      <c r="FYG8" s="2"/>
      <c r="FYH8" s="2"/>
      <c r="FYI8" s="2"/>
      <c r="FYJ8" s="2"/>
      <c r="FYK8" s="2"/>
      <c r="FYL8" s="2"/>
      <c r="FYM8" s="2"/>
      <c r="FYN8" s="2"/>
      <c r="FYO8" s="2"/>
      <c r="FYP8" s="2"/>
      <c r="FYQ8" s="2"/>
      <c r="FYR8" s="2"/>
      <c r="FYS8" s="2"/>
      <c r="FYT8" s="2"/>
      <c r="FYU8" s="2"/>
      <c r="FYV8" s="2"/>
      <c r="FYW8" s="2"/>
      <c r="FYX8" s="2"/>
      <c r="FYY8" s="2"/>
      <c r="FYZ8" s="2"/>
      <c r="FZA8" s="2"/>
      <c r="FZB8" s="2"/>
      <c r="FZC8" s="2"/>
      <c r="FZD8" s="2"/>
      <c r="FZE8" s="2"/>
      <c r="FZF8" s="2"/>
      <c r="FZG8" s="2"/>
      <c r="FZH8" s="2"/>
      <c r="FZI8" s="2"/>
      <c r="FZJ8" s="2"/>
      <c r="FZK8" s="2"/>
      <c r="FZL8" s="2"/>
      <c r="FZM8" s="2"/>
      <c r="FZN8" s="2"/>
      <c r="FZO8" s="2"/>
      <c r="FZP8" s="2"/>
      <c r="FZQ8" s="2"/>
      <c r="FZR8" s="2"/>
      <c r="FZS8" s="2"/>
      <c r="FZT8" s="2"/>
      <c r="FZU8" s="2"/>
      <c r="FZV8" s="2"/>
      <c r="FZW8" s="2"/>
      <c r="FZX8" s="2"/>
      <c r="FZY8" s="2"/>
      <c r="FZZ8" s="2"/>
      <c r="GAA8" s="2"/>
      <c r="GAB8" s="2"/>
      <c r="GAC8" s="2"/>
      <c r="GAD8" s="2"/>
      <c r="GAE8" s="2"/>
      <c r="GAF8" s="2"/>
      <c r="GAG8" s="2"/>
      <c r="GAH8" s="2"/>
      <c r="GAI8" s="2"/>
      <c r="GAJ8" s="2"/>
      <c r="GAK8" s="2"/>
      <c r="GAL8" s="2"/>
      <c r="GAM8" s="2"/>
      <c r="GAN8" s="2"/>
      <c r="GAO8" s="2"/>
      <c r="GAP8" s="2"/>
      <c r="GAQ8" s="2"/>
      <c r="GAR8" s="2"/>
      <c r="GAS8" s="2"/>
      <c r="GAT8" s="2"/>
      <c r="GAU8" s="2"/>
      <c r="GAV8" s="2"/>
      <c r="GAW8" s="2"/>
      <c r="GAX8" s="2"/>
      <c r="GAY8" s="2"/>
      <c r="GAZ8" s="2"/>
      <c r="GBA8" s="2"/>
      <c r="GBB8" s="2"/>
      <c r="GBC8" s="2"/>
      <c r="GBD8" s="2"/>
      <c r="GBE8" s="2"/>
      <c r="GBF8" s="2"/>
      <c r="GBG8" s="2"/>
      <c r="GBH8" s="2"/>
      <c r="GBI8" s="2"/>
      <c r="GBJ8" s="2"/>
      <c r="GBK8" s="2"/>
      <c r="GBL8" s="2"/>
      <c r="GBM8" s="2"/>
      <c r="GBN8" s="2"/>
      <c r="GBO8" s="2"/>
      <c r="GBP8" s="2"/>
      <c r="GBQ8" s="2"/>
      <c r="GBR8" s="2"/>
      <c r="GBS8" s="2"/>
      <c r="GBT8" s="2"/>
      <c r="GBU8" s="2"/>
      <c r="GBV8" s="2"/>
      <c r="GBW8" s="2"/>
      <c r="GBX8" s="2"/>
      <c r="GBY8" s="2"/>
      <c r="GBZ8" s="2"/>
      <c r="GCA8" s="2"/>
      <c r="GCB8" s="2"/>
      <c r="GCC8" s="2"/>
      <c r="GCD8" s="2"/>
      <c r="GCE8" s="2"/>
      <c r="GCF8" s="2"/>
      <c r="GCG8" s="2"/>
      <c r="GCH8" s="2"/>
      <c r="GCI8" s="2"/>
      <c r="GCJ8" s="2"/>
      <c r="GCK8" s="2"/>
      <c r="GCL8" s="2"/>
      <c r="GCM8" s="2"/>
      <c r="GCN8" s="2"/>
      <c r="GCO8" s="2"/>
      <c r="GCP8" s="2"/>
      <c r="GCQ8" s="2"/>
      <c r="GCR8" s="2"/>
      <c r="GCS8" s="2"/>
      <c r="GCT8" s="2"/>
      <c r="GCU8" s="2"/>
      <c r="GCV8" s="2"/>
      <c r="GCW8" s="2"/>
      <c r="GCX8" s="2"/>
      <c r="GCY8" s="2"/>
      <c r="GCZ8" s="2"/>
      <c r="GDA8" s="2"/>
      <c r="GDB8" s="2"/>
      <c r="GDC8" s="2"/>
      <c r="GDD8" s="2"/>
      <c r="GDE8" s="2"/>
      <c r="GDF8" s="2"/>
      <c r="GDG8" s="2"/>
      <c r="GDH8" s="2"/>
      <c r="GDI8" s="2"/>
      <c r="GDJ8" s="2"/>
      <c r="GDK8" s="2"/>
      <c r="GDL8" s="2"/>
      <c r="GDM8" s="2"/>
      <c r="GDN8" s="2"/>
      <c r="GDO8" s="2"/>
      <c r="GDP8" s="2"/>
      <c r="GDQ8" s="2"/>
      <c r="GDR8" s="2"/>
      <c r="GDS8" s="2"/>
      <c r="GDT8" s="2"/>
      <c r="GDU8" s="2"/>
      <c r="GDV8" s="2"/>
      <c r="GDW8" s="2"/>
      <c r="GDX8" s="2"/>
      <c r="GDY8" s="2"/>
      <c r="GDZ8" s="2"/>
      <c r="GEA8" s="2"/>
      <c r="GEB8" s="2"/>
      <c r="GEC8" s="2"/>
      <c r="GED8" s="2"/>
      <c r="GEE8" s="2"/>
      <c r="GEF8" s="2"/>
      <c r="GEG8" s="2"/>
      <c r="GEH8" s="2"/>
      <c r="GEI8" s="2"/>
      <c r="GEJ8" s="2"/>
      <c r="GEK8" s="2"/>
      <c r="GEL8" s="2"/>
      <c r="GEM8" s="2"/>
      <c r="GEN8" s="2"/>
      <c r="GEO8" s="2"/>
      <c r="GEP8" s="2"/>
      <c r="GEQ8" s="2"/>
      <c r="GER8" s="2"/>
      <c r="GES8" s="2"/>
      <c r="GET8" s="2"/>
      <c r="GEU8" s="2"/>
      <c r="GEV8" s="2"/>
      <c r="GEW8" s="2"/>
      <c r="GEX8" s="2"/>
      <c r="GEY8" s="2"/>
      <c r="GEZ8" s="2"/>
      <c r="GFA8" s="2"/>
      <c r="GFB8" s="2"/>
      <c r="GFC8" s="2"/>
      <c r="GFD8" s="2"/>
      <c r="GFE8" s="2"/>
      <c r="GFF8" s="2"/>
      <c r="GFG8" s="2"/>
      <c r="GFH8" s="2"/>
      <c r="GFI8" s="2"/>
      <c r="GFJ8" s="2"/>
      <c r="GFK8" s="2"/>
      <c r="GFL8" s="2"/>
      <c r="GFM8" s="2"/>
      <c r="GFN8" s="2"/>
      <c r="GFO8" s="2"/>
      <c r="GFP8" s="2"/>
      <c r="GFQ8" s="2"/>
      <c r="GFR8" s="2"/>
      <c r="GFS8" s="2"/>
      <c r="GFT8" s="2"/>
      <c r="GFU8" s="2"/>
      <c r="GFV8" s="2"/>
      <c r="GFW8" s="2"/>
      <c r="GFX8" s="2"/>
      <c r="GFY8" s="2"/>
      <c r="GFZ8" s="2"/>
      <c r="GGA8" s="2"/>
      <c r="GGB8" s="2"/>
      <c r="GGC8" s="2"/>
      <c r="GGD8" s="2"/>
      <c r="GGE8" s="2"/>
      <c r="GGF8" s="2"/>
      <c r="GGG8" s="2"/>
      <c r="GGH8" s="2"/>
      <c r="GGI8" s="2"/>
      <c r="GGJ8" s="2"/>
      <c r="GGK8" s="2"/>
      <c r="GGL8" s="2"/>
      <c r="GGM8" s="2"/>
      <c r="GGN8" s="2"/>
      <c r="GGO8" s="2"/>
      <c r="GGP8" s="2"/>
      <c r="GGQ8" s="2"/>
      <c r="GGR8" s="2"/>
      <c r="GGS8" s="2"/>
      <c r="GGT8" s="2"/>
      <c r="GGU8" s="2"/>
      <c r="GGV8" s="2"/>
      <c r="GGW8" s="2"/>
      <c r="GGX8" s="2"/>
      <c r="GGY8" s="2"/>
      <c r="GGZ8" s="2"/>
      <c r="GHA8" s="2"/>
      <c r="GHB8" s="2"/>
      <c r="GHC8" s="2"/>
      <c r="GHD8" s="2"/>
      <c r="GHE8" s="2"/>
      <c r="GHF8" s="2"/>
      <c r="GHG8" s="2"/>
      <c r="GHH8" s="2"/>
      <c r="GHI8" s="2"/>
      <c r="GHJ8" s="2"/>
      <c r="GHK8" s="2"/>
      <c r="GHL8" s="2"/>
      <c r="GHM8" s="2"/>
      <c r="GHN8" s="2"/>
      <c r="GHO8" s="2"/>
      <c r="GHP8" s="2"/>
      <c r="GHQ8" s="2"/>
      <c r="GHR8" s="2"/>
      <c r="GHS8" s="2"/>
      <c r="GHT8" s="2"/>
      <c r="GHU8" s="2"/>
      <c r="GHV8" s="2"/>
      <c r="GHW8" s="2"/>
      <c r="GHX8" s="2"/>
      <c r="GHY8" s="2"/>
      <c r="GHZ8" s="2"/>
      <c r="GIA8" s="2"/>
      <c r="GIB8" s="2"/>
      <c r="GIC8" s="2"/>
      <c r="GID8" s="2"/>
      <c r="GIE8" s="2"/>
      <c r="GIF8" s="2"/>
      <c r="GIG8" s="2"/>
      <c r="GIH8" s="2"/>
      <c r="GII8" s="2"/>
      <c r="GIJ8" s="2"/>
      <c r="GIK8" s="2"/>
      <c r="GIL8" s="2"/>
      <c r="GIM8" s="2"/>
      <c r="GIN8" s="2"/>
      <c r="GIO8" s="2"/>
      <c r="GIP8" s="2"/>
      <c r="GIQ8" s="2"/>
      <c r="GIR8" s="2"/>
      <c r="GIS8" s="2"/>
      <c r="GIT8" s="2"/>
      <c r="GIU8" s="2"/>
      <c r="GIV8" s="2"/>
      <c r="GIW8" s="2"/>
      <c r="GIX8" s="2"/>
      <c r="GIY8" s="2"/>
      <c r="GIZ8" s="2"/>
      <c r="GJA8" s="2"/>
      <c r="GJB8" s="2"/>
      <c r="GJC8" s="2"/>
      <c r="GJD8" s="2"/>
      <c r="GJE8" s="2"/>
      <c r="GJF8" s="2"/>
      <c r="GJG8" s="2"/>
      <c r="GJH8" s="2"/>
      <c r="GJI8" s="2"/>
      <c r="GJJ8" s="2"/>
      <c r="GJK8" s="2"/>
      <c r="GJL8" s="2"/>
      <c r="GJM8" s="2"/>
      <c r="GJN8" s="2"/>
      <c r="GJO8" s="2"/>
      <c r="GJP8" s="2"/>
      <c r="GJQ8" s="2"/>
      <c r="GJR8" s="2"/>
      <c r="GJS8" s="2"/>
      <c r="GJT8" s="2"/>
      <c r="GJU8" s="2"/>
      <c r="GJV8" s="2"/>
      <c r="GJW8" s="2"/>
      <c r="GJX8" s="2"/>
      <c r="GJY8" s="2"/>
      <c r="GJZ8" s="2"/>
      <c r="GKA8" s="2"/>
      <c r="GKB8" s="2"/>
      <c r="GKC8" s="2"/>
      <c r="GKD8" s="2"/>
      <c r="GKE8" s="2"/>
      <c r="GKF8" s="2"/>
      <c r="GKG8" s="2"/>
      <c r="GKH8" s="2"/>
      <c r="GKI8" s="2"/>
      <c r="GKJ8" s="2"/>
      <c r="GKK8" s="2"/>
      <c r="GKL8" s="2"/>
      <c r="GKM8" s="2"/>
      <c r="GKN8" s="2"/>
      <c r="GKO8" s="2"/>
      <c r="GKP8" s="2"/>
      <c r="GKQ8" s="2"/>
      <c r="GKR8" s="2"/>
      <c r="GKS8" s="2"/>
      <c r="GKT8" s="2"/>
      <c r="GKU8" s="2"/>
      <c r="GKV8" s="2"/>
      <c r="GKW8" s="2"/>
      <c r="GKX8" s="2"/>
      <c r="GKY8" s="2"/>
      <c r="GKZ8" s="2"/>
      <c r="GLA8" s="2"/>
      <c r="GLB8" s="2"/>
      <c r="GLC8" s="2"/>
      <c r="GLD8" s="2"/>
      <c r="GLE8" s="2"/>
      <c r="GLF8" s="2"/>
      <c r="GLG8" s="2"/>
      <c r="GLH8" s="2"/>
      <c r="GLI8" s="2"/>
      <c r="GLJ8" s="2"/>
      <c r="GLK8" s="2"/>
      <c r="GLL8" s="2"/>
      <c r="GLM8" s="2"/>
      <c r="GLN8" s="2"/>
      <c r="GLO8" s="2"/>
      <c r="GLP8" s="2"/>
      <c r="GLQ8" s="2"/>
      <c r="GLR8" s="2"/>
      <c r="GLS8" s="2"/>
      <c r="GLT8" s="2"/>
      <c r="GLU8" s="2"/>
      <c r="GLV8" s="2"/>
      <c r="GLW8" s="2"/>
      <c r="GLX8" s="2"/>
      <c r="GLY8" s="2"/>
      <c r="GLZ8" s="2"/>
      <c r="GMA8" s="2"/>
      <c r="GMB8" s="2"/>
      <c r="GMC8" s="2"/>
      <c r="GMD8" s="2"/>
      <c r="GME8" s="2"/>
      <c r="GMF8" s="2"/>
      <c r="GMG8" s="2"/>
      <c r="GMH8" s="2"/>
      <c r="GMI8" s="2"/>
      <c r="GMJ8" s="2"/>
      <c r="GMK8" s="2"/>
      <c r="GML8" s="2"/>
      <c r="GMM8" s="2"/>
      <c r="GMN8" s="2"/>
      <c r="GMO8" s="2"/>
      <c r="GMP8" s="2"/>
      <c r="GMQ8" s="2"/>
      <c r="GMR8" s="2"/>
      <c r="GMS8" s="2"/>
      <c r="GMT8" s="2"/>
      <c r="GMU8" s="2"/>
      <c r="GMV8" s="2"/>
      <c r="GMW8" s="2"/>
      <c r="GMX8" s="2"/>
      <c r="GMY8" s="2"/>
      <c r="GMZ8" s="2"/>
      <c r="GNA8" s="2"/>
      <c r="GNB8" s="2"/>
      <c r="GNC8" s="2"/>
      <c r="GND8" s="2"/>
      <c r="GNE8" s="2"/>
      <c r="GNF8" s="2"/>
      <c r="GNG8" s="2"/>
      <c r="GNH8" s="2"/>
      <c r="GNI8" s="2"/>
      <c r="GNJ8" s="2"/>
      <c r="GNK8" s="2"/>
      <c r="GNL8" s="2"/>
      <c r="GNM8" s="2"/>
      <c r="GNN8" s="2"/>
      <c r="GNO8" s="2"/>
      <c r="GNP8" s="2"/>
      <c r="GNQ8" s="2"/>
      <c r="GNR8" s="2"/>
      <c r="GNS8" s="2"/>
      <c r="GNT8" s="2"/>
      <c r="GNU8" s="2"/>
      <c r="GNV8" s="2"/>
      <c r="GNW8" s="2"/>
      <c r="GNX8" s="2"/>
      <c r="GNY8" s="2"/>
      <c r="GNZ8" s="2"/>
      <c r="GOA8" s="2"/>
      <c r="GOB8" s="2"/>
      <c r="GOC8" s="2"/>
      <c r="GOD8" s="2"/>
      <c r="GOE8" s="2"/>
      <c r="GOF8" s="2"/>
      <c r="GOG8" s="2"/>
      <c r="GOH8" s="2"/>
      <c r="GOI8" s="2"/>
      <c r="GOJ8" s="2"/>
      <c r="GOK8" s="2"/>
      <c r="GOL8" s="2"/>
      <c r="GOM8" s="2"/>
      <c r="GON8" s="2"/>
      <c r="GOO8" s="2"/>
      <c r="GOP8" s="2"/>
      <c r="GOQ8" s="2"/>
      <c r="GOR8" s="2"/>
      <c r="GOS8" s="2"/>
      <c r="GOT8" s="2"/>
      <c r="GOU8" s="2"/>
      <c r="GOV8" s="2"/>
      <c r="GOW8" s="2"/>
      <c r="GOX8" s="2"/>
      <c r="GOY8" s="2"/>
      <c r="GOZ8" s="2"/>
      <c r="GPA8" s="2"/>
      <c r="GPB8" s="2"/>
      <c r="GPC8" s="2"/>
      <c r="GPD8" s="2"/>
      <c r="GPE8" s="2"/>
      <c r="GPF8" s="2"/>
      <c r="GPG8" s="2"/>
      <c r="GPH8" s="2"/>
      <c r="GPI8" s="2"/>
      <c r="GPJ8" s="2"/>
      <c r="GPK8" s="2"/>
      <c r="GPL8" s="2"/>
      <c r="GPM8" s="2"/>
      <c r="GPN8" s="2"/>
      <c r="GPO8" s="2"/>
      <c r="GPP8" s="2"/>
      <c r="GPQ8" s="2"/>
      <c r="GPR8" s="2"/>
      <c r="GPS8" s="2"/>
      <c r="GPT8" s="2"/>
      <c r="GPU8" s="2"/>
      <c r="GPV8" s="2"/>
      <c r="GPW8" s="2"/>
      <c r="GPX8" s="2"/>
      <c r="GPY8" s="2"/>
      <c r="GPZ8" s="2"/>
      <c r="GQA8" s="2"/>
      <c r="GQB8" s="2"/>
      <c r="GQC8" s="2"/>
      <c r="GQD8" s="2"/>
      <c r="GQE8" s="2"/>
      <c r="GQF8" s="2"/>
      <c r="GQG8" s="2"/>
      <c r="GQH8" s="2"/>
      <c r="GQI8" s="2"/>
      <c r="GQJ8" s="2"/>
      <c r="GQK8" s="2"/>
      <c r="GQL8" s="2"/>
      <c r="GQM8" s="2"/>
      <c r="GQN8" s="2"/>
      <c r="GQO8" s="2"/>
      <c r="GQP8" s="2"/>
      <c r="GQQ8" s="2"/>
      <c r="GQR8" s="2"/>
      <c r="GQS8" s="2"/>
      <c r="GQT8" s="2"/>
      <c r="GQU8" s="2"/>
      <c r="GQV8" s="2"/>
      <c r="GQW8" s="2"/>
      <c r="GQX8" s="2"/>
      <c r="GQY8" s="2"/>
      <c r="GQZ8" s="2"/>
      <c r="GRA8" s="2"/>
      <c r="GRB8" s="2"/>
      <c r="GRC8" s="2"/>
      <c r="GRD8" s="2"/>
      <c r="GRE8" s="2"/>
      <c r="GRF8" s="2"/>
      <c r="GRG8" s="2"/>
      <c r="GRH8" s="2"/>
      <c r="GRI8" s="2"/>
      <c r="GRJ8" s="2"/>
      <c r="GRK8" s="2"/>
      <c r="GRL8" s="2"/>
      <c r="GRM8" s="2"/>
      <c r="GRN8" s="2"/>
      <c r="GRO8" s="2"/>
      <c r="GRP8" s="2"/>
      <c r="GRQ8" s="2"/>
      <c r="GRR8" s="2"/>
      <c r="GRS8" s="2"/>
      <c r="GRT8" s="2"/>
      <c r="GRU8" s="2"/>
      <c r="GRV8" s="2"/>
      <c r="GRW8" s="2"/>
      <c r="GRX8" s="2"/>
      <c r="GRY8" s="2"/>
      <c r="GRZ8" s="2"/>
      <c r="GSA8" s="2"/>
      <c r="GSB8" s="2"/>
      <c r="GSC8" s="2"/>
      <c r="GSD8" s="2"/>
      <c r="GSE8" s="2"/>
      <c r="GSF8" s="2"/>
      <c r="GSG8" s="2"/>
      <c r="GSH8" s="2"/>
      <c r="GSI8" s="2"/>
      <c r="GSJ8" s="2"/>
      <c r="GSK8" s="2"/>
      <c r="GSL8" s="2"/>
      <c r="GSM8" s="2"/>
      <c r="GSN8" s="2"/>
      <c r="GSO8" s="2"/>
      <c r="GSP8" s="2"/>
      <c r="GSQ8" s="2"/>
      <c r="GSR8" s="2"/>
      <c r="GSS8" s="2"/>
      <c r="GST8" s="2"/>
      <c r="GSU8" s="2"/>
      <c r="GSV8" s="2"/>
      <c r="GSW8" s="2"/>
      <c r="GSX8" s="2"/>
      <c r="GSY8" s="2"/>
      <c r="GSZ8" s="2"/>
      <c r="GTA8" s="2"/>
      <c r="GTB8" s="2"/>
      <c r="GTC8" s="2"/>
      <c r="GTD8" s="2"/>
      <c r="GTE8" s="2"/>
      <c r="GTF8" s="2"/>
      <c r="GTG8" s="2"/>
      <c r="GTH8" s="2"/>
      <c r="GTI8" s="2"/>
      <c r="GTJ8" s="2"/>
      <c r="GTK8" s="2"/>
      <c r="GTL8" s="2"/>
      <c r="GTM8" s="2"/>
      <c r="GTN8" s="2"/>
      <c r="GTO8" s="2"/>
      <c r="GTP8" s="2"/>
      <c r="GTQ8" s="2"/>
      <c r="GTR8" s="2"/>
      <c r="GTS8" s="2"/>
      <c r="GTT8" s="2"/>
      <c r="GTU8" s="2"/>
      <c r="GTV8" s="2"/>
      <c r="GTW8" s="2"/>
      <c r="GTX8" s="2"/>
      <c r="GTY8" s="2"/>
      <c r="GTZ8" s="2"/>
      <c r="GUA8" s="2"/>
      <c r="GUB8" s="2"/>
      <c r="GUC8" s="2"/>
      <c r="GUD8" s="2"/>
      <c r="GUE8" s="2"/>
      <c r="GUF8" s="2"/>
      <c r="GUG8" s="2"/>
      <c r="GUH8" s="2"/>
      <c r="GUI8" s="2"/>
      <c r="GUJ8" s="2"/>
      <c r="GUK8" s="2"/>
      <c r="GUL8" s="2"/>
      <c r="GUM8" s="2"/>
      <c r="GUN8" s="2"/>
      <c r="GUO8" s="2"/>
      <c r="GUP8" s="2"/>
      <c r="GUQ8" s="2"/>
      <c r="GUR8" s="2"/>
      <c r="GUS8" s="2"/>
      <c r="GUT8" s="2"/>
      <c r="GUU8" s="2"/>
      <c r="GUV8" s="2"/>
      <c r="GUW8" s="2"/>
      <c r="GUX8" s="2"/>
      <c r="GUY8" s="2"/>
      <c r="GUZ8" s="2"/>
      <c r="GVA8" s="2"/>
      <c r="GVB8" s="2"/>
      <c r="GVC8" s="2"/>
      <c r="GVD8" s="2"/>
      <c r="GVE8" s="2"/>
      <c r="GVF8" s="2"/>
      <c r="GVG8" s="2"/>
      <c r="GVH8" s="2"/>
      <c r="GVI8" s="2"/>
      <c r="GVJ8" s="2"/>
      <c r="GVK8" s="2"/>
      <c r="GVL8" s="2"/>
      <c r="GVM8" s="2"/>
      <c r="GVN8" s="2"/>
      <c r="GVO8" s="2"/>
      <c r="GVP8" s="2"/>
      <c r="GVQ8" s="2"/>
      <c r="GVR8" s="2"/>
      <c r="GVS8" s="2"/>
      <c r="GVT8" s="2"/>
      <c r="GVU8" s="2"/>
      <c r="GVV8" s="2"/>
      <c r="GVW8" s="2"/>
      <c r="GVX8" s="2"/>
      <c r="GVY8" s="2"/>
      <c r="GVZ8" s="2"/>
      <c r="GWA8" s="2"/>
      <c r="GWB8" s="2"/>
      <c r="GWC8" s="2"/>
      <c r="GWD8" s="2"/>
      <c r="GWE8" s="2"/>
      <c r="GWF8" s="2"/>
      <c r="GWG8" s="2"/>
      <c r="GWH8" s="2"/>
      <c r="GWI8" s="2"/>
      <c r="GWJ8" s="2"/>
      <c r="GWK8" s="2"/>
      <c r="GWL8" s="2"/>
      <c r="GWM8" s="2"/>
      <c r="GWN8" s="2"/>
      <c r="GWO8" s="2"/>
      <c r="GWP8" s="2"/>
      <c r="GWQ8" s="2"/>
      <c r="GWR8" s="2"/>
      <c r="GWS8" s="2"/>
      <c r="GWT8" s="2"/>
      <c r="GWU8" s="2"/>
      <c r="GWV8" s="2"/>
      <c r="GWW8" s="2"/>
      <c r="GWX8" s="2"/>
      <c r="GWY8" s="2"/>
      <c r="GWZ8" s="2"/>
      <c r="GXA8" s="2"/>
      <c r="GXB8" s="2"/>
      <c r="GXC8" s="2"/>
      <c r="GXD8" s="2"/>
      <c r="GXE8" s="2"/>
      <c r="GXF8" s="2"/>
      <c r="GXG8" s="2"/>
      <c r="GXH8" s="2"/>
      <c r="GXI8" s="2"/>
      <c r="GXJ8" s="2"/>
      <c r="GXK8" s="2"/>
      <c r="GXL8" s="2"/>
      <c r="GXM8" s="2"/>
      <c r="GXN8" s="2"/>
      <c r="GXO8" s="2"/>
      <c r="GXP8" s="2"/>
      <c r="GXQ8" s="2"/>
      <c r="GXR8" s="2"/>
      <c r="GXS8" s="2"/>
      <c r="GXT8" s="2"/>
      <c r="GXU8" s="2"/>
      <c r="GXV8" s="2"/>
      <c r="GXW8" s="2"/>
      <c r="GXX8" s="2"/>
      <c r="GXY8" s="2"/>
      <c r="GXZ8" s="2"/>
      <c r="GYA8" s="2"/>
      <c r="GYB8" s="2"/>
      <c r="GYC8" s="2"/>
      <c r="GYD8" s="2"/>
      <c r="GYE8" s="2"/>
      <c r="GYF8" s="2"/>
      <c r="GYG8" s="2"/>
      <c r="GYH8" s="2"/>
      <c r="GYI8" s="2"/>
      <c r="GYJ8" s="2"/>
      <c r="GYK8" s="2"/>
      <c r="GYL8" s="2"/>
      <c r="GYM8" s="2"/>
      <c r="GYN8" s="2"/>
      <c r="GYO8" s="2"/>
      <c r="GYP8" s="2"/>
      <c r="GYQ8" s="2"/>
      <c r="GYR8" s="2"/>
      <c r="GYS8" s="2"/>
      <c r="GYT8" s="2"/>
      <c r="GYU8" s="2"/>
      <c r="GYV8" s="2"/>
      <c r="GYW8" s="2"/>
      <c r="GYX8" s="2"/>
      <c r="GYY8" s="2"/>
      <c r="GYZ8" s="2"/>
      <c r="GZA8" s="2"/>
      <c r="GZB8" s="2"/>
      <c r="GZC8" s="2"/>
      <c r="GZD8" s="2"/>
      <c r="GZE8" s="2"/>
      <c r="GZF8" s="2"/>
      <c r="GZG8" s="2"/>
      <c r="GZH8" s="2"/>
      <c r="GZI8" s="2"/>
      <c r="GZJ8" s="2"/>
      <c r="GZK8" s="2"/>
      <c r="GZL8" s="2"/>
      <c r="GZM8" s="2"/>
      <c r="GZN8" s="2"/>
      <c r="GZO8" s="2"/>
      <c r="GZP8" s="2"/>
      <c r="GZQ8" s="2"/>
      <c r="GZR8" s="2"/>
      <c r="GZS8" s="2"/>
      <c r="GZT8" s="2"/>
      <c r="GZU8" s="2"/>
      <c r="GZV8" s="2"/>
      <c r="GZW8" s="2"/>
      <c r="GZX8" s="2"/>
      <c r="GZY8" s="2"/>
      <c r="GZZ8" s="2"/>
      <c r="HAA8" s="2"/>
      <c r="HAB8" s="2"/>
      <c r="HAC8" s="2"/>
      <c r="HAD8" s="2"/>
      <c r="HAE8" s="2"/>
      <c r="HAF8" s="2"/>
      <c r="HAG8" s="2"/>
      <c r="HAH8" s="2"/>
      <c r="HAI8" s="2"/>
      <c r="HAJ8" s="2"/>
      <c r="HAK8" s="2"/>
      <c r="HAL8" s="2"/>
      <c r="HAM8" s="2"/>
      <c r="HAN8" s="2"/>
      <c r="HAO8" s="2"/>
      <c r="HAP8" s="2"/>
      <c r="HAQ8" s="2"/>
      <c r="HAR8" s="2"/>
      <c r="HAS8" s="2"/>
      <c r="HAT8" s="2"/>
      <c r="HAU8" s="2"/>
      <c r="HAV8" s="2"/>
      <c r="HAW8" s="2"/>
      <c r="HAX8" s="2"/>
      <c r="HAY8" s="2"/>
      <c r="HAZ8" s="2"/>
      <c r="HBA8" s="2"/>
      <c r="HBB8" s="2"/>
      <c r="HBC8" s="2"/>
      <c r="HBD8" s="2"/>
      <c r="HBE8" s="2"/>
      <c r="HBF8" s="2"/>
      <c r="HBG8" s="2"/>
      <c r="HBH8" s="2"/>
      <c r="HBI8" s="2"/>
      <c r="HBJ8" s="2"/>
      <c r="HBK8" s="2"/>
      <c r="HBL8" s="2"/>
      <c r="HBM8" s="2"/>
      <c r="HBN8" s="2"/>
      <c r="HBO8" s="2"/>
      <c r="HBP8" s="2"/>
      <c r="HBQ8" s="2"/>
      <c r="HBR8" s="2"/>
      <c r="HBS8" s="2"/>
      <c r="HBT8" s="2"/>
      <c r="HBU8" s="2"/>
      <c r="HBV8" s="2"/>
      <c r="HBW8" s="2"/>
      <c r="HBX8" s="2"/>
      <c r="HBY8" s="2"/>
      <c r="HBZ8" s="2"/>
      <c r="HCA8" s="2"/>
      <c r="HCB8" s="2"/>
      <c r="HCC8" s="2"/>
      <c r="HCD8" s="2"/>
      <c r="HCE8" s="2"/>
      <c r="HCF8" s="2"/>
      <c r="HCG8" s="2"/>
      <c r="HCH8" s="2"/>
      <c r="HCI8" s="2"/>
      <c r="HCJ8" s="2"/>
      <c r="HCK8" s="2"/>
      <c r="HCL8" s="2"/>
      <c r="HCM8" s="2"/>
      <c r="HCN8" s="2"/>
      <c r="HCO8" s="2"/>
      <c r="HCP8" s="2"/>
      <c r="HCQ8" s="2"/>
      <c r="HCR8" s="2"/>
      <c r="HCS8" s="2"/>
      <c r="HCT8" s="2"/>
      <c r="HCU8" s="2"/>
      <c r="HCV8" s="2"/>
      <c r="HCW8" s="2"/>
      <c r="HCX8" s="2"/>
      <c r="HCY8" s="2"/>
      <c r="HCZ8" s="2"/>
      <c r="HDA8" s="2"/>
      <c r="HDB8" s="2"/>
      <c r="HDC8" s="2"/>
      <c r="HDD8" s="2"/>
      <c r="HDE8" s="2"/>
      <c r="HDF8" s="2"/>
      <c r="HDG8" s="2"/>
      <c r="HDH8" s="2"/>
      <c r="HDI8" s="2"/>
      <c r="HDJ8" s="2"/>
      <c r="HDK8" s="2"/>
      <c r="HDL8" s="2"/>
      <c r="HDM8" s="2"/>
      <c r="HDN8" s="2"/>
      <c r="HDO8" s="2"/>
      <c r="HDP8" s="2"/>
      <c r="HDQ8" s="2"/>
      <c r="HDR8" s="2"/>
      <c r="HDS8" s="2"/>
      <c r="HDT8" s="2"/>
      <c r="HDU8" s="2"/>
      <c r="HDV8" s="2"/>
      <c r="HDW8" s="2"/>
      <c r="HDX8" s="2"/>
      <c r="HDY8" s="2"/>
      <c r="HDZ8" s="2"/>
      <c r="HEA8" s="2"/>
      <c r="HEB8" s="2"/>
      <c r="HEC8" s="2"/>
      <c r="HED8" s="2"/>
      <c r="HEE8" s="2"/>
      <c r="HEF8" s="2"/>
      <c r="HEG8" s="2"/>
      <c r="HEH8" s="2"/>
      <c r="HEI8" s="2"/>
      <c r="HEJ8" s="2"/>
      <c r="HEK8" s="2"/>
      <c r="HEL8" s="2"/>
      <c r="HEM8" s="2"/>
      <c r="HEN8" s="2"/>
      <c r="HEO8" s="2"/>
      <c r="HEP8" s="2"/>
      <c r="HEQ8" s="2"/>
      <c r="HER8" s="2"/>
      <c r="HES8" s="2"/>
      <c r="HET8" s="2"/>
      <c r="HEU8" s="2"/>
      <c r="HEV8" s="2"/>
      <c r="HEW8" s="2"/>
      <c r="HEX8" s="2"/>
      <c r="HEY8" s="2"/>
      <c r="HEZ8" s="2"/>
      <c r="HFA8" s="2"/>
      <c r="HFB8" s="2"/>
      <c r="HFC8" s="2"/>
      <c r="HFD8" s="2"/>
      <c r="HFE8" s="2"/>
      <c r="HFF8" s="2"/>
      <c r="HFG8" s="2"/>
      <c r="HFH8" s="2"/>
      <c r="HFI8" s="2"/>
      <c r="HFJ8" s="2"/>
      <c r="HFK8" s="2"/>
      <c r="HFL8" s="2"/>
      <c r="HFM8" s="2"/>
      <c r="HFN8" s="2"/>
      <c r="HFO8" s="2"/>
      <c r="HFP8" s="2"/>
      <c r="HFQ8" s="2"/>
      <c r="HFR8" s="2"/>
      <c r="HFS8" s="2"/>
      <c r="HFT8" s="2"/>
      <c r="HFU8" s="2"/>
      <c r="HFV8" s="2"/>
      <c r="HFW8" s="2"/>
      <c r="HFX8" s="2"/>
      <c r="HFY8" s="2"/>
      <c r="HFZ8" s="2"/>
      <c r="HGA8" s="2"/>
      <c r="HGB8" s="2"/>
      <c r="HGC8" s="2"/>
      <c r="HGD8" s="2"/>
      <c r="HGE8" s="2"/>
      <c r="HGF8" s="2"/>
      <c r="HGG8" s="2"/>
      <c r="HGH8" s="2"/>
      <c r="HGI8" s="2"/>
      <c r="HGJ8" s="2"/>
      <c r="HGK8" s="2"/>
      <c r="HGL8" s="2"/>
      <c r="HGM8" s="2"/>
      <c r="HGN8" s="2"/>
      <c r="HGO8" s="2"/>
      <c r="HGP8" s="2"/>
      <c r="HGQ8" s="2"/>
      <c r="HGR8" s="2"/>
      <c r="HGS8" s="2"/>
      <c r="HGT8" s="2"/>
      <c r="HGU8" s="2"/>
      <c r="HGV8" s="2"/>
      <c r="HGW8" s="2"/>
      <c r="HGX8" s="2"/>
      <c r="HGY8" s="2"/>
      <c r="HGZ8" s="2"/>
      <c r="HHA8" s="2"/>
      <c r="HHB8" s="2"/>
      <c r="HHC8" s="2"/>
      <c r="HHD8" s="2"/>
      <c r="HHE8" s="2"/>
      <c r="HHF8" s="2"/>
      <c r="HHG8" s="2"/>
      <c r="HHH8" s="2"/>
      <c r="HHI8" s="2"/>
      <c r="HHJ8" s="2"/>
      <c r="HHK8" s="2"/>
      <c r="HHL8" s="2"/>
      <c r="HHM8" s="2"/>
      <c r="HHN8" s="2"/>
      <c r="HHO8" s="2"/>
      <c r="HHP8" s="2"/>
      <c r="HHQ8" s="2"/>
      <c r="HHR8" s="2"/>
      <c r="HHS8" s="2"/>
      <c r="HHT8" s="2"/>
      <c r="HHU8" s="2"/>
      <c r="HHV8" s="2"/>
      <c r="HHW8" s="2"/>
      <c r="HHX8" s="2"/>
      <c r="HHY8" s="2"/>
      <c r="HHZ8" s="2"/>
      <c r="HIA8" s="2"/>
      <c r="HIB8" s="2"/>
      <c r="HIC8" s="2"/>
      <c r="HID8" s="2"/>
      <c r="HIE8" s="2"/>
      <c r="HIF8" s="2"/>
      <c r="HIG8" s="2"/>
      <c r="HIH8" s="2"/>
      <c r="HII8" s="2"/>
      <c r="HIJ8" s="2"/>
      <c r="HIK8" s="2"/>
      <c r="HIL8" s="2"/>
      <c r="HIM8" s="2"/>
      <c r="HIN8" s="2"/>
      <c r="HIO8" s="2"/>
      <c r="HIP8" s="2"/>
      <c r="HIQ8" s="2"/>
      <c r="HIR8" s="2"/>
      <c r="HIS8" s="2"/>
      <c r="HIT8" s="2"/>
      <c r="HIU8" s="2"/>
      <c r="HIV8" s="2"/>
      <c r="HIW8" s="2"/>
      <c r="HIX8" s="2"/>
      <c r="HIY8" s="2"/>
      <c r="HIZ8" s="2"/>
      <c r="HJA8" s="2"/>
      <c r="HJB8" s="2"/>
      <c r="HJC8" s="2"/>
      <c r="HJD8" s="2"/>
      <c r="HJE8" s="2"/>
      <c r="HJF8" s="2"/>
      <c r="HJG8" s="2"/>
      <c r="HJH8" s="2"/>
      <c r="HJI8" s="2"/>
      <c r="HJJ8" s="2"/>
      <c r="HJK8" s="2"/>
      <c r="HJL8" s="2"/>
      <c r="HJM8" s="2"/>
      <c r="HJN8" s="2"/>
      <c r="HJO8" s="2"/>
      <c r="HJP8" s="2"/>
      <c r="HJQ8" s="2"/>
      <c r="HJR8" s="2"/>
      <c r="HJS8" s="2"/>
      <c r="HJT8" s="2"/>
      <c r="HJU8" s="2"/>
      <c r="HJV8" s="2"/>
      <c r="HJW8" s="2"/>
      <c r="HJX8" s="2"/>
      <c r="HJY8" s="2"/>
      <c r="HJZ8" s="2"/>
      <c r="HKA8" s="2"/>
      <c r="HKB8" s="2"/>
      <c r="HKC8" s="2"/>
      <c r="HKD8" s="2"/>
      <c r="HKE8" s="2"/>
      <c r="HKF8" s="2"/>
      <c r="HKG8" s="2"/>
      <c r="HKH8" s="2"/>
      <c r="HKI8" s="2"/>
      <c r="HKJ8" s="2"/>
      <c r="HKK8" s="2"/>
      <c r="HKL8" s="2"/>
      <c r="HKM8" s="2"/>
      <c r="HKN8" s="2"/>
      <c r="HKO8" s="2"/>
      <c r="HKP8" s="2"/>
      <c r="HKQ8" s="2"/>
      <c r="HKR8" s="2"/>
      <c r="HKS8" s="2"/>
      <c r="HKT8" s="2"/>
      <c r="HKU8" s="2"/>
      <c r="HKV8" s="2"/>
      <c r="HKW8" s="2"/>
      <c r="HKX8" s="2"/>
      <c r="HKY8" s="2"/>
      <c r="HKZ8" s="2"/>
      <c r="HLA8" s="2"/>
      <c r="HLB8" s="2"/>
      <c r="HLC8" s="2"/>
      <c r="HLD8" s="2"/>
      <c r="HLE8" s="2"/>
      <c r="HLF8" s="2"/>
      <c r="HLG8" s="2"/>
      <c r="HLH8" s="2"/>
      <c r="HLI8" s="2"/>
      <c r="HLJ8" s="2"/>
      <c r="HLK8" s="2"/>
      <c r="HLL8" s="2"/>
      <c r="HLM8" s="2"/>
      <c r="HLN8" s="2"/>
      <c r="HLO8" s="2"/>
      <c r="HLP8" s="2"/>
      <c r="HLQ8" s="2"/>
      <c r="HLR8" s="2"/>
      <c r="HLS8" s="2"/>
      <c r="HLT8" s="2"/>
      <c r="HLU8" s="2"/>
      <c r="HLV8" s="2"/>
      <c r="HLW8" s="2"/>
      <c r="HLX8" s="2"/>
      <c r="HLY8" s="2"/>
      <c r="HLZ8" s="2"/>
      <c r="HMA8" s="2"/>
      <c r="HMB8" s="2"/>
      <c r="HMC8" s="2"/>
      <c r="HMD8" s="2"/>
      <c r="HME8" s="2"/>
      <c r="HMF8" s="2"/>
      <c r="HMG8" s="2"/>
      <c r="HMH8" s="2"/>
      <c r="HMI8" s="2"/>
      <c r="HMJ8" s="2"/>
      <c r="HMK8" s="2"/>
      <c r="HML8" s="2"/>
      <c r="HMM8" s="2"/>
      <c r="HMN8" s="2"/>
      <c r="HMO8" s="2"/>
      <c r="HMP8" s="2"/>
      <c r="HMQ8" s="2"/>
      <c r="HMR8" s="2"/>
      <c r="HMS8" s="2"/>
      <c r="HMT8" s="2"/>
      <c r="HMU8" s="2"/>
      <c r="HMV8" s="2"/>
      <c r="HMW8" s="2"/>
      <c r="HMX8" s="2"/>
      <c r="HMY8" s="2"/>
      <c r="HMZ8" s="2"/>
      <c r="HNA8" s="2"/>
      <c r="HNB8" s="2"/>
      <c r="HNC8" s="2"/>
      <c r="HND8" s="2"/>
      <c r="HNE8" s="2"/>
      <c r="HNF8" s="2"/>
      <c r="HNG8" s="2"/>
      <c r="HNH8" s="2"/>
      <c r="HNI8" s="2"/>
      <c r="HNJ8" s="2"/>
      <c r="HNK8" s="2"/>
      <c r="HNL8" s="2"/>
      <c r="HNM8" s="2"/>
      <c r="HNN8" s="2"/>
      <c r="HNO8" s="2"/>
      <c r="HNP8" s="2"/>
      <c r="HNQ8" s="2"/>
      <c r="HNR8" s="2"/>
      <c r="HNS8" s="2"/>
      <c r="HNT8" s="2"/>
      <c r="HNU8" s="2"/>
      <c r="HNV8" s="2"/>
      <c r="HNW8" s="2"/>
      <c r="HNX8" s="2"/>
      <c r="HNY8" s="2"/>
      <c r="HNZ8" s="2"/>
      <c r="HOA8" s="2"/>
      <c r="HOB8" s="2"/>
      <c r="HOC8" s="2"/>
      <c r="HOD8" s="2"/>
      <c r="HOE8" s="2"/>
      <c r="HOF8" s="2"/>
      <c r="HOG8" s="2"/>
      <c r="HOH8" s="2"/>
      <c r="HOI8" s="2"/>
      <c r="HOJ8" s="2"/>
      <c r="HOK8" s="2"/>
      <c r="HOL8" s="2"/>
      <c r="HOM8" s="2"/>
      <c r="HON8" s="2"/>
      <c r="HOO8" s="2"/>
      <c r="HOP8" s="2"/>
      <c r="HOQ8" s="2"/>
      <c r="HOR8" s="2"/>
      <c r="HOS8" s="2"/>
      <c r="HOT8" s="2"/>
      <c r="HOU8" s="2"/>
      <c r="HOV8" s="2"/>
      <c r="HOW8" s="2"/>
      <c r="HOX8" s="2"/>
      <c r="HOY8" s="2"/>
      <c r="HOZ8" s="2"/>
      <c r="HPA8" s="2"/>
      <c r="HPB8" s="2"/>
      <c r="HPC8" s="2"/>
      <c r="HPD8" s="2"/>
      <c r="HPE8" s="2"/>
      <c r="HPF8" s="2"/>
      <c r="HPG8" s="2"/>
      <c r="HPH8" s="2"/>
      <c r="HPI8" s="2"/>
      <c r="HPJ8" s="2"/>
      <c r="HPK8" s="2"/>
      <c r="HPL8" s="2"/>
      <c r="HPM8" s="2"/>
      <c r="HPN8" s="2"/>
      <c r="HPO8" s="2"/>
      <c r="HPP8" s="2"/>
      <c r="HPQ8" s="2"/>
      <c r="HPR8" s="2"/>
      <c r="HPS8" s="2"/>
      <c r="HPT8" s="2"/>
      <c r="HPU8" s="2"/>
      <c r="HPV8" s="2"/>
      <c r="HPW8" s="2"/>
      <c r="HPX8" s="2"/>
      <c r="HPY8" s="2"/>
      <c r="HPZ8" s="2"/>
      <c r="HQA8" s="2"/>
      <c r="HQB8" s="2"/>
      <c r="HQC8" s="2"/>
      <c r="HQD8" s="2"/>
      <c r="HQE8" s="2"/>
      <c r="HQF8" s="2"/>
      <c r="HQG8" s="2"/>
      <c r="HQH8" s="2"/>
      <c r="HQI8" s="2"/>
      <c r="HQJ8" s="2"/>
      <c r="HQK8" s="2"/>
      <c r="HQL8" s="2"/>
      <c r="HQM8" s="2"/>
      <c r="HQN8" s="2"/>
      <c r="HQO8" s="2"/>
      <c r="HQP8" s="2"/>
      <c r="HQQ8" s="2"/>
      <c r="HQR8" s="2"/>
      <c r="HQS8" s="2"/>
      <c r="HQT8" s="2"/>
      <c r="HQU8" s="2"/>
      <c r="HQV8" s="2"/>
      <c r="HQW8" s="2"/>
      <c r="HQX8" s="2"/>
      <c r="HQY8" s="2"/>
      <c r="HQZ8" s="2"/>
      <c r="HRA8" s="2"/>
      <c r="HRB8" s="2"/>
      <c r="HRC8" s="2"/>
      <c r="HRD8" s="2"/>
      <c r="HRE8" s="2"/>
      <c r="HRF8" s="2"/>
      <c r="HRG8" s="2"/>
      <c r="HRH8" s="2"/>
      <c r="HRI8" s="2"/>
      <c r="HRJ8" s="2"/>
      <c r="HRK8" s="2"/>
      <c r="HRL8" s="2"/>
      <c r="HRM8" s="2"/>
      <c r="HRN8" s="2"/>
      <c r="HRO8" s="2"/>
      <c r="HRP8" s="2"/>
      <c r="HRQ8" s="2"/>
      <c r="HRR8" s="2"/>
      <c r="HRS8" s="2"/>
      <c r="HRT8" s="2"/>
      <c r="HRU8" s="2"/>
      <c r="HRV8" s="2"/>
      <c r="HRW8" s="2"/>
      <c r="HRX8" s="2"/>
      <c r="HRY8" s="2"/>
      <c r="HRZ8" s="2"/>
      <c r="HSA8" s="2"/>
      <c r="HSB8" s="2"/>
      <c r="HSC8" s="2"/>
      <c r="HSD8" s="2"/>
      <c r="HSE8" s="2"/>
      <c r="HSF8" s="2"/>
      <c r="HSG8" s="2"/>
      <c r="HSH8" s="2"/>
      <c r="HSI8" s="2"/>
      <c r="HSJ8" s="2"/>
      <c r="HSK8" s="2"/>
      <c r="HSL8" s="2"/>
      <c r="HSM8" s="2"/>
      <c r="HSN8" s="2"/>
      <c r="HSO8" s="2"/>
      <c r="HSP8" s="2"/>
      <c r="HSQ8" s="2"/>
      <c r="HSR8" s="2"/>
      <c r="HSS8" s="2"/>
      <c r="HST8" s="2"/>
      <c r="HSU8" s="2"/>
      <c r="HSV8" s="2"/>
      <c r="HSW8" s="2"/>
      <c r="HSX8" s="2"/>
      <c r="HSY8" s="2"/>
      <c r="HSZ8" s="2"/>
      <c r="HTA8" s="2"/>
      <c r="HTB8" s="2"/>
      <c r="HTC8" s="2"/>
      <c r="HTD8" s="2"/>
      <c r="HTE8" s="2"/>
      <c r="HTF8" s="2"/>
      <c r="HTG8" s="2"/>
      <c r="HTH8" s="2"/>
      <c r="HTI8" s="2"/>
      <c r="HTJ8" s="2"/>
      <c r="HTK8" s="2"/>
      <c r="HTL8" s="2"/>
      <c r="HTM8" s="2"/>
      <c r="HTN8" s="2"/>
      <c r="HTO8" s="2"/>
      <c r="HTP8" s="2"/>
      <c r="HTQ8" s="2"/>
      <c r="HTR8" s="2"/>
      <c r="HTS8" s="2"/>
      <c r="HTT8" s="2"/>
      <c r="HTU8" s="2"/>
      <c r="HTV8" s="2"/>
      <c r="HTW8" s="2"/>
      <c r="HTX8" s="2"/>
      <c r="HTY8" s="2"/>
      <c r="HTZ8" s="2"/>
      <c r="HUA8" s="2"/>
      <c r="HUB8" s="2"/>
      <c r="HUC8" s="2"/>
      <c r="HUD8" s="2"/>
      <c r="HUE8" s="2"/>
      <c r="HUF8" s="2"/>
      <c r="HUG8" s="2"/>
      <c r="HUH8" s="2"/>
      <c r="HUI8" s="2"/>
      <c r="HUJ8" s="2"/>
      <c r="HUK8" s="2"/>
      <c r="HUL8" s="2"/>
      <c r="HUM8" s="2"/>
      <c r="HUN8" s="2"/>
      <c r="HUO8" s="2"/>
      <c r="HUP8" s="2"/>
      <c r="HUQ8" s="2"/>
      <c r="HUR8" s="2"/>
      <c r="HUS8" s="2"/>
      <c r="HUT8" s="2"/>
      <c r="HUU8" s="2"/>
      <c r="HUV8" s="2"/>
      <c r="HUW8" s="2"/>
      <c r="HUX8" s="2"/>
      <c r="HUY8" s="2"/>
      <c r="HUZ8" s="2"/>
      <c r="HVA8" s="2"/>
      <c r="HVB8" s="2"/>
      <c r="HVC8" s="2"/>
      <c r="HVD8" s="2"/>
      <c r="HVE8" s="2"/>
      <c r="HVF8" s="2"/>
      <c r="HVG8" s="2"/>
      <c r="HVH8" s="2"/>
      <c r="HVI8" s="2"/>
      <c r="HVJ8" s="2"/>
      <c r="HVK8" s="2"/>
      <c r="HVL8" s="2"/>
      <c r="HVM8" s="2"/>
      <c r="HVN8" s="2"/>
      <c r="HVO8" s="2"/>
      <c r="HVP8" s="2"/>
      <c r="HVQ8" s="2"/>
      <c r="HVR8" s="2"/>
      <c r="HVS8" s="2"/>
      <c r="HVT8" s="2"/>
      <c r="HVU8" s="2"/>
      <c r="HVV8" s="2"/>
      <c r="HVW8" s="2"/>
      <c r="HVX8" s="2"/>
      <c r="HVY8" s="2"/>
      <c r="HVZ8" s="2"/>
      <c r="HWA8" s="2"/>
      <c r="HWB8" s="2"/>
      <c r="HWC8" s="2"/>
      <c r="HWD8" s="2"/>
      <c r="HWE8" s="2"/>
      <c r="HWF8" s="2"/>
      <c r="HWG8" s="2"/>
      <c r="HWH8" s="2"/>
      <c r="HWI8" s="2"/>
      <c r="HWJ8" s="2"/>
      <c r="HWK8" s="2"/>
      <c r="HWL8" s="2"/>
      <c r="HWM8" s="2"/>
      <c r="HWN8" s="2"/>
      <c r="HWO8" s="2"/>
      <c r="HWP8" s="2"/>
      <c r="HWQ8" s="2"/>
      <c r="HWR8" s="2"/>
      <c r="HWS8" s="2"/>
      <c r="HWT8" s="2"/>
      <c r="HWU8" s="2"/>
      <c r="HWV8" s="2"/>
      <c r="HWW8" s="2"/>
      <c r="HWX8" s="2"/>
      <c r="HWY8" s="2"/>
      <c r="HWZ8" s="2"/>
      <c r="HXA8" s="2"/>
      <c r="HXB8" s="2"/>
      <c r="HXC8" s="2"/>
      <c r="HXD8" s="2"/>
      <c r="HXE8" s="2"/>
      <c r="HXF8" s="2"/>
      <c r="HXG8" s="2"/>
      <c r="HXH8" s="2"/>
      <c r="HXI8" s="2"/>
      <c r="HXJ8" s="2"/>
      <c r="HXK8" s="2"/>
      <c r="HXL8" s="2"/>
      <c r="HXM8" s="2"/>
      <c r="HXN8" s="2"/>
      <c r="HXO8" s="2"/>
      <c r="HXP8" s="2"/>
      <c r="HXQ8" s="2"/>
      <c r="HXR8" s="2"/>
      <c r="HXS8" s="2"/>
      <c r="HXT8" s="2"/>
      <c r="HXU8" s="2"/>
      <c r="HXV8" s="2"/>
      <c r="HXW8" s="2"/>
      <c r="HXX8" s="2"/>
      <c r="HXY8" s="2"/>
      <c r="HXZ8" s="2"/>
      <c r="HYA8" s="2"/>
      <c r="HYB8" s="2"/>
      <c r="HYC8" s="2"/>
      <c r="HYD8" s="2"/>
      <c r="HYE8" s="2"/>
      <c r="HYF8" s="2"/>
      <c r="HYG8" s="2"/>
      <c r="HYH8" s="2"/>
      <c r="HYI8" s="2"/>
      <c r="HYJ8" s="2"/>
      <c r="HYK8" s="2"/>
      <c r="HYL8" s="2"/>
      <c r="HYM8" s="2"/>
      <c r="HYN8" s="2"/>
      <c r="HYO8" s="2"/>
      <c r="HYP8" s="2"/>
      <c r="HYQ8" s="2"/>
      <c r="HYR8" s="2"/>
      <c r="HYS8" s="2"/>
      <c r="HYT8" s="2"/>
      <c r="HYU8" s="2"/>
      <c r="HYV8" s="2"/>
      <c r="HYW8" s="2"/>
      <c r="HYX8" s="2"/>
      <c r="HYY8" s="2"/>
      <c r="HYZ8" s="2"/>
      <c r="HZA8" s="2"/>
      <c r="HZB8" s="2"/>
      <c r="HZC8" s="2"/>
      <c r="HZD8" s="2"/>
      <c r="HZE8" s="2"/>
      <c r="HZF8" s="2"/>
      <c r="HZG8" s="2"/>
      <c r="HZH8" s="2"/>
      <c r="HZI8" s="2"/>
      <c r="HZJ8" s="2"/>
      <c r="HZK8" s="2"/>
      <c r="HZL8" s="2"/>
      <c r="HZM8" s="2"/>
      <c r="HZN8" s="2"/>
      <c r="HZO8" s="2"/>
      <c r="HZP8" s="2"/>
      <c r="HZQ8" s="2"/>
      <c r="HZR8" s="2"/>
      <c r="HZS8" s="2"/>
      <c r="HZT8" s="2"/>
      <c r="HZU8" s="2"/>
      <c r="HZV8" s="2"/>
      <c r="HZW8" s="2"/>
      <c r="HZX8" s="2"/>
      <c r="HZY8" s="2"/>
      <c r="HZZ8" s="2"/>
      <c r="IAA8" s="2"/>
      <c r="IAB8" s="2"/>
      <c r="IAC8" s="2"/>
      <c r="IAD8" s="2"/>
      <c r="IAE8" s="2"/>
      <c r="IAF8" s="2"/>
      <c r="IAG8" s="2"/>
      <c r="IAH8" s="2"/>
      <c r="IAI8" s="2"/>
      <c r="IAJ8" s="2"/>
      <c r="IAK8" s="2"/>
      <c r="IAL8" s="2"/>
      <c r="IAM8" s="2"/>
      <c r="IAN8" s="2"/>
      <c r="IAO8" s="2"/>
      <c r="IAP8" s="2"/>
      <c r="IAQ8" s="2"/>
      <c r="IAR8" s="2"/>
      <c r="IAS8" s="2"/>
      <c r="IAT8" s="2"/>
      <c r="IAU8" s="2"/>
      <c r="IAV8" s="2"/>
      <c r="IAW8" s="2"/>
      <c r="IAX8" s="2"/>
      <c r="IAY8" s="2"/>
      <c r="IAZ8" s="2"/>
      <c r="IBA8" s="2"/>
      <c r="IBB8" s="2"/>
      <c r="IBC8" s="2"/>
      <c r="IBD8" s="2"/>
      <c r="IBE8" s="2"/>
      <c r="IBF8" s="2"/>
      <c r="IBG8" s="2"/>
      <c r="IBH8" s="2"/>
      <c r="IBI8" s="2"/>
      <c r="IBJ8" s="2"/>
      <c r="IBK8" s="2"/>
      <c r="IBL8" s="2"/>
      <c r="IBM8" s="2"/>
      <c r="IBN8" s="2"/>
      <c r="IBO8" s="2"/>
      <c r="IBP8" s="2"/>
      <c r="IBQ8" s="2"/>
      <c r="IBR8" s="2"/>
      <c r="IBS8" s="2"/>
      <c r="IBT8" s="2"/>
      <c r="IBU8" s="2"/>
      <c r="IBV8" s="2"/>
      <c r="IBW8" s="2"/>
      <c r="IBX8" s="2"/>
      <c r="IBY8" s="2"/>
      <c r="IBZ8" s="2"/>
      <c r="ICA8" s="2"/>
      <c r="ICB8" s="2"/>
      <c r="ICC8" s="2"/>
      <c r="ICD8" s="2"/>
      <c r="ICE8" s="2"/>
      <c r="ICF8" s="2"/>
      <c r="ICG8" s="2"/>
      <c r="ICH8" s="2"/>
      <c r="ICI8" s="2"/>
      <c r="ICJ8" s="2"/>
      <c r="ICK8" s="2"/>
      <c r="ICL8" s="2"/>
      <c r="ICM8" s="2"/>
      <c r="ICN8" s="2"/>
      <c r="ICO8" s="2"/>
      <c r="ICP8" s="2"/>
      <c r="ICQ8" s="2"/>
      <c r="ICR8" s="2"/>
      <c r="ICS8" s="2"/>
      <c r="ICT8" s="2"/>
      <c r="ICU8" s="2"/>
      <c r="ICV8" s="2"/>
      <c r="ICW8" s="2"/>
      <c r="ICX8" s="2"/>
      <c r="ICY8" s="2"/>
      <c r="ICZ8" s="2"/>
      <c r="IDA8" s="2"/>
      <c r="IDB8" s="2"/>
      <c r="IDC8" s="2"/>
      <c r="IDD8" s="2"/>
      <c r="IDE8" s="2"/>
      <c r="IDF8" s="2"/>
      <c r="IDG8" s="2"/>
      <c r="IDH8" s="2"/>
      <c r="IDI8" s="2"/>
      <c r="IDJ8" s="2"/>
      <c r="IDK8" s="2"/>
      <c r="IDL8" s="2"/>
      <c r="IDM8" s="2"/>
      <c r="IDN8" s="2"/>
      <c r="IDO8" s="2"/>
      <c r="IDP8" s="2"/>
      <c r="IDQ8" s="2"/>
      <c r="IDR8" s="2"/>
      <c r="IDS8" s="2"/>
      <c r="IDT8" s="2"/>
      <c r="IDU8" s="2"/>
      <c r="IDV8" s="2"/>
      <c r="IDW8" s="2"/>
      <c r="IDX8" s="2"/>
      <c r="IDY8" s="2"/>
      <c r="IDZ8" s="2"/>
      <c r="IEA8" s="2"/>
      <c r="IEB8" s="2"/>
      <c r="IEC8" s="2"/>
      <c r="IED8" s="2"/>
      <c r="IEE8" s="2"/>
      <c r="IEF8" s="2"/>
      <c r="IEG8" s="2"/>
      <c r="IEH8" s="2"/>
      <c r="IEI8" s="2"/>
      <c r="IEJ8" s="2"/>
      <c r="IEK8" s="2"/>
      <c r="IEL8" s="2"/>
      <c r="IEM8" s="2"/>
      <c r="IEN8" s="2"/>
      <c r="IEO8" s="2"/>
      <c r="IEP8" s="2"/>
      <c r="IEQ8" s="2"/>
      <c r="IER8" s="2"/>
      <c r="IES8" s="2"/>
      <c r="IET8" s="2"/>
      <c r="IEU8" s="2"/>
      <c r="IEV8" s="2"/>
      <c r="IEW8" s="2"/>
      <c r="IEX8" s="2"/>
      <c r="IEY8" s="2"/>
      <c r="IEZ8" s="2"/>
      <c r="IFA8" s="2"/>
      <c r="IFB8" s="2"/>
      <c r="IFC8" s="2"/>
      <c r="IFD8" s="2"/>
      <c r="IFE8" s="2"/>
      <c r="IFF8" s="2"/>
      <c r="IFG8" s="2"/>
      <c r="IFH8" s="2"/>
      <c r="IFI8" s="2"/>
      <c r="IFJ8" s="2"/>
      <c r="IFK8" s="2"/>
      <c r="IFL8" s="2"/>
      <c r="IFM8" s="2"/>
      <c r="IFN8" s="2"/>
      <c r="IFO8" s="2"/>
      <c r="IFP8" s="2"/>
      <c r="IFQ8" s="2"/>
      <c r="IFR8" s="2"/>
      <c r="IFS8" s="2"/>
      <c r="IFT8" s="2"/>
      <c r="IFU8" s="2"/>
      <c r="IFV8" s="2"/>
      <c r="IFW8" s="2"/>
      <c r="IFX8" s="2"/>
      <c r="IFY8" s="2"/>
      <c r="IFZ8" s="2"/>
      <c r="IGA8" s="2"/>
      <c r="IGB8" s="2"/>
      <c r="IGC8" s="2"/>
      <c r="IGD8" s="2"/>
      <c r="IGE8" s="2"/>
      <c r="IGF8" s="2"/>
      <c r="IGG8" s="2"/>
      <c r="IGH8" s="2"/>
      <c r="IGI8" s="2"/>
      <c r="IGJ8" s="2"/>
      <c r="IGK8" s="2"/>
      <c r="IGL8" s="2"/>
      <c r="IGM8" s="2"/>
      <c r="IGN8" s="2"/>
      <c r="IGO8" s="2"/>
      <c r="IGP8" s="2"/>
      <c r="IGQ8" s="2"/>
      <c r="IGR8" s="2"/>
      <c r="IGS8" s="2"/>
      <c r="IGT8" s="2"/>
      <c r="IGU8" s="2"/>
      <c r="IGV8" s="2"/>
      <c r="IGW8" s="2"/>
      <c r="IGX8" s="2"/>
      <c r="IGY8" s="2"/>
      <c r="IGZ8" s="2"/>
      <c r="IHA8" s="2"/>
      <c r="IHB8" s="2"/>
      <c r="IHC8" s="2"/>
      <c r="IHD8" s="2"/>
      <c r="IHE8" s="2"/>
      <c r="IHF8" s="2"/>
      <c r="IHG8" s="2"/>
      <c r="IHH8" s="2"/>
      <c r="IHI8" s="2"/>
      <c r="IHJ8" s="2"/>
      <c r="IHK8" s="2"/>
      <c r="IHL8" s="2"/>
      <c r="IHM8" s="2"/>
      <c r="IHN8" s="2"/>
      <c r="IHO8" s="2"/>
      <c r="IHP8" s="2"/>
      <c r="IHQ8" s="2"/>
      <c r="IHR8" s="2"/>
      <c r="IHS8" s="2"/>
      <c r="IHT8" s="2"/>
      <c r="IHU8" s="2"/>
      <c r="IHV8" s="2"/>
      <c r="IHW8" s="2"/>
      <c r="IHX8" s="2"/>
      <c r="IHY8" s="2"/>
      <c r="IHZ8" s="2"/>
      <c r="IIA8" s="2"/>
      <c r="IIB8" s="2"/>
      <c r="IIC8" s="2"/>
      <c r="IID8" s="2"/>
      <c r="IIE8" s="2"/>
      <c r="IIF8" s="2"/>
      <c r="IIG8" s="2"/>
      <c r="IIH8" s="2"/>
      <c r="III8" s="2"/>
      <c r="IIJ8" s="2"/>
      <c r="IIK8" s="2"/>
      <c r="IIL8" s="2"/>
      <c r="IIM8" s="2"/>
      <c r="IIN8" s="2"/>
      <c r="IIO8" s="2"/>
      <c r="IIP8" s="2"/>
      <c r="IIQ8" s="2"/>
      <c r="IIR8" s="2"/>
      <c r="IIS8" s="2"/>
      <c r="IIT8" s="2"/>
      <c r="IIU8" s="2"/>
      <c r="IIV8" s="2"/>
      <c r="IIW8" s="2"/>
      <c r="IIX8" s="2"/>
      <c r="IIY8" s="2"/>
      <c r="IIZ8" s="2"/>
      <c r="IJA8" s="2"/>
      <c r="IJB8" s="2"/>
      <c r="IJC8" s="2"/>
      <c r="IJD8" s="2"/>
      <c r="IJE8" s="2"/>
      <c r="IJF8" s="2"/>
      <c r="IJG8" s="2"/>
      <c r="IJH8" s="2"/>
      <c r="IJI8" s="2"/>
      <c r="IJJ8" s="2"/>
      <c r="IJK8" s="2"/>
      <c r="IJL8" s="2"/>
      <c r="IJM8" s="2"/>
      <c r="IJN8" s="2"/>
      <c r="IJO8" s="2"/>
      <c r="IJP8" s="2"/>
      <c r="IJQ8" s="2"/>
      <c r="IJR8" s="2"/>
      <c r="IJS8" s="2"/>
      <c r="IJT8" s="2"/>
      <c r="IJU8" s="2"/>
      <c r="IJV8" s="2"/>
      <c r="IJW8" s="2"/>
      <c r="IJX8" s="2"/>
      <c r="IJY8" s="2"/>
      <c r="IJZ8" s="2"/>
      <c r="IKA8" s="2"/>
      <c r="IKB8" s="2"/>
      <c r="IKC8" s="2"/>
      <c r="IKD8" s="2"/>
      <c r="IKE8" s="2"/>
      <c r="IKF8" s="2"/>
      <c r="IKG8" s="2"/>
      <c r="IKH8" s="2"/>
      <c r="IKI8" s="2"/>
      <c r="IKJ8" s="2"/>
      <c r="IKK8" s="2"/>
      <c r="IKL8" s="2"/>
      <c r="IKM8" s="2"/>
      <c r="IKN8" s="2"/>
      <c r="IKO8" s="2"/>
      <c r="IKP8" s="2"/>
      <c r="IKQ8" s="2"/>
      <c r="IKR8" s="2"/>
      <c r="IKS8" s="2"/>
      <c r="IKT8" s="2"/>
      <c r="IKU8" s="2"/>
      <c r="IKV8" s="2"/>
      <c r="IKW8" s="2"/>
      <c r="IKX8" s="2"/>
      <c r="IKY8" s="2"/>
      <c r="IKZ8" s="2"/>
      <c r="ILA8" s="2"/>
      <c r="ILB8" s="2"/>
      <c r="ILC8" s="2"/>
      <c r="ILD8" s="2"/>
      <c r="ILE8" s="2"/>
      <c r="ILF8" s="2"/>
      <c r="ILG8" s="2"/>
      <c r="ILH8" s="2"/>
      <c r="ILI8" s="2"/>
      <c r="ILJ8" s="2"/>
      <c r="ILK8" s="2"/>
      <c r="ILL8" s="2"/>
      <c r="ILM8" s="2"/>
      <c r="ILN8" s="2"/>
      <c r="ILO8" s="2"/>
      <c r="ILP8" s="2"/>
      <c r="ILQ8" s="2"/>
      <c r="ILR8" s="2"/>
      <c r="ILS8" s="2"/>
      <c r="ILT8" s="2"/>
      <c r="ILU8" s="2"/>
      <c r="ILV8" s="2"/>
      <c r="ILW8" s="2"/>
      <c r="ILX8" s="2"/>
      <c r="ILY8" s="2"/>
      <c r="ILZ8" s="2"/>
      <c r="IMA8" s="2"/>
      <c r="IMB8" s="2"/>
      <c r="IMC8" s="2"/>
      <c r="IMD8" s="2"/>
      <c r="IME8" s="2"/>
      <c r="IMF8" s="2"/>
      <c r="IMG8" s="2"/>
      <c r="IMH8" s="2"/>
      <c r="IMI8" s="2"/>
      <c r="IMJ8" s="2"/>
      <c r="IMK8" s="2"/>
      <c r="IML8" s="2"/>
      <c r="IMM8" s="2"/>
      <c r="IMN8" s="2"/>
      <c r="IMO8" s="2"/>
      <c r="IMP8" s="2"/>
      <c r="IMQ8" s="2"/>
      <c r="IMR8" s="2"/>
      <c r="IMS8" s="2"/>
      <c r="IMT8" s="2"/>
      <c r="IMU8" s="2"/>
      <c r="IMV8" s="2"/>
      <c r="IMW8" s="2"/>
      <c r="IMX8" s="2"/>
      <c r="IMY8" s="2"/>
      <c r="IMZ8" s="2"/>
      <c r="INA8" s="2"/>
      <c r="INB8" s="2"/>
      <c r="INC8" s="2"/>
      <c r="IND8" s="2"/>
      <c r="INE8" s="2"/>
      <c r="INF8" s="2"/>
      <c r="ING8" s="2"/>
      <c r="INH8" s="2"/>
      <c r="INI8" s="2"/>
      <c r="INJ8" s="2"/>
      <c r="INK8" s="2"/>
      <c r="INL8" s="2"/>
      <c r="INM8" s="2"/>
      <c r="INN8" s="2"/>
      <c r="INO8" s="2"/>
      <c r="INP8" s="2"/>
      <c r="INQ8" s="2"/>
      <c r="INR8" s="2"/>
      <c r="INS8" s="2"/>
      <c r="INT8" s="2"/>
      <c r="INU8" s="2"/>
      <c r="INV8" s="2"/>
      <c r="INW8" s="2"/>
      <c r="INX8" s="2"/>
      <c r="INY8" s="2"/>
      <c r="INZ8" s="2"/>
      <c r="IOA8" s="2"/>
      <c r="IOB8" s="2"/>
      <c r="IOC8" s="2"/>
      <c r="IOD8" s="2"/>
      <c r="IOE8" s="2"/>
      <c r="IOF8" s="2"/>
      <c r="IOG8" s="2"/>
      <c r="IOH8" s="2"/>
      <c r="IOI8" s="2"/>
      <c r="IOJ8" s="2"/>
      <c r="IOK8" s="2"/>
      <c r="IOL8" s="2"/>
      <c r="IOM8" s="2"/>
      <c r="ION8" s="2"/>
      <c r="IOO8" s="2"/>
      <c r="IOP8" s="2"/>
      <c r="IOQ8" s="2"/>
      <c r="IOR8" s="2"/>
      <c r="IOS8" s="2"/>
      <c r="IOT8" s="2"/>
      <c r="IOU8" s="2"/>
      <c r="IOV8" s="2"/>
      <c r="IOW8" s="2"/>
      <c r="IOX8" s="2"/>
      <c r="IOY8" s="2"/>
      <c r="IOZ8" s="2"/>
      <c r="IPA8" s="2"/>
      <c r="IPB8" s="2"/>
      <c r="IPC8" s="2"/>
      <c r="IPD8" s="2"/>
      <c r="IPE8" s="2"/>
      <c r="IPF8" s="2"/>
      <c r="IPG8" s="2"/>
      <c r="IPH8" s="2"/>
      <c r="IPI8" s="2"/>
      <c r="IPJ8" s="2"/>
      <c r="IPK8" s="2"/>
      <c r="IPL8" s="2"/>
      <c r="IPM8" s="2"/>
      <c r="IPN8" s="2"/>
      <c r="IPO8" s="2"/>
      <c r="IPP8" s="2"/>
      <c r="IPQ8" s="2"/>
      <c r="IPR8" s="2"/>
      <c r="IPS8" s="2"/>
      <c r="IPT8" s="2"/>
      <c r="IPU8" s="2"/>
      <c r="IPV8" s="2"/>
      <c r="IPW8" s="2"/>
      <c r="IPX8" s="2"/>
      <c r="IPY8" s="2"/>
      <c r="IPZ8" s="2"/>
      <c r="IQA8" s="2"/>
      <c r="IQB8" s="2"/>
      <c r="IQC8" s="2"/>
      <c r="IQD8" s="2"/>
      <c r="IQE8" s="2"/>
      <c r="IQF8" s="2"/>
      <c r="IQG8" s="2"/>
      <c r="IQH8" s="2"/>
      <c r="IQI8" s="2"/>
      <c r="IQJ8" s="2"/>
      <c r="IQK8" s="2"/>
      <c r="IQL8" s="2"/>
      <c r="IQM8" s="2"/>
      <c r="IQN8" s="2"/>
      <c r="IQO8" s="2"/>
      <c r="IQP8" s="2"/>
      <c r="IQQ8" s="2"/>
      <c r="IQR8" s="2"/>
      <c r="IQS8" s="2"/>
      <c r="IQT8" s="2"/>
      <c r="IQU8" s="2"/>
      <c r="IQV8" s="2"/>
      <c r="IQW8" s="2"/>
      <c r="IQX8" s="2"/>
      <c r="IQY8" s="2"/>
      <c r="IQZ8" s="2"/>
      <c r="IRA8" s="2"/>
      <c r="IRB8" s="2"/>
      <c r="IRC8" s="2"/>
      <c r="IRD8" s="2"/>
      <c r="IRE8" s="2"/>
      <c r="IRF8" s="2"/>
      <c r="IRG8" s="2"/>
      <c r="IRH8" s="2"/>
      <c r="IRI8" s="2"/>
      <c r="IRJ8" s="2"/>
      <c r="IRK8" s="2"/>
      <c r="IRL8" s="2"/>
      <c r="IRM8" s="2"/>
      <c r="IRN8" s="2"/>
      <c r="IRO8" s="2"/>
      <c r="IRP8" s="2"/>
      <c r="IRQ8" s="2"/>
      <c r="IRR8" s="2"/>
      <c r="IRS8" s="2"/>
      <c r="IRT8" s="2"/>
      <c r="IRU8" s="2"/>
      <c r="IRV8" s="2"/>
      <c r="IRW8" s="2"/>
      <c r="IRX8" s="2"/>
      <c r="IRY8" s="2"/>
      <c r="IRZ8" s="2"/>
      <c r="ISA8" s="2"/>
      <c r="ISB8" s="2"/>
      <c r="ISC8" s="2"/>
      <c r="ISD8" s="2"/>
      <c r="ISE8" s="2"/>
      <c r="ISF8" s="2"/>
      <c r="ISG8" s="2"/>
      <c r="ISH8" s="2"/>
      <c r="ISI8" s="2"/>
      <c r="ISJ8" s="2"/>
      <c r="ISK8" s="2"/>
      <c r="ISL8" s="2"/>
      <c r="ISM8" s="2"/>
      <c r="ISN8" s="2"/>
      <c r="ISO8" s="2"/>
      <c r="ISP8" s="2"/>
      <c r="ISQ8" s="2"/>
      <c r="ISR8" s="2"/>
      <c r="ISS8" s="2"/>
      <c r="IST8" s="2"/>
      <c r="ISU8" s="2"/>
      <c r="ISV8" s="2"/>
      <c r="ISW8" s="2"/>
      <c r="ISX8" s="2"/>
      <c r="ISY8" s="2"/>
      <c r="ISZ8" s="2"/>
      <c r="ITA8" s="2"/>
      <c r="ITB8" s="2"/>
      <c r="ITC8" s="2"/>
      <c r="ITD8" s="2"/>
      <c r="ITE8" s="2"/>
      <c r="ITF8" s="2"/>
      <c r="ITG8" s="2"/>
      <c r="ITH8" s="2"/>
      <c r="ITI8" s="2"/>
      <c r="ITJ8" s="2"/>
      <c r="ITK8" s="2"/>
      <c r="ITL8" s="2"/>
      <c r="ITM8" s="2"/>
      <c r="ITN8" s="2"/>
      <c r="ITO8" s="2"/>
      <c r="ITP8" s="2"/>
      <c r="ITQ8" s="2"/>
      <c r="ITR8" s="2"/>
      <c r="ITS8" s="2"/>
      <c r="ITT8" s="2"/>
      <c r="ITU8" s="2"/>
      <c r="ITV8" s="2"/>
      <c r="ITW8" s="2"/>
      <c r="ITX8" s="2"/>
      <c r="ITY8" s="2"/>
      <c r="ITZ8" s="2"/>
      <c r="IUA8" s="2"/>
      <c r="IUB8" s="2"/>
      <c r="IUC8" s="2"/>
      <c r="IUD8" s="2"/>
      <c r="IUE8" s="2"/>
      <c r="IUF8" s="2"/>
      <c r="IUG8" s="2"/>
      <c r="IUH8" s="2"/>
      <c r="IUI8" s="2"/>
      <c r="IUJ8" s="2"/>
      <c r="IUK8" s="2"/>
      <c r="IUL8" s="2"/>
      <c r="IUM8" s="2"/>
      <c r="IUN8" s="2"/>
      <c r="IUO8" s="2"/>
      <c r="IUP8" s="2"/>
      <c r="IUQ8" s="2"/>
      <c r="IUR8" s="2"/>
      <c r="IUS8" s="2"/>
      <c r="IUT8" s="2"/>
      <c r="IUU8" s="2"/>
      <c r="IUV8" s="2"/>
      <c r="IUW8" s="2"/>
      <c r="IUX8" s="2"/>
      <c r="IUY8" s="2"/>
      <c r="IUZ8" s="2"/>
      <c r="IVA8" s="2"/>
      <c r="IVB8" s="2"/>
      <c r="IVC8" s="2"/>
      <c r="IVD8" s="2"/>
      <c r="IVE8" s="2"/>
      <c r="IVF8" s="2"/>
      <c r="IVG8" s="2"/>
      <c r="IVH8" s="2"/>
      <c r="IVI8" s="2"/>
      <c r="IVJ8" s="2"/>
      <c r="IVK8" s="2"/>
      <c r="IVL8" s="2"/>
      <c r="IVM8" s="2"/>
      <c r="IVN8" s="2"/>
      <c r="IVO8" s="2"/>
      <c r="IVP8" s="2"/>
      <c r="IVQ8" s="2"/>
      <c r="IVR8" s="2"/>
      <c r="IVS8" s="2"/>
      <c r="IVT8" s="2"/>
      <c r="IVU8" s="2"/>
      <c r="IVV8" s="2"/>
      <c r="IVW8" s="2"/>
      <c r="IVX8" s="2"/>
      <c r="IVY8" s="2"/>
      <c r="IVZ8" s="2"/>
      <c r="IWA8" s="2"/>
      <c r="IWB8" s="2"/>
      <c r="IWC8" s="2"/>
      <c r="IWD8" s="2"/>
      <c r="IWE8" s="2"/>
      <c r="IWF8" s="2"/>
      <c r="IWG8" s="2"/>
      <c r="IWH8" s="2"/>
      <c r="IWI8" s="2"/>
      <c r="IWJ8" s="2"/>
      <c r="IWK8" s="2"/>
      <c r="IWL8" s="2"/>
      <c r="IWM8" s="2"/>
      <c r="IWN8" s="2"/>
      <c r="IWO8" s="2"/>
      <c r="IWP8" s="2"/>
      <c r="IWQ8" s="2"/>
      <c r="IWR8" s="2"/>
      <c r="IWS8" s="2"/>
      <c r="IWT8" s="2"/>
      <c r="IWU8" s="2"/>
      <c r="IWV8" s="2"/>
      <c r="IWW8" s="2"/>
      <c r="IWX8" s="2"/>
      <c r="IWY8" s="2"/>
      <c r="IWZ8" s="2"/>
      <c r="IXA8" s="2"/>
      <c r="IXB8" s="2"/>
      <c r="IXC8" s="2"/>
      <c r="IXD8" s="2"/>
      <c r="IXE8" s="2"/>
      <c r="IXF8" s="2"/>
      <c r="IXG8" s="2"/>
      <c r="IXH8" s="2"/>
      <c r="IXI8" s="2"/>
      <c r="IXJ8" s="2"/>
      <c r="IXK8" s="2"/>
      <c r="IXL8" s="2"/>
      <c r="IXM8" s="2"/>
      <c r="IXN8" s="2"/>
      <c r="IXO8" s="2"/>
      <c r="IXP8" s="2"/>
      <c r="IXQ8" s="2"/>
      <c r="IXR8" s="2"/>
      <c r="IXS8" s="2"/>
      <c r="IXT8" s="2"/>
      <c r="IXU8" s="2"/>
      <c r="IXV8" s="2"/>
      <c r="IXW8" s="2"/>
      <c r="IXX8" s="2"/>
      <c r="IXY8" s="2"/>
      <c r="IXZ8" s="2"/>
      <c r="IYA8" s="2"/>
      <c r="IYB8" s="2"/>
      <c r="IYC8" s="2"/>
      <c r="IYD8" s="2"/>
      <c r="IYE8" s="2"/>
      <c r="IYF8" s="2"/>
      <c r="IYG8" s="2"/>
      <c r="IYH8" s="2"/>
      <c r="IYI8" s="2"/>
      <c r="IYJ8" s="2"/>
      <c r="IYK8" s="2"/>
      <c r="IYL8" s="2"/>
      <c r="IYM8" s="2"/>
      <c r="IYN8" s="2"/>
      <c r="IYO8" s="2"/>
      <c r="IYP8" s="2"/>
      <c r="IYQ8" s="2"/>
      <c r="IYR8" s="2"/>
      <c r="IYS8" s="2"/>
      <c r="IYT8" s="2"/>
      <c r="IYU8" s="2"/>
      <c r="IYV8" s="2"/>
      <c r="IYW8" s="2"/>
      <c r="IYX8" s="2"/>
      <c r="IYY8" s="2"/>
      <c r="IYZ8" s="2"/>
      <c r="IZA8" s="2"/>
      <c r="IZB8" s="2"/>
      <c r="IZC8" s="2"/>
      <c r="IZD8" s="2"/>
      <c r="IZE8" s="2"/>
      <c r="IZF8" s="2"/>
      <c r="IZG8" s="2"/>
      <c r="IZH8" s="2"/>
      <c r="IZI8" s="2"/>
      <c r="IZJ8" s="2"/>
      <c r="IZK8" s="2"/>
      <c r="IZL8" s="2"/>
      <c r="IZM8" s="2"/>
      <c r="IZN8" s="2"/>
      <c r="IZO8" s="2"/>
      <c r="IZP8" s="2"/>
      <c r="IZQ8" s="2"/>
      <c r="IZR8" s="2"/>
      <c r="IZS8" s="2"/>
      <c r="IZT8" s="2"/>
      <c r="IZU8" s="2"/>
      <c r="IZV8" s="2"/>
      <c r="IZW8" s="2"/>
      <c r="IZX8" s="2"/>
      <c r="IZY8" s="2"/>
      <c r="IZZ8" s="2"/>
      <c r="JAA8" s="2"/>
      <c r="JAB8" s="2"/>
      <c r="JAC8" s="2"/>
      <c r="JAD8" s="2"/>
      <c r="JAE8" s="2"/>
      <c r="JAF8" s="2"/>
      <c r="JAG8" s="2"/>
      <c r="JAH8" s="2"/>
      <c r="JAI8" s="2"/>
      <c r="JAJ8" s="2"/>
      <c r="JAK8" s="2"/>
      <c r="JAL8" s="2"/>
      <c r="JAM8" s="2"/>
      <c r="JAN8" s="2"/>
      <c r="JAO8" s="2"/>
      <c r="JAP8" s="2"/>
      <c r="JAQ8" s="2"/>
      <c r="JAR8" s="2"/>
      <c r="JAS8" s="2"/>
      <c r="JAT8" s="2"/>
      <c r="JAU8" s="2"/>
      <c r="JAV8" s="2"/>
      <c r="JAW8" s="2"/>
      <c r="JAX8" s="2"/>
      <c r="JAY8" s="2"/>
      <c r="JAZ8" s="2"/>
      <c r="JBA8" s="2"/>
      <c r="JBB8" s="2"/>
      <c r="JBC8" s="2"/>
      <c r="JBD8" s="2"/>
      <c r="JBE8" s="2"/>
      <c r="JBF8" s="2"/>
      <c r="JBG8" s="2"/>
      <c r="JBH8" s="2"/>
      <c r="JBI8" s="2"/>
      <c r="JBJ8" s="2"/>
      <c r="JBK8" s="2"/>
      <c r="JBL8" s="2"/>
      <c r="JBM8" s="2"/>
      <c r="JBN8" s="2"/>
      <c r="JBO8" s="2"/>
      <c r="JBP8" s="2"/>
      <c r="JBQ8" s="2"/>
      <c r="JBR8" s="2"/>
      <c r="JBS8" s="2"/>
      <c r="JBT8" s="2"/>
      <c r="JBU8" s="2"/>
      <c r="JBV8" s="2"/>
      <c r="JBW8" s="2"/>
      <c r="JBX8" s="2"/>
      <c r="JBY8" s="2"/>
      <c r="JBZ8" s="2"/>
      <c r="JCA8" s="2"/>
      <c r="JCB8" s="2"/>
      <c r="JCC8" s="2"/>
      <c r="JCD8" s="2"/>
      <c r="JCE8" s="2"/>
      <c r="JCF8" s="2"/>
      <c r="JCG8" s="2"/>
      <c r="JCH8" s="2"/>
      <c r="JCI8" s="2"/>
      <c r="JCJ8" s="2"/>
      <c r="JCK8" s="2"/>
      <c r="JCL8" s="2"/>
      <c r="JCM8" s="2"/>
      <c r="JCN8" s="2"/>
      <c r="JCO8" s="2"/>
      <c r="JCP8" s="2"/>
      <c r="JCQ8" s="2"/>
      <c r="JCR8" s="2"/>
      <c r="JCS8" s="2"/>
      <c r="JCT8" s="2"/>
      <c r="JCU8" s="2"/>
      <c r="JCV8" s="2"/>
      <c r="JCW8" s="2"/>
      <c r="JCX8" s="2"/>
      <c r="JCY8" s="2"/>
      <c r="JCZ8" s="2"/>
      <c r="JDA8" s="2"/>
      <c r="JDB8" s="2"/>
      <c r="JDC8" s="2"/>
      <c r="JDD8" s="2"/>
      <c r="JDE8" s="2"/>
      <c r="JDF8" s="2"/>
      <c r="JDG8" s="2"/>
      <c r="JDH8" s="2"/>
      <c r="JDI8" s="2"/>
      <c r="JDJ8" s="2"/>
      <c r="JDK8" s="2"/>
      <c r="JDL8" s="2"/>
      <c r="JDM8" s="2"/>
      <c r="JDN8" s="2"/>
      <c r="JDO8" s="2"/>
      <c r="JDP8" s="2"/>
      <c r="JDQ8" s="2"/>
      <c r="JDR8" s="2"/>
      <c r="JDS8" s="2"/>
      <c r="JDT8" s="2"/>
      <c r="JDU8" s="2"/>
      <c r="JDV8" s="2"/>
      <c r="JDW8" s="2"/>
      <c r="JDX8" s="2"/>
      <c r="JDY8" s="2"/>
      <c r="JDZ8" s="2"/>
      <c r="JEA8" s="2"/>
      <c r="JEB8" s="2"/>
      <c r="JEC8" s="2"/>
      <c r="JED8" s="2"/>
      <c r="JEE8" s="2"/>
      <c r="JEF8" s="2"/>
      <c r="JEG8" s="2"/>
      <c r="JEH8" s="2"/>
      <c r="JEI8" s="2"/>
      <c r="JEJ8" s="2"/>
      <c r="JEK8" s="2"/>
      <c r="JEL8" s="2"/>
      <c r="JEM8" s="2"/>
      <c r="JEN8" s="2"/>
      <c r="JEO8" s="2"/>
      <c r="JEP8" s="2"/>
      <c r="JEQ8" s="2"/>
      <c r="JER8" s="2"/>
      <c r="JES8" s="2"/>
      <c r="JET8" s="2"/>
      <c r="JEU8" s="2"/>
      <c r="JEV8" s="2"/>
      <c r="JEW8" s="2"/>
      <c r="JEX8" s="2"/>
      <c r="JEY8" s="2"/>
      <c r="JEZ8" s="2"/>
      <c r="JFA8" s="2"/>
      <c r="JFB8" s="2"/>
      <c r="JFC8" s="2"/>
      <c r="JFD8" s="2"/>
      <c r="JFE8" s="2"/>
      <c r="JFF8" s="2"/>
      <c r="JFG8" s="2"/>
      <c r="JFH8" s="2"/>
      <c r="JFI8" s="2"/>
      <c r="JFJ8" s="2"/>
      <c r="JFK8" s="2"/>
      <c r="JFL8" s="2"/>
      <c r="JFM8" s="2"/>
      <c r="JFN8" s="2"/>
      <c r="JFO8" s="2"/>
      <c r="JFP8" s="2"/>
      <c r="JFQ8" s="2"/>
      <c r="JFR8" s="2"/>
      <c r="JFS8" s="2"/>
      <c r="JFT8" s="2"/>
      <c r="JFU8" s="2"/>
      <c r="JFV8" s="2"/>
      <c r="JFW8" s="2"/>
      <c r="JFX8" s="2"/>
      <c r="JFY8" s="2"/>
      <c r="JFZ8" s="2"/>
      <c r="JGA8" s="2"/>
      <c r="JGB8" s="2"/>
      <c r="JGC8" s="2"/>
      <c r="JGD8" s="2"/>
      <c r="JGE8" s="2"/>
      <c r="JGF8" s="2"/>
      <c r="JGG8" s="2"/>
      <c r="JGH8" s="2"/>
      <c r="JGI8" s="2"/>
      <c r="JGJ8" s="2"/>
      <c r="JGK8" s="2"/>
      <c r="JGL8" s="2"/>
      <c r="JGM8" s="2"/>
      <c r="JGN8" s="2"/>
      <c r="JGO8" s="2"/>
      <c r="JGP8" s="2"/>
      <c r="JGQ8" s="2"/>
      <c r="JGR8" s="2"/>
      <c r="JGS8" s="2"/>
      <c r="JGT8" s="2"/>
      <c r="JGU8" s="2"/>
      <c r="JGV8" s="2"/>
      <c r="JGW8" s="2"/>
      <c r="JGX8" s="2"/>
      <c r="JGY8" s="2"/>
      <c r="JGZ8" s="2"/>
      <c r="JHA8" s="2"/>
      <c r="JHB8" s="2"/>
      <c r="JHC8" s="2"/>
      <c r="JHD8" s="2"/>
      <c r="JHE8" s="2"/>
      <c r="JHF8" s="2"/>
      <c r="JHG8" s="2"/>
      <c r="JHH8" s="2"/>
      <c r="JHI8" s="2"/>
      <c r="JHJ8" s="2"/>
      <c r="JHK8" s="2"/>
      <c r="JHL8" s="2"/>
      <c r="JHM8" s="2"/>
      <c r="JHN8" s="2"/>
      <c r="JHO8" s="2"/>
      <c r="JHP8" s="2"/>
      <c r="JHQ8" s="2"/>
      <c r="JHR8" s="2"/>
      <c r="JHS8" s="2"/>
      <c r="JHT8" s="2"/>
      <c r="JHU8" s="2"/>
      <c r="JHV8" s="2"/>
      <c r="JHW8" s="2"/>
      <c r="JHX8" s="2"/>
      <c r="JHY8" s="2"/>
      <c r="JHZ8" s="2"/>
      <c r="JIA8" s="2"/>
      <c r="JIB8" s="2"/>
      <c r="JIC8" s="2"/>
      <c r="JID8" s="2"/>
      <c r="JIE8" s="2"/>
      <c r="JIF8" s="2"/>
      <c r="JIG8" s="2"/>
      <c r="JIH8" s="2"/>
      <c r="JII8" s="2"/>
      <c r="JIJ8" s="2"/>
      <c r="JIK8" s="2"/>
      <c r="JIL8" s="2"/>
      <c r="JIM8" s="2"/>
      <c r="JIN8" s="2"/>
      <c r="JIO8" s="2"/>
      <c r="JIP8" s="2"/>
      <c r="JIQ8" s="2"/>
      <c r="JIR8" s="2"/>
      <c r="JIS8" s="2"/>
      <c r="JIT8" s="2"/>
      <c r="JIU8" s="2"/>
      <c r="JIV8" s="2"/>
      <c r="JIW8" s="2"/>
      <c r="JIX8" s="2"/>
      <c r="JIY8" s="2"/>
      <c r="JIZ8" s="2"/>
      <c r="JJA8" s="2"/>
      <c r="JJB8" s="2"/>
      <c r="JJC8" s="2"/>
      <c r="JJD8" s="2"/>
      <c r="JJE8" s="2"/>
      <c r="JJF8" s="2"/>
      <c r="JJG8" s="2"/>
      <c r="JJH8" s="2"/>
      <c r="JJI8" s="2"/>
      <c r="JJJ8" s="2"/>
      <c r="JJK8" s="2"/>
      <c r="JJL8" s="2"/>
      <c r="JJM8" s="2"/>
      <c r="JJN8" s="2"/>
      <c r="JJO8" s="2"/>
      <c r="JJP8" s="2"/>
      <c r="JJQ8" s="2"/>
      <c r="JJR8" s="2"/>
      <c r="JJS8" s="2"/>
      <c r="JJT8" s="2"/>
      <c r="JJU8" s="2"/>
      <c r="JJV8" s="2"/>
      <c r="JJW8" s="2"/>
      <c r="JJX8" s="2"/>
      <c r="JJY8" s="2"/>
      <c r="JJZ8" s="2"/>
      <c r="JKA8" s="2"/>
      <c r="JKB8" s="2"/>
      <c r="JKC8" s="2"/>
      <c r="JKD8" s="2"/>
      <c r="JKE8" s="2"/>
      <c r="JKF8" s="2"/>
      <c r="JKG8" s="2"/>
      <c r="JKH8" s="2"/>
      <c r="JKI8" s="2"/>
      <c r="JKJ8" s="2"/>
      <c r="JKK8" s="2"/>
      <c r="JKL8" s="2"/>
      <c r="JKM8" s="2"/>
      <c r="JKN8" s="2"/>
      <c r="JKO8" s="2"/>
      <c r="JKP8" s="2"/>
      <c r="JKQ8" s="2"/>
      <c r="JKR8" s="2"/>
      <c r="JKS8" s="2"/>
      <c r="JKT8" s="2"/>
      <c r="JKU8" s="2"/>
      <c r="JKV8" s="2"/>
      <c r="JKW8" s="2"/>
      <c r="JKX8" s="2"/>
      <c r="JKY8" s="2"/>
      <c r="JKZ8" s="2"/>
      <c r="JLA8" s="2"/>
      <c r="JLB8" s="2"/>
      <c r="JLC8" s="2"/>
      <c r="JLD8" s="2"/>
      <c r="JLE8" s="2"/>
      <c r="JLF8" s="2"/>
      <c r="JLG8" s="2"/>
      <c r="JLH8" s="2"/>
      <c r="JLI8" s="2"/>
      <c r="JLJ8" s="2"/>
      <c r="JLK8" s="2"/>
      <c r="JLL8" s="2"/>
      <c r="JLM8" s="2"/>
      <c r="JLN8" s="2"/>
      <c r="JLO8" s="2"/>
      <c r="JLP8" s="2"/>
      <c r="JLQ8" s="2"/>
      <c r="JLR8" s="2"/>
      <c r="JLS8" s="2"/>
      <c r="JLT8" s="2"/>
      <c r="JLU8" s="2"/>
      <c r="JLV8" s="2"/>
      <c r="JLW8" s="2"/>
      <c r="JLX8" s="2"/>
      <c r="JLY8" s="2"/>
      <c r="JLZ8" s="2"/>
      <c r="JMA8" s="2"/>
      <c r="JMB8" s="2"/>
      <c r="JMC8" s="2"/>
      <c r="JMD8" s="2"/>
      <c r="JME8" s="2"/>
      <c r="JMF8" s="2"/>
      <c r="JMG8" s="2"/>
      <c r="JMH8" s="2"/>
      <c r="JMI8" s="2"/>
      <c r="JMJ8" s="2"/>
      <c r="JMK8" s="2"/>
      <c r="JML8" s="2"/>
      <c r="JMM8" s="2"/>
      <c r="JMN8" s="2"/>
      <c r="JMO8" s="2"/>
      <c r="JMP8" s="2"/>
      <c r="JMQ8" s="2"/>
      <c r="JMR8" s="2"/>
      <c r="JMS8" s="2"/>
      <c r="JMT8" s="2"/>
      <c r="JMU8" s="2"/>
      <c r="JMV8" s="2"/>
      <c r="JMW8" s="2"/>
      <c r="JMX8" s="2"/>
      <c r="JMY8" s="2"/>
      <c r="JMZ8" s="2"/>
      <c r="JNA8" s="2"/>
      <c r="JNB8" s="2"/>
      <c r="JNC8" s="2"/>
      <c r="JND8" s="2"/>
      <c r="JNE8" s="2"/>
      <c r="JNF8" s="2"/>
      <c r="JNG8" s="2"/>
      <c r="JNH8" s="2"/>
      <c r="JNI8" s="2"/>
      <c r="JNJ8" s="2"/>
      <c r="JNK8" s="2"/>
      <c r="JNL8" s="2"/>
      <c r="JNM8" s="2"/>
      <c r="JNN8" s="2"/>
      <c r="JNO8" s="2"/>
      <c r="JNP8" s="2"/>
      <c r="JNQ8" s="2"/>
      <c r="JNR8" s="2"/>
      <c r="JNS8" s="2"/>
      <c r="JNT8" s="2"/>
      <c r="JNU8" s="2"/>
      <c r="JNV8" s="2"/>
      <c r="JNW8" s="2"/>
      <c r="JNX8" s="2"/>
      <c r="JNY8" s="2"/>
      <c r="JNZ8" s="2"/>
      <c r="JOA8" s="2"/>
      <c r="JOB8" s="2"/>
      <c r="JOC8" s="2"/>
      <c r="JOD8" s="2"/>
      <c r="JOE8" s="2"/>
      <c r="JOF8" s="2"/>
      <c r="JOG8" s="2"/>
      <c r="JOH8" s="2"/>
      <c r="JOI8" s="2"/>
      <c r="JOJ8" s="2"/>
      <c r="JOK8" s="2"/>
      <c r="JOL8" s="2"/>
      <c r="JOM8" s="2"/>
      <c r="JON8" s="2"/>
      <c r="JOO8" s="2"/>
      <c r="JOP8" s="2"/>
      <c r="JOQ8" s="2"/>
      <c r="JOR8" s="2"/>
      <c r="JOS8" s="2"/>
      <c r="JOT8" s="2"/>
      <c r="JOU8" s="2"/>
      <c r="JOV8" s="2"/>
      <c r="JOW8" s="2"/>
      <c r="JOX8" s="2"/>
      <c r="JOY8" s="2"/>
      <c r="JOZ8" s="2"/>
      <c r="JPA8" s="2"/>
      <c r="JPB8" s="2"/>
      <c r="JPC8" s="2"/>
      <c r="JPD8" s="2"/>
      <c r="JPE8" s="2"/>
      <c r="JPF8" s="2"/>
      <c r="JPG8" s="2"/>
      <c r="JPH8" s="2"/>
      <c r="JPI8" s="2"/>
      <c r="JPJ8" s="2"/>
      <c r="JPK8" s="2"/>
      <c r="JPL8" s="2"/>
      <c r="JPM8" s="2"/>
      <c r="JPN8" s="2"/>
      <c r="JPO8" s="2"/>
      <c r="JPP8" s="2"/>
      <c r="JPQ8" s="2"/>
      <c r="JPR8" s="2"/>
      <c r="JPS8" s="2"/>
      <c r="JPT8" s="2"/>
      <c r="JPU8" s="2"/>
      <c r="JPV8" s="2"/>
      <c r="JPW8" s="2"/>
      <c r="JPX8" s="2"/>
      <c r="JPY8" s="2"/>
      <c r="JPZ8" s="2"/>
      <c r="JQA8" s="2"/>
      <c r="JQB8" s="2"/>
      <c r="JQC8" s="2"/>
      <c r="JQD8" s="2"/>
      <c r="JQE8" s="2"/>
      <c r="JQF8" s="2"/>
      <c r="JQG8" s="2"/>
      <c r="JQH8" s="2"/>
      <c r="JQI8" s="2"/>
      <c r="JQJ8" s="2"/>
      <c r="JQK8" s="2"/>
      <c r="JQL8" s="2"/>
      <c r="JQM8" s="2"/>
      <c r="JQN8" s="2"/>
      <c r="JQO8" s="2"/>
      <c r="JQP8" s="2"/>
      <c r="JQQ8" s="2"/>
      <c r="JQR8" s="2"/>
      <c r="JQS8" s="2"/>
      <c r="JQT8" s="2"/>
      <c r="JQU8" s="2"/>
      <c r="JQV8" s="2"/>
      <c r="JQW8" s="2"/>
      <c r="JQX8" s="2"/>
      <c r="JQY8" s="2"/>
      <c r="JQZ8" s="2"/>
      <c r="JRA8" s="2"/>
      <c r="JRB8" s="2"/>
      <c r="JRC8" s="2"/>
      <c r="JRD8" s="2"/>
      <c r="JRE8" s="2"/>
      <c r="JRF8" s="2"/>
      <c r="JRG8" s="2"/>
      <c r="JRH8" s="2"/>
      <c r="JRI8" s="2"/>
      <c r="JRJ8" s="2"/>
      <c r="JRK8" s="2"/>
      <c r="JRL8" s="2"/>
      <c r="JRM8" s="2"/>
      <c r="JRN8" s="2"/>
      <c r="JRO8" s="2"/>
      <c r="JRP8" s="2"/>
      <c r="JRQ8" s="2"/>
      <c r="JRR8" s="2"/>
      <c r="JRS8" s="2"/>
      <c r="JRT8" s="2"/>
      <c r="JRU8" s="2"/>
      <c r="JRV8" s="2"/>
      <c r="JRW8" s="2"/>
      <c r="JRX8" s="2"/>
      <c r="JRY8" s="2"/>
      <c r="JRZ8" s="2"/>
      <c r="JSA8" s="2"/>
      <c r="JSB8" s="2"/>
      <c r="JSC8" s="2"/>
      <c r="JSD8" s="2"/>
      <c r="JSE8" s="2"/>
      <c r="JSF8" s="2"/>
      <c r="JSG8" s="2"/>
      <c r="JSH8" s="2"/>
      <c r="JSI8" s="2"/>
      <c r="JSJ8" s="2"/>
      <c r="JSK8" s="2"/>
      <c r="JSL8" s="2"/>
      <c r="JSM8" s="2"/>
      <c r="JSN8" s="2"/>
      <c r="JSO8" s="2"/>
      <c r="JSP8" s="2"/>
      <c r="JSQ8" s="2"/>
      <c r="JSR8" s="2"/>
      <c r="JSS8" s="2"/>
      <c r="JST8" s="2"/>
      <c r="JSU8" s="2"/>
      <c r="JSV8" s="2"/>
      <c r="JSW8" s="2"/>
      <c r="JSX8" s="2"/>
      <c r="JSY8" s="2"/>
      <c r="JSZ8" s="2"/>
      <c r="JTA8" s="2"/>
      <c r="JTB8" s="2"/>
      <c r="JTC8" s="2"/>
      <c r="JTD8" s="2"/>
      <c r="JTE8" s="2"/>
      <c r="JTF8" s="2"/>
      <c r="JTG8" s="2"/>
      <c r="JTH8" s="2"/>
      <c r="JTI8" s="2"/>
      <c r="JTJ8" s="2"/>
      <c r="JTK8" s="2"/>
      <c r="JTL8" s="2"/>
      <c r="JTM8" s="2"/>
      <c r="JTN8" s="2"/>
      <c r="JTO8" s="2"/>
      <c r="JTP8" s="2"/>
      <c r="JTQ8" s="2"/>
      <c r="JTR8" s="2"/>
      <c r="JTS8" s="2"/>
      <c r="JTT8" s="2"/>
      <c r="JTU8" s="2"/>
      <c r="JTV8" s="2"/>
      <c r="JTW8" s="2"/>
      <c r="JTX8" s="2"/>
      <c r="JTY8" s="2"/>
      <c r="JTZ8" s="2"/>
      <c r="JUA8" s="2"/>
      <c r="JUB8" s="2"/>
      <c r="JUC8" s="2"/>
      <c r="JUD8" s="2"/>
      <c r="JUE8" s="2"/>
      <c r="JUF8" s="2"/>
      <c r="JUG8" s="2"/>
      <c r="JUH8" s="2"/>
      <c r="JUI8" s="2"/>
      <c r="JUJ8" s="2"/>
      <c r="JUK8" s="2"/>
      <c r="JUL8" s="2"/>
      <c r="JUM8" s="2"/>
      <c r="JUN8" s="2"/>
      <c r="JUO8" s="2"/>
      <c r="JUP8" s="2"/>
      <c r="JUQ8" s="2"/>
      <c r="JUR8" s="2"/>
      <c r="JUS8" s="2"/>
      <c r="JUT8" s="2"/>
      <c r="JUU8" s="2"/>
      <c r="JUV8" s="2"/>
      <c r="JUW8" s="2"/>
      <c r="JUX8" s="2"/>
      <c r="JUY8" s="2"/>
      <c r="JUZ8" s="2"/>
      <c r="JVA8" s="2"/>
      <c r="JVB8" s="2"/>
      <c r="JVC8" s="2"/>
      <c r="JVD8" s="2"/>
      <c r="JVE8" s="2"/>
      <c r="JVF8" s="2"/>
      <c r="JVG8" s="2"/>
      <c r="JVH8" s="2"/>
      <c r="JVI8" s="2"/>
      <c r="JVJ8" s="2"/>
      <c r="JVK8" s="2"/>
      <c r="JVL8" s="2"/>
      <c r="JVM8" s="2"/>
      <c r="JVN8" s="2"/>
      <c r="JVO8" s="2"/>
      <c r="JVP8" s="2"/>
      <c r="JVQ8" s="2"/>
      <c r="JVR8" s="2"/>
      <c r="JVS8" s="2"/>
      <c r="JVT8" s="2"/>
      <c r="JVU8" s="2"/>
      <c r="JVV8" s="2"/>
      <c r="JVW8" s="2"/>
      <c r="JVX8" s="2"/>
      <c r="JVY8" s="2"/>
      <c r="JVZ8" s="2"/>
      <c r="JWA8" s="2"/>
      <c r="JWB8" s="2"/>
      <c r="JWC8" s="2"/>
      <c r="JWD8" s="2"/>
      <c r="JWE8" s="2"/>
      <c r="JWF8" s="2"/>
      <c r="JWG8" s="2"/>
      <c r="JWH8" s="2"/>
      <c r="JWI8" s="2"/>
      <c r="JWJ8" s="2"/>
      <c r="JWK8" s="2"/>
      <c r="JWL8" s="2"/>
      <c r="JWM8" s="2"/>
      <c r="JWN8" s="2"/>
      <c r="JWO8" s="2"/>
      <c r="JWP8" s="2"/>
      <c r="JWQ8" s="2"/>
      <c r="JWR8" s="2"/>
      <c r="JWS8" s="2"/>
      <c r="JWT8" s="2"/>
      <c r="JWU8" s="2"/>
      <c r="JWV8" s="2"/>
      <c r="JWW8" s="2"/>
      <c r="JWX8" s="2"/>
      <c r="JWY8" s="2"/>
      <c r="JWZ8" s="2"/>
      <c r="JXA8" s="2"/>
      <c r="JXB8" s="2"/>
      <c r="JXC8" s="2"/>
      <c r="JXD8" s="2"/>
      <c r="JXE8" s="2"/>
      <c r="JXF8" s="2"/>
      <c r="JXG8" s="2"/>
      <c r="JXH8" s="2"/>
      <c r="JXI8" s="2"/>
      <c r="JXJ8" s="2"/>
      <c r="JXK8" s="2"/>
      <c r="JXL8" s="2"/>
      <c r="JXM8" s="2"/>
      <c r="JXN8" s="2"/>
      <c r="JXO8" s="2"/>
      <c r="JXP8" s="2"/>
      <c r="JXQ8" s="2"/>
      <c r="JXR8" s="2"/>
      <c r="JXS8" s="2"/>
      <c r="JXT8" s="2"/>
      <c r="JXU8" s="2"/>
      <c r="JXV8" s="2"/>
      <c r="JXW8" s="2"/>
      <c r="JXX8" s="2"/>
      <c r="JXY8" s="2"/>
      <c r="JXZ8" s="2"/>
      <c r="JYA8" s="2"/>
      <c r="JYB8" s="2"/>
      <c r="JYC8" s="2"/>
      <c r="JYD8" s="2"/>
      <c r="JYE8" s="2"/>
      <c r="JYF8" s="2"/>
      <c r="JYG8" s="2"/>
      <c r="JYH8" s="2"/>
      <c r="JYI8" s="2"/>
      <c r="JYJ8" s="2"/>
      <c r="JYK8" s="2"/>
      <c r="JYL8" s="2"/>
      <c r="JYM8" s="2"/>
      <c r="JYN8" s="2"/>
      <c r="JYO8" s="2"/>
      <c r="JYP8" s="2"/>
      <c r="JYQ8" s="2"/>
      <c r="JYR8" s="2"/>
      <c r="JYS8" s="2"/>
      <c r="JYT8" s="2"/>
      <c r="JYU8" s="2"/>
      <c r="JYV8" s="2"/>
      <c r="JYW8" s="2"/>
      <c r="JYX8" s="2"/>
      <c r="JYY8" s="2"/>
      <c r="JYZ8" s="2"/>
      <c r="JZA8" s="2"/>
      <c r="JZB8" s="2"/>
      <c r="JZC8" s="2"/>
      <c r="JZD8" s="2"/>
      <c r="JZE8" s="2"/>
      <c r="JZF8" s="2"/>
      <c r="JZG8" s="2"/>
      <c r="JZH8" s="2"/>
      <c r="JZI8" s="2"/>
      <c r="JZJ8" s="2"/>
      <c r="JZK8" s="2"/>
      <c r="JZL8" s="2"/>
      <c r="JZM8" s="2"/>
      <c r="JZN8" s="2"/>
      <c r="JZO8" s="2"/>
      <c r="JZP8" s="2"/>
      <c r="JZQ8" s="2"/>
      <c r="JZR8" s="2"/>
      <c r="JZS8" s="2"/>
      <c r="JZT8" s="2"/>
      <c r="JZU8" s="2"/>
      <c r="JZV8" s="2"/>
      <c r="JZW8" s="2"/>
      <c r="JZX8" s="2"/>
      <c r="JZY8" s="2"/>
      <c r="JZZ8" s="2"/>
      <c r="KAA8" s="2"/>
      <c r="KAB8" s="2"/>
      <c r="KAC8" s="2"/>
      <c r="KAD8" s="2"/>
      <c r="KAE8" s="2"/>
      <c r="KAF8" s="2"/>
      <c r="KAG8" s="2"/>
      <c r="KAH8" s="2"/>
      <c r="KAI8" s="2"/>
      <c r="KAJ8" s="2"/>
      <c r="KAK8" s="2"/>
      <c r="KAL8" s="2"/>
      <c r="KAM8" s="2"/>
      <c r="KAN8" s="2"/>
      <c r="KAO8" s="2"/>
      <c r="KAP8" s="2"/>
      <c r="KAQ8" s="2"/>
      <c r="KAR8" s="2"/>
      <c r="KAS8" s="2"/>
      <c r="KAT8" s="2"/>
      <c r="KAU8" s="2"/>
      <c r="KAV8" s="2"/>
      <c r="KAW8" s="2"/>
      <c r="KAX8" s="2"/>
      <c r="KAY8" s="2"/>
      <c r="KAZ8" s="2"/>
      <c r="KBA8" s="2"/>
      <c r="KBB8" s="2"/>
      <c r="KBC8" s="2"/>
      <c r="KBD8" s="2"/>
      <c r="KBE8" s="2"/>
      <c r="KBF8" s="2"/>
      <c r="KBG8" s="2"/>
      <c r="KBH8" s="2"/>
      <c r="KBI8" s="2"/>
      <c r="KBJ8" s="2"/>
      <c r="KBK8" s="2"/>
      <c r="KBL8" s="2"/>
      <c r="KBM8" s="2"/>
      <c r="KBN8" s="2"/>
      <c r="KBO8" s="2"/>
      <c r="KBP8" s="2"/>
      <c r="KBQ8" s="2"/>
      <c r="KBR8" s="2"/>
      <c r="KBS8" s="2"/>
      <c r="KBT8" s="2"/>
      <c r="KBU8" s="2"/>
      <c r="KBV8" s="2"/>
      <c r="KBW8" s="2"/>
      <c r="KBX8" s="2"/>
      <c r="KBY8" s="2"/>
      <c r="KBZ8" s="2"/>
      <c r="KCA8" s="2"/>
      <c r="KCB8" s="2"/>
      <c r="KCC8" s="2"/>
      <c r="KCD8" s="2"/>
      <c r="KCE8" s="2"/>
      <c r="KCF8" s="2"/>
      <c r="KCG8" s="2"/>
      <c r="KCH8" s="2"/>
      <c r="KCI8" s="2"/>
      <c r="KCJ8" s="2"/>
      <c r="KCK8" s="2"/>
      <c r="KCL8" s="2"/>
      <c r="KCM8" s="2"/>
      <c r="KCN8" s="2"/>
      <c r="KCO8" s="2"/>
      <c r="KCP8" s="2"/>
      <c r="KCQ8" s="2"/>
      <c r="KCR8" s="2"/>
      <c r="KCS8" s="2"/>
      <c r="KCT8" s="2"/>
      <c r="KCU8" s="2"/>
      <c r="KCV8" s="2"/>
      <c r="KCW8" s="2"/>
      <c r="KCX8" s="2"/>
      <c r="KCY8" s="2"/>
      <c r="KCZ8" s="2"/>
      <c r="KDA8" s="2"/>
      <c r="KDB8" s="2"/>
      <c r="KDC8" s="2"/>
      <c r="KDD8" s="2"/>
      <c r="KDE8" s="2"/>
      <c r="KDF8" s="2"/>
      <c r="KDG8" s="2"/>
      <c r="KDH8" s="2"/>
      <c r="KDI8" s="2"/>
      <c r="KDJ8" s="2"/>
      <c r="KDK8" s="2"/>
      <c r="KDL8" s="2"/>
      <c r="KDM8" s="2"/>
      <c r="KDN8" s="2"/>
      <c r="KDO8" s="2"/>
      <c r="KDP8" s="2"/>
      <c r="KDQ8" s="2"/>
      <c r="KDR8" s="2"/>
      <c r="KDS8" s="2"/>
      <c r="KDT8" s="2"/>
      <c r="KDU8" s="2"/>
      <c r="KDV8" s="2"/>
      <c r="KDW8" s="2"/>
      <c r="KDX8" s="2"/>
      <c r="KDY8" s="2"/>
      <c r="KDZ8" s="2"/>
      <c r="KEA8" s="2"/>
      <c r="KEB8" s="2"/>
      <c r="KEC8" s="2"/>
      <c r="KED8" s="2"/>
      <c r="KEE8" s="2"/>
      <c r="KEF8" s="2"/>
      <c r="KEG8" s="2"/>
      <c r="KEH8" s="2"/>
      <c r="KEI8" s="2"/>
      <c r="KEJ8" s="2"/>
      <c r="KEK8" s="2"/>
      <c r="KEL8" s="2"/>
      <c r="KEM8" s="2"/>
      <c r="KEN8" s="2"/>
      <c r="KEO8" s="2"/>
      <c r="KEP8" s="2"/>
      <c r="KEQ8" s="2"/>
      <c r="KER8" s="2"/>
      <c r="KES8" s="2"/>
      <c r="KET8" s="2"/>
      <c r="KEU8" s="2"/>
      <c r="KEV8" s="2"/>
      <c r="KEW8" s="2"/>
      <c r="KEX8" s="2"/>
      <c r="KEY8" s="2"/>
      <c r="KEZ8" s="2"/>
      <c r="KFA8" s="2"/>
      <c r="KFB8" s="2"/>
      <c r="KFC8" s="2"/>
      <c r="KFD8" s="2"/>
      <c r="KFE8" s="2"/>
      <c r="KFF8" s="2"/>
      <c r="KFG8" s="2"/>
      <c r="KFH8" s="2"/>
      <c r="KFI8" s="2"/>
      <c r="KFJ8" s="2"/>
      <c r="KFK8" s="2"/>
      <c r="KFL8" s="2"/>
      <c r="KFM8" s="2"/>
      <c r="KFN8" s="2"/>
      <c r="KFO8" s="2"/>
      <c r="KFP8" s="2"/>
      <c r="KFQ8" s="2"/>
      <c r="KFR8" s="2"/>
      <c r="KFS8" s="2"/>
      <c r="KFT8" s="2"/>
      <c r="KFU8" s="2"/>
      <c r="KFV8" s="2"/>
      <c r="KFW8" s="2"/>
      <c r="KFX8" s="2"/>
      <c r="KFY8" s="2"/>
      <c r="KFZ8" s="2"/>
      <c r="KGA8" s="2"/>
      <c r="KGB8" s="2"/>
      <c r="KGC8" s="2"/>
      <c r="KGD8" s="2"/>
      <c r="KGE8" s="2"/>
      <c r="KGF8" s="2"/>
      <c r="KGG8" s="2"/>
      <c r="KGH8" s="2"/>
      <c r="KGI8" s="2"/>
      <c r="KGJ8" s="2"/>
      <c r="KGK8" s="2"/>
      <c r="KGL8" s="2"/>
      <c r="KGM8" s="2"/>
      <c r="KGN8" s="2"/>
      <c r="KGO8" s="2"/>
      <c r="KGP8" s="2"/>
      <c r="KGQ8" s="2"/>
      <c r="KGR8" s="2"/>
      <c r="KGS8" s="2"/>
      <c r="KGT8" s="2"/>
      <c r="KGU8" s="2"/>
      <c r="KGV8" s="2"/>
      <c r="KGW8" s="2"/>
      <c r="KGX8" s="2"/>
      <c r="KGY8" s="2"/>
      <c r="KGZ8" s="2"/>
      <c r="KHA8" s="2"/>
      <c r="KHB8" s="2"/>
      <c r="KHC8" s="2"/>
      <c r="KHD8" s="2"/>
      <c r="KHE8" s="2"/>
      <c r="KHF8" s="2"/>
      <c r="KHG8" s="2"/>
      <c r="KHH8" s="2"/>
      <c r="KHI8" s="2"/>
      <c r="KHJ8" s="2"/>
      <c r="KHK8" s="2"/>
      <c r="KHL8" s="2"/>
      <c r="KHM8" s="2"/>
      <c r="KHN8" s="2"/>
      <c r="KHO8" s="2"/>
      <c r="KHP8" s="2"/>
      <c r="KHQ8" s="2"/>
      <c r="KHR8" s="2"/>
      <c r="KHS8" s="2"/>
      <c r="KHT8" s="2"/>
      <c r="KHU8" s="2"/>
      <c r="KHV8" s="2"/>
      <c r="KHW8" s="2"/>
      <c r="KHX8" s="2"/>
      <c r="KHY8" s="2"/>
      <c r="KHZ8" s="2"/>
      <c r="KIA8" s="2"/>
      <c r="KIB8" s="2"/>
      <c r="KIC8" s="2"/>
      <c r="KID8" s="2"/>
      <c r="KIE8" s="2"/>
      <c r="KIF8" s="2"/>
      <c r="KIG8" s="2"/>
      <c r="KIH8" s="2"/>
      <c r="KII8" s="2"/>
      <c r="KIJ8" s="2"/>
      <c r="KIK8" s="2"/>
      <c r="KIL8" s="2"/>
      <c r="KIM8" s="2"/>
      <c r="KIN8" s="2"/>
      <c r="KIO8" s="2"/>
      <c r="KIP8" s="2"/>
      <c r="KIQ8" s="2"/>
      <c r="KIR8" s="2"/>
      <c r="KIS8" s="2"/>
      <c r="KIT8" s="2"/>
      <c r="KIU8" s="2"/>
      <c r="KIV8" s="2"/>
      <c r="KIW8" s="2"/>
      <c r="KIX8" s="2"/>
      <c r="KIY8" s="2"/>
      <c r="KIZ8" s="2"/>
      <c r="KJA8" s="2"/>
      <c r="KJB8" s="2"/>
      <c r="KJC8" s="2"/>
      <c r="KJD8" s="2"/>
      <c r="KJE8" s="2"/>
      <c r="KJF8" s="2"/>
      <c r="KJG8" s="2"/>
      <c r="KJH8" s="2"/>
      <c r="KJI8" s="2"/>
      <c r="KJJ8" s="2"/>
      <c r="KJK8" s="2"/>
      <c r="KJL8" s="2"/>
      <c r="KJM8" s="2"/>
      <c r="KJN8" s="2"/>
      <c r="KJO8" s="2"/>
      <c r="KJP8" s="2"/>
      <c r="KJQ8" s="2"/>
      <c r="KJR8" s="2"/>
      <c r="KJS8" s="2"/>
      <c r="KJT8" s="2"/>
      <c r="KJU8" s="2"/>
      <c r="KJV8" s="2"/>
      <c r="KJW8" s="2"/>
      <c r="KJX8" s="2"/>
      <c r="KJY8" s="2"/>
      <c r="KJZ8" s="2"/>
      <c r="KKA8" s="2"/>
      <c r="KKB8" s="2"/>
      <c r="KKC8" s="2"/>
      <c r="KKD8" s="2"/>
      <c r="KKE8" s="2"/>
      <c r="KKF8" s="2"/>
      <c r="KKG8" s="2"/>
      <c r="KKH8" s="2"/>
      <c r="KKI8" s="2"/>
      <c r="KKJ8" s="2"/>
      <c r="KKK8" s="2"/>
      <c r="KKL8" s="2"/>
      <c r="KKM8" s="2"/>
      <c r="KKN8" s="2"/>
      <c r="KKO8" s="2"/>
      <c r="KKP8" s="2"/>
      <c r="KKQ8" s="2"/>
      <c r="KKR8" s="2"/>
      <c r="KKS8" s="2"/>
      <c r="KKT8" s="2"/>
      <c r="KKU8" s="2"/>
      <c r="KKV8" s="2"/>
      <c r="KKW8" s="2"/>
      <c r="KKX8" s="2"/>
      <c r="KKY8" s="2"/>
      <c r="KKZ8" s="2"/>
      <c r="KLA8" s="2"/>
      <c r="KLB8" s="2"/>
      <c r="KLC8" s="2"/>
      <c r="KLD8" s="2"/>
      <c r="KLE8" s="2"/>
      <c r="KLF8" s="2"/>
      <c r="KLG8" s="2"/>
      <c r="KLH8" s="2"/>
      <c r="KLI8" s="2"/>
      <c r="KLJ8" s="2"/>
      <c r="KLK8" s="2"/>
      <c r="KLL8" s="2"/>
      <c r="KLM8" s="2"/>
      <c r="KLN8" s="2"/>
      <c r="KLO8" s="2"/>
      <c r="KLP8" s="2"/>
      <c r="KLQ8" s="2"/>
      <c r="KLR8" s="2"/>
      <c r="KLS8" s="2"/>
      <c r="KLT8" s="2"/>
      <c r="KLU8" s="2"/>
      <c r="KLV8" s="2"/>
      <c r="KLW8" s="2"/>
      <c r="KLX8" s="2"/>
      <c r="KLY8" s="2"/>
      <c r="KLZ8" s="2"/>
      <c r="KMA8" s="2"/>
      <c r="KMB8" s="2"/>
      <c r="KMC8" s="2"/>
      <c r="KMD8" s="2"/>
      <c r="KME8" s="2"/>
      <c r="KMF8" s="2"/>
      <c r="KMG8" s="2"/>
      <c r="KMH8" s="2"/>
      <c r="KMI8" s="2"/>
      <c r="KMJ8" s="2"/>
      <c r="KMK8" s="2"/>
      <c r="KML8" s="2"/>
      <c r="KMM8" s="2"/>
      <c r="KMN8" s="2"/>
      <c r="KMO8" s="2"/>
      <c r="KMP8" s="2"/>
      <c r="KMQ8" s="2"/>
      <c r="KMR8" s="2"/>
      <c r="KMS8" s="2"/>
      <c r="KMT8" s="2"/>
      <c r="KMU8" s="2"/>
      <c r="KMV8" s="2"/>
      <c r="KMW8" s="2"/>
      <c r="KMX8" s="2"/>
      <c r="KMY8" s="2"/>
      <c r="KMZ8" s="2"/>
      <c r="KNA8" s="2"/>
      <c r="KNB8" s="2"/>
      <c r="KNC8" s="2"/>
      <c r="KND8" s="2"/>
      <c r="KNE8" s="2"/>
      <c r="KNF8" s="2"/>
      <c r="KNG8" s="2"/>
      <c r="KNH8" s="2"/>
      <c r="KNI8" s="2"/>
      <c r="KNJ8" s="2"/>
      <c r="KNK8" s="2"/>
      <c r="KNL8" s="2"/>
      <c r="KNM8" s="2"/>
      <c r="KNN8" s="2"/>
      <c r="KNO8" s="2"/>
      <c r="KNP8" s="2"/>
      <c r="KNQ8" s="2"/>
      <c r="KNR8" s="2"/>
      <c r="KNS8" s="2"/>
      <c r="KNT8" s="2"/>
      <c r="KNU8" s="2"/>
      <c r="KNV8" s="2"/>
      <c r="KNW8" s="2"/>
      <c r="KNX8" s="2"/>
      <c r="KNY8" s="2"/>
      <c r="KNZ8" s="2"/>
      <c r="KOA8" s="2"/>
      <c r="KOB8" s="2"/>
      <c r="KOC8" s="2"/>
      <c r="KOD8" s="2"/>
      <c r="KOE8" s="2"/>
      <c r="KOF8" s="2"/>
      <c r="KOG8" s="2"/>
      <c r="KOH8" s="2"/>
      <c r="KOI8" s="2"/>
      <c r="KOJ8" s="2"/>
      <c r="KOK8" s="2"/>
      <c r="KOL8" s="2"/>
      <c r="KOM8" s="2"/>
      <c r="KON8" s="2"/>
      <c r="KOO8" s="2"/>
      <c r="KOP8" s="2"/>
      <c r="KOQ8" s="2"/>
      <c r="KOR8" s="2"/>
      <c r="KOS8" s="2"/>
      <c r="KOT8" s="2"/>
      <c r="KOU8" s="2"/>
      <c r="KOV8" s="2"/>
      <c r="KOW8" s="2"/>
      <c r="KOX8" s="2"/>
      <c r="KOY8" s="2"/>
      <c r="KOZ8" s="2"/>
      <c r="KPA8" s="2"/>
      <c r="KPB8" s="2"/>
      <c r="KPC8" s="2"/>
      <c r="KPD8" s="2"/>
      <c r="KPE8" s="2"/>
      <c r="KPF8" s="2"/>
      <c r="KPG8" s="2"/>
      <c r="KPH8" s="2"/>
      <c r="KPI8" s="2"/>
      <c r="KPJ8" s="2"/>
      <c r="KPK8" s="2"/>
      <c r="KPL8" s="2"/>
      <c r="KPM8" s="2"/>
      <c r="KPN8" s="2"/>
      <c r="KPO8" s="2"/>
      <c r="KPP8" s="2"/>
      <c r="KPQ8" s="2"/>
      <c r="KPR8" s="2"/>
      <c r="KPS8" s="2"/>
      <c r="KPT8" s="2"/>
      <c r="KPU8" s="2"/>
      <c r="KPV8" s="2"/>
      <c r="KPW8" s="2"/>
      <c r="KPX8" s="2"/>
      <c r="KPY8" s="2"/>
      <c r="KPZ8" s="2"/>
      <c r="KQA8" s="2"/>
      <c r="KQB8" s="2"/>
      <c r="KQC8" s="2"/>
      <c r="KQD8" s="2"/>
      <c r="KQE8" s="2"/>
      <c r="KQF8" s="2"/>
      <c r="KQG8" s="2"/>
      <c r="KQH8" s="2"/>
      <c r="KQI8" s="2"/>
      <c r="KQJ8" s="2"/>
      <c r="KQK8" s="2"/>
      <c r="KQL8" s="2"/>
      <c r="KQM8" s="2"/>
      <c r="KQN8" s="2"/>
      <c r="KQO8" s="2"/>
      <c r="KQP8" s="2"/>
      <c r="KQQ8" s="2"/>
      <c r="KQR8" s="2"/>
      <c r="KQS8" s="2"/>
      <c r="KQT8" s="2"/>
      <c r="KQU8" s="2"/>
      <c r="KQV8" s="2"/>
      <c r="KQW8" s="2"/>
      <c r="KQX8" s="2"/>
      <c r="KQY8" s="2"/>
      <c r="KQZ8" s="2"/>
      <c r="KRA8" s="2"/>
      <c r="KRB8" s="2"/>
      <c r="KRC8" s="2"/>
      <c r="KRD8" s="2"/>
      <c r="KRE8" s="2"/>
      <c r="KRF8" s="2"/>
      <c r="KRG8" s="2"/>
      <c r="KRH8" s="2"/>
      <c r="KRI8" s="2"/>
      <c r="KRJ8" s="2"/>
      <c r="KRK8" s="2"/>
      <c r="KRL8" s="2"/>
      <c r="KRM8" s="2"/>
      <c r="KRN8" s="2"/>
      <c r="KRO8" s="2"/>
      <c r="KRP8" s="2"/>
      <c r="KRQ8" s="2"/>
      <c r="KRR8" s="2"/>
      <c r="KRS8" s="2"/>
      <c r="KRT8" s="2"/>
      <c r="KRU8" s="2"/>
      <c r="KRV8" s="2"/>
      <c r="KRW8" s="2"/>
      <c r="KRX8" s="2"/>
      <c r="KRY8" s="2"/>
      <c r="KRZ8" s="2"/>
      <c r="KSA8" s="2"/>
      <c r="KSB8" s="2"/>
      <c r="KSC8" s="2"/>
      <c r="KSD8" s="2"/>
      <c r="KSE8" s="2"/>
      <c r="KSF8" s="2"/>
      <c r="KSG8" s="2"/>
      <c r="KSH8" s="2"/>
      <c r="KSI8" s="2"/>
      <c r="KSJ8" s="2"/>
      <c r="KSK8" s="2"/>
      <c r="KSL8" s="2"/>
      <c r="KSM8" s="2"/>
      <c r="KSN8" s="2"/>
      <c r="KSO8" s="2"/>
      <c r="KSP8" s="2"/>
      <c r="KSQ8" s="2"/>
      <c r="KSR8" s="2"/>
      <c r="KSS8" s="2"/>
      <c r="KST8" s="2"/>
      <c r="KSU8" s="2"/>
      <c r="KSV8" s="2"/>
      <c r="KSW8" s="2"/>
      <c r="KSX8" s="2"/>
      <c r="KSY8" s="2"/>
      <c r="KSZ8" s="2"/>
      <c r="KTA8" s="2"/>
      <c r="KTB8" s="2"/>
      <c r="KTC8" s="2"/>
      <c r="KTD8" s="2"/>
      <c r="KTE8" s="2"/>
      <c r="KTF8" s="2"/>
      <c r="KTG8" s="2"/>
      <c r="KTH8" s="2"/>
      <c r="KTI8" s="2"/>
      <c r="KTJ8" s="2"/>
      <c r="KTK8" s="2"/>
      <c r="KTL8" s="2"/>
      <c r="KTM8" s="2"/>
      <c r="KTN8" s="2"/>
      <c r="KTO8" s="2"/>
      <c r="KTP8" s="2"/>
      <c r="KTQ8" s="2"/>
      <c r="KTR8" s="2"/>
      <c r="KTS8" s="2"/>
      <c r="KTT8" s="2"/>
      <c r="KTU8" s="2"/>
      <c r="KTV8" s="2"/>
      <c r="KTW8" s="2"/>
      <c r="KTX8" s="2"/>
      <c r="KTY8" s="2"/>
      <c r="KTZ8" s="2"/>
      <c r="KUA8" s="2"/>
      <c r="KUB8" s="2"/>
      <c r="KUC8" s="2"/>
      <c r="KUD8" s="2"/>
      <c r="KUE8" s="2"/>
      <c r="KUF8" s="2"/>
      <c r="KUG8" s="2"/>
      <c r="KUH8" s="2"/>
      <c r="KUI8" s="2"/>
      <c r="KUJ8" s="2"/>
      <c r="KUK8" s="2"/>
      <c r="KUL8" s="2"/>
      <c r="KUM8" s="2"/>
      <c r="KUN8" s="2"/>
      <c r="KUO8" s="2"/>
      <c r="KUP8" s="2"/>
      <c r="KUQ8" s="2"/>
      <c r="KUR8" s="2"/>
      <c r="KUS8" s="2"/>
      <c r="KUT8" s="2"/>
      <c r="KUU8" s="2"/>
      <c r="KUV8" s="2"/>
      <c r="KUW8" s="2"/>
      <c r="KUX8" s="2"/>
      <c r="KUY8" s="2"/>
      <c r="KUZ8" s="2"/>
      <c r="KVA8" s="2"/>
      <c r="KVB8" s="2"/>
      <c r="KVC8" s="2"/>
      <c r="KVD8" s="2"/>
      <c r="KVE8" s="2"/>
      <c r="KVF8" s="2"/>
      <c r="KVG8" s="2"/>
      <c r="KVH8" s="2"/>
      <c r="KVI8" s="2"/>
      <c r="KVJ8" s="2"/>
      <c r="KVK8" s="2"/>
      <c r="KVL8" s="2"/>
      <c r="KVM8" s="2"/>
      <c r="KVN8" s="2"/>
      <c r="KVO8" s="2"/>
      <c r="KVP8" s="2"/>
      <c r="KVQ8" s="2"/>
      <c r="KVR8" s="2"/>
      <c r="KVS8" s="2"/>
      <c r="KVT8" s="2"/>
      <c r="KVU8" s="2"/>
      <c r="KVV8" s="2"/>
      <c r="KVW8" s="2"/>
      <c r="KVX8" s="2"/>
      <c r="KVY8" s="2"/>
      <c r="KVZ8" s="2"/>
      <c r="KWA8" s="2"/>
      <c r="KWB8" s="2"/>
      <c r="KWC8" s="2"/>
      <c r="KWD8" s="2"/>
      <c r="KWE8" s="2"/>
      <c r="KWF8" s="2"/>
      <c r="KWG8" s="2"/>
      <c r="KWH8" s="2"/>
      <c r="KWI8" s="2"/>
      <c r="KWJ8" s="2"/>
      <c r="KWK8" s="2"/>
      <c r="KWL8" s="2"/>
      <c r="KWM8" s="2"/>
      <c r="KWN8" s="2"/>
      <c r="KWO8" s="2"/>
      <c r="KWP8" s="2"/>
      <c r="KWQ8" s="2"/>
      <c r="KWR8" s="2"/>
      <c r="KWS8" s="2"/>
      <c r="KWT8" s="2"/>
      <c r="KWU8" s="2"/>
      <c r="KWV8" s="2"/>
      <c r="KWW8" s="2"/>
      <c r="KWX8" s="2"/>
      <c r="KWY8" s="2"/>
      <c r="KWZ8" s="2"/>
      <c r="KXA8" s="2"/>
      <c r="KXB8" s="2"/>
      <c r="KXC8" s="2"/>
      <c r="KXD8" s="2"/>
      <c r="KXE8" s="2"/>
      <c r="KXF8" s="2"/>
      <c r="KXG8" s="2"/>
      <c r="KXH8" s="2"/>
      <c r="KXI8" s="2"/>
      <c r="KXJ8" s="2"/>
      <c r="KXK8" s="2"/>
      <c r="KXL8" s="2"/>
      <c r="KXM8" s="2"/>
      <c r="KXN8" s="2"/>
      <c r="KXO8" s="2"/>
      <c r="KXP8" s="2"/>
      <c r="KXQ8" s="2"/>
      <c r="KXR8" s="2"/>
      <c r="KXS8" s="2"/>
      <c r="KXT8" s="2"/>
      <c r="KXU8" s="2"/>
      <c r="KXV8" s="2"/>
      <c r="KXW8" s="2"/>
      <c r="KXX8" s="2"/>
      <c r="KXY8" s="2"/>
      <c r="KXZ8" s="2"/>
      <c r="KYA8" s="2"/>
      <c r="KYB8" s="2"/>
      <c r="KYC8" s="2"/>
      <c r="KYD8" s="2"/>
      <c r="KYE8" s="2"/>
      <c r="KYF8" s="2"/>
      <c r="KYG8" s="2"/>
      <c r="KYH8" s="2"/>
      <c r="KYI8" s="2"/>
      <c r="KYJ8" s="2"/>
      <c r="KYK8" s="2"/>
      <c r="KYL8" s="2"/>
      <c r="KYM8" s="2"/>
      <c r="KYN8" s="2"/>
      <c r="KYO8" s="2"/>
      <c r="KYP8" s="2"/>
      <c r="KYQ8" s="2"/>
      <c r="KYR8" s="2"/>
      <c r="KYS8" s="2"/>
      <c r="KYT8" s="2"/>
      <c r="KYU8" s="2"/>
      <c r="KYV8" s="2"/>
      <c r="KYW8" s="2"/>
      <c r="KYX8" s="2"/>
      <c r="KYY8" s="2"/>
      <c r="KYZ8" s="2"/>
      <c r="KZA8" s="2"/>
      <c r="KZB8" s="2"/>
      <c r="KZC8" s="2"/>
      <c r="KZD8" s="2"/>
      <c r="KZE8" s="2"/>
      <c r="KZF8" s="2"/>
      <c r="KZG8" s="2"/>
      <c r="KZH8" s="2"/>
      <c r="KZI8" s="2"/>
      <c r="KZJ8" s="2"/>
      <c r="KZK8" s="2"/>
      <c r="KZL8" s="2"/>
      <c r="KZM8" s="2"/>
      <c r="KZN8" s="2"/>
      <c r="KZO8" s="2"/>
      <c r="KZP8" s="2"/>
      <c r="KZQ8" s="2"/>
      <c r="KZR8" s="2"/>
      <c r="KZS8" s="2"/>
      <c r="KZT8" s="2"/>
      <c r="KZU8" s="2"/>
      <c r="KZV8" s="2"/>
      <c r="KZW8" s="2"/>
      <c r="KZX8" s="2"/>
      <c r="KZY8" s="2"/>
      <c r="KZZ8" s="2"/>
      <c r="LAA8" s="2"/>
      <c r="LAB8" s="2"/>
      <c r="LAC8" s="2"/>
      <c r="LAD8" s="2"/>
      <c r="LAE8" s="2"/>
      <c r="LAF8" s="2"/>
      <c r="LAG8" s="2"/>
      <c r="LAH8" s="2"/>
      <c r="LAI8" s="2"/>
      <c r="LAJ8" s="2"/>
      <c r="LAK8" s="2"/>
      <c r="LAL8" s="2"/>
      <c r="LAM8" s="2"/>
      <c r="LAN8" s="2"/>
      <c r="LAO8" s="2"/>
      <c r="LAP8" s="2"/>
      <c r="LAQ8" s="2"/>
      <c r="LAR8" s="2"/>
      <c r="LAS8" s="2"/>
      <c r="LAT8" s="2"/>
      <c r="LAU8" s="2"/>
      <c r="LAV8" s="2"/>
      <c r="LAW8" s="2"/>
      <c r="LAX8" s="2"/>
      <c r="LAY8" s="2"/>
      <c r="LAZ8" s="2"/>
      <c r="LBA8" s="2"/>
      <c r="LBB8" s="2"/>
      <c r="LBC8" s="2"/>
      <c r="LBD8" s="2"/>
      <c r="LBE8" s="2"/>
      <c r="LBF8" s="2"/>
      <c r="LBG8" s="2"/>
      <c r="LBH8" s="2"/>
      <c r="LBI8" s="2"/>
      <c r="LBJ8" s="2"/>
      <c r="LBK8" s="2"/>
      <c r="LBL8" s="2"/>
      <c r="LBM8" s="2"/>
      <c r="LBN8" s="2"/>
      <c r="LBO8" s="2"/>
      <c r="LBP8" s="2"/>
      <c r="LBQ8" s="2"/>
      <c r="LBR8" s="2"/>
      <c r="LBS8" s="2"/>
      <c r="LBT8" s="2"/>
      <c r="LBU8" s="2"/>
      <c r="LBV8" s="2"/>
      <c r="LBW8" s="2"/>
      <c r="LBX8" s="2"/>
      <c r="LBY8" s="2"/>
      <c r="LBZ8" s="2"/>
      <c r="LCA8" s="2"/>
      <c r="LCB8" s="2"/>
      <c r="LCC8" s="2"/>
      <c r="LCD8" s="2"/>
      <c r="LCE8" s="2"/>
      <c r="LCF8" s="2"/>
      <c r="LCG8" s="2"/>
      <c r="LCH8" s="2"/>
      <c r="LCI8" s="2"/>
      <c r="LCJ8" s="2"/>
      <c r="LCK8" s="2"/>
      <c r="LCL8" s="2"/>
      <c r="LCM8" s="2"/>
      <c r="LCN8" s="2"/>
      <c r="LCO8" s="2"/>
      <c r="LCP8" s="2"/>
      <c r="LCQ8" s="2"/>
      <c r="LCR8" s="2"/>
      <c r="LCS8" s="2"/>
      <c r="LCT8" s="2"/>
      <c r="LCU8" s="2"/>
      <c r="LCV8" s="2"/>
      <c r="LCW8" s="2"/>
      <c r="LCX8" s="2"/>
      <c r="LCY8" s="2"/>
      <c r="LCZ8" s="2"/>
      <c r="LDA8" s="2"/>
      <c r="LDB8" s="2"/>
      <c r="LDC8" s="2"/>
      <c r="LDD8" s="2"/>
      <c r="LDE8" s="2"/>
      <c r="LDF8" s="2"/>
      <c r="LDG8" s="2"/>
      <c r="LDH8" s="2"/>
      <c r="LDI8" s="2"/>
      <c r="LDJ8" s="2"/>
      <c r="LDK8" s="2"/>
      <c r="LDL8" s="2"/>
      <c r="LDM8" s="2"/>
      <c r="LDN8" s="2"/>
      <c r="LDO8" s="2"/>
      <c r="LDP8" s="2"/>
      <c r="LDQ8" s="2"/>
      <c r="LDR8" s="2"/>
      <c r="LDS8" s="2"/>
      <c r="LDT8" s="2"/>
      <c r="LDU8" s="2"/>
      <c r="LDV8" s="2"/>
      <c r="LDW8" s="2"/>
      <c r="LDX8" s="2"/>
      <c r="LDY8" s="2"/>
      <c r="LDZ8" s="2"/>
      <c r="LEA8" s="2"/>
      <c r="LEB8" s="2"/>
      <c r="LEC8" s="2"/>
      <c r="LED8" s="2"/>
      <c r="LEE8" s="2"/>
      <c r="LEF8" s="2"/>
      <c r="LEG8" s="2"/>
      <c r="LEH8" s="2"/>
      <c r="LEI8" s="2"/>
      <c r="LEJ8" s="2"/>
      <c r="LEK8" s="2"/>
      <c r="LEL8" s="2"/>
      <c r="LEM8" s="2"/>
      <c r="LEN8" s="2"/>
      <c r="LEO8" s="2"/>
      <c r="LEP8" s="2"/>
      <c r="LEQ8" s="2"/>
      <c r="LER8" s="2"/>
      <c r="LES8" s="2"/>
      <c r="LET8" s="2"/>
      <c r="LEU8" s="2"/>
      <c r="LEV8" s="2"/>
      <c r="LEW8" s="2"/>
      <c r="LEX8" s="2"/>
      <c r="LEY8" s="2"/>
      <c r="LEZ8" s="2"/>
      <c r="LFA8" s="2"/>
      <c r="LFB8" s="2"/>
      <c r="LFC8" s="2"/>
      <c r="LFD8" s="2"/>
      <c r="LFE8" s="2"/>
      <c r="LFF8" s="2"/>
      <c r="LFG8" s="2"/>
      <c r="LFH8" s="2"/>
      <c r="LFI8" s="2"/>
      <c r="LFJ8" s="2"/>
      <c r="LFK8" s="2"/>
      <c r="LFL8" s="2"/>
      <c r="LFM8" s="2"/>
      <c r="LFN8" s="2"/>
      <c r="LFO8" s="2"/>
      <c r="LFP8" s="2"/>
      <c r="LFQ8" s="2"/>
      <c r="LFR8" s="2"/>
      <c r="LFS8" s="2"/>
      <c r="LFT8" s="2"/>
      <c r="LFU8" s="2"/>
      <c r="LFV8" s="2"/>
      <c r="LFW8" s="2"/>
      <c r="LFX8" s="2"/>
      <c r="LFY8" s="2"/>
      <c r="LFZ8" s="2"/>
      <c r="LGA8" s="2"/>
      <c r="LGB8" s="2"/>
      <c r="LGC8" s="2"/>
      <c r="LGD8" s="2"/>
      <c r="LGE8" s="2"/>
      <c r="LGF8" s="2"/>
      <c r="LGG8" s="2"/>
      <c r="LGH8" s="2"/>
      <c r="LGI8" s="2"/>
      <c r="LGJ8" s="2"/>
      <c r="LGK8" s="2"/>
      <c r="LGL8" s="2"/>
      <c r="LGM8" s="2"/>
      <c r="LGN8" s="2"/>
      <c r="LGO8" s="2"/>
      <c r="LGP8" s="2"/>
      <c r="LGQ8" s="2"/>
      <c r="LGR8" s="2"/>
      <c r="LGS8" s="2"/>
      <c r="LGT8" s="2"/>
      <c r="LGU8" s="2"/>
      <c r="LGV8" s="2"/>
      <c r="LGW8" s="2"/>
      <c r="LGX8" s="2"/>
      <c r="LGY8" s="2"/>
      <c r="LGZ8" s="2"/>
      <c r="LHA8" s="2"/>
      <c r="LHB8" s="2"/>
      <c r="LHC8" s="2"/>
      <c r="LHD8" s="2"/>
      <c r="LHE8" s="2"/>
      <c r="LHF8" s="2"/>
      <c r="LHG8" s="2"/>
      <c r="LHH8" s="2"/>
      <c r="LHI8" s="2"/>
      <c r="LHJ8" s="2"/>
      <c r="LHK8" s="2"/>
      <c r="LHL8" s="2"/>
      <c r="LHM8" s="2"/>
      <c r="LHN8" s="2"/>
      <c r="LHO8" s="2"/>
      <c r="LHP8" s="2"/>
      <c r="LHQ8" s="2"/>
      <c r="LHR8" s="2"/>
      <c r="LHS8" s="2"/>
      <c r="LHT8" s="2"/>
      <c r="LHU8" s="2"/>
      <c r="LHV8" s="2"/>
      <c r="LHW8" s="2"/>
      <c r="LHX8" s="2"/>
      <c r="LHY8" s="2"/>
      <c r="LHZ8" s="2"/>
      <c r="LIA8" s="2"/>
      <c r="LIB8" s="2"/>
      <c r="LIC8" s="2"/>
      <c r="LID8" s="2"/>
      <c r="LIE8" s="2"/>
      <c r="LIF8" s="2"/>
      <c r="LIG8" s="2"/>
      <c r="LIH8" s="2"/>
      <c r="LII8" s="2"/>
      <c r="LIJ8" s="2"/>
      <c r="LIK8" s="2"/>
      <c r="LIL8" s="2"/>
      <c r="LIM8" s="2"/>
      <c r="LIN8" s="2"/>
      <c r="LIO8" s="2"/>
      <c r="LIP8" s="2"/>
      <c r="LIQ8" s="2"/>
      <c r="LIR8" s="2"/>
      <c r="LIS8" s="2"/>
      <c r="LIT8" s="2"/>
      <c r="LIU8" s="2"/>
      <c r="LIV8" s="2"/>
      <c r="LIW8" s="2"/>
      <c r="LIX8" s="2"/>
      <c r="LIY8" s="2"/>
      <c r="LIZ8" s="2"/>
      <c r="LJA8" s="2"/>
      <c r="LJB8" s="2"/>
      <c r="LJC8" s="2"/>
      <c r="LJD8" s="2"/>
      <c r="LJE8" s="2"/>
      <c r="LJF8" s="2"/>
      <c r="LJG8" s="2"/>
      <c r="LJH8" s="2"/>
      <c r="LJI8" s="2"/>
      <c r="LJJ8" s="2"/>
      <c r="LJK8" s="2"/>
      <c r="LJL8" s="2"/>
      <c r="LJM8" s="2"/>
      <c r="LJN8" s="2"/>
      <c r="LJO8" s="2"/>
      <c r="LJP8" s="2"/>
      <c r="LJQ8" s="2"/>
      <c r="LJR8" s="2"/>
      <c r="LJS8" s="2"/>
      <c r="LJT8" s="2"/>
      <c r="LJU8" s="2"/>
      <c r="LJV8" s="2"/>
      <c r="LJW8" s="2"/>
      <c r="LJX8" s="2"/>
      <c r="LJY8" s="2"/>
      <c r="LJZ8" s="2"/>
      <c r="LKA8" s="2"/>
      <c r="LKB8" s="2"/>
      <c r="LKC8" s="2"/>
      <c r="LKD8" s="2"/>
      <c r="LKE8" s="2"/>
      <c r="LKF8" s="2"/>
      <c r="LKG8" s="2"/>
      <c r="LKH8" s="2"/>
      <c r="LKI8" s="2"/>
      <c r="LKJ8" s="2"/>
      <c r="LKK8" s="2"/>
      <c r="LKL8" s="2"/>
      <c r="LKM8" s="2"/>
      <c r="LKN8" s="2"/>
      <c r="LKO8" s="2"/>
      <c r="LKP8" s="2"/>
      <c r="LKQ8" s="2"/>
      <c r="LKR8" s="2"/>
      <c r="LKS8" s="2"/>
      <c r="LKT8" s="2"/>
      <c r="LKU8" s="2"/>
      <c r="LKV8" s="2"/>
      <c r="LKW8" s="2"/>
      <c r="LKX8" s="2"/>
      <c r="LKY8" s="2"/>
      <c r="LKZ8" s="2"/>
      <c r="LLA8" s="2"/>
      <c r="LLB8" s="2"/>
      <c r="LLC8" s="2"/>
      <c r="LLD8" s="2"/>
      <c r="LLE8" s="2"/>
      <c r="LLF8" s="2"/>
      <c r="LLG8" s="2"/>
      <c r="LLH8" s="2"/>
      <c r="LLI8" s="2"/>
      <c r="LLJ8" s="2"/>
      <c r="LLK8" s="2"/>
      <c r="LLL8" s="2"/>
      <c r="LLM8" s="2"/>
      <c r="LLN8" s="2"/>
      <c r="LLO8" s="2"/>
      <c r="LLP8" s="2"/>
      <c r="LLQ8" s="2"/>
      <c r="LLR8" s="2"/>
      <c r="LLS8" s="2"/>
      <c r="LLT8" s="2"/>
      <c r="LLU8" s="2"/>
      <c r="LLV8" s="2"/>
      <c r="LLW8" s="2"/>
      <c r="LLX8" s="2"/>
      <c r="LLY8" s="2"/>
      <c r="LLZ8" s="2"/>
      <c r="LMA8" s="2"/>
      <c r="LMB8" s="2"/>
      <c r="LMC8" s="2"/>
      <c r="LMD8" s="2"/>
      <c r="LME8" s="2"/>
      <c r="LMF8" s="2"/>
      <c r="LMG8" s="2"/>
      <c r="LMH8" s="2"/>
      <c r="LMI8" s="2"/>
      <c r="LMJ8" s="2"/>
      <c r="LMK8" s="2"/>
      <c r="LML8" s="2"/>
      <c r="LMM8" s="2"/>
      <c r="LMN8" s="2"/>
      <c r="LMO8" s="2"/>
      <c r="LMP8" s="2"/>
      <c r="LMQ8" s="2"/>
      <c r="LMR8" s="2"/>
      <c r="LMS8" s="2"/>
      <c r="LMT8" s="2"/>
      <c r="LMU8" s="2"/>
      <c r="LMV8" s="2"/>
      <c r="LMW8" s="2"/>
      <c r="LMX8" s="2"/>
      <c r="LMY8" s="2"/>
      <c r="LMZ8" s="2"/>
      <c r="LNA8" s="2"/>
      <c r="LNB8" s="2"/>
      <c r="LNC8" s="2"/>
      <c r="LND8" s="2"/>
      <c r="LNE8" s="2"/>
      <c r="LNF8" s="2"/>
      <c r="LNG8" s="2"/>
      <c r="LNH8" s="2"/>
      <c r="LNI8" s="2"/>
      <c r="LNJ8" s="2"/>
      <c r="LNK8" s="2"/>
      <c r="LNL8" s="2"/>
      <c r="LNM8" s="2"/>
      <c r="LNN8" s="2"/>
      <c r="LNO8" s="2"/>
      <c r="LNP8" s="2"/>
      <c r="LNQ8" s="2"/>
      <c r="LNR8" s="2"/>
      <c r="LNS8" s="2"/>
      <c r="LNT8" s="2"/>
      <c r="LNU8" s="2"/>
      <c r="LNV8" s="2"/>
      <c r="LNW8" s="2"/>
      <c r="LNX8" s="2"/>
      <c r="LNY8" s="2"/>
      <c r="LNZ8" s="2"/>
      <c r="LOA8" s="2"/>
      <c r="LOB8" s="2"/>
      <c r="LOC8" s="2"/>
      <c r="LOD8" s="2"/>
      <c r="LOE8" s="2"/>
      <c r="LOF8" s="2"/>
      <c r="LOG8" s="2"/>
      <c r="LOH8" s="2"/>
      <c r="LOI8" s="2"/>
      <c r="LOJ8" s="2"/>
      <c r="LOK8" s="2"/>
      <c r="LOL8" s="2"/>
      <c r="LOM8" s="2"/>
      <c r="LON8" s="2"/>
      <c r="LOO8" s="2"/>
      <c r="LOP8" s="2"/>
      <c r="LOQ8" s="2"/>
      <c r="LOR8" s="2"/>
      <c r="LOS8" s="2"/>
      <c r="LOT8" s="2"/>
      <c r="LOU8" s="2"/>
      <c r="LOV8" s="2"/>
      <c r="LOW8" s="2"/>
      <c r="LOX8" s="2"/>
      <c r="LOY8" s="2"/>
      <c r="LOZ8" s="2"/>
      <c r="LPA8" s="2"/>
      <c r="LPB8" s="2"/>
      <c r="LPC8" s="2"/>
      <c r="LPD8" s="2"/>
      <c r="LPE8" s="2"/>
      <c r="LPF8" s="2"/>
      <c r="LPG8" s="2"/>
      <c r="LPH8" s="2"/>
      <c r="LPI8" s="2"/>
      <c r="LPJ8" s="2"/>
      <c r="LPK8" s="2"/>
      <c r="LPL8" s="2"/>
      <c r="LPM8" s="2"/>
      <c r="LPN8" s="2"/>
      <c r="LPO8" s="2"/>
      <c r="LPP8" s="2"/>
      <c r="LPQ8" s="2"/>
      <c r="LPR8" s="2"/>
      <c r="LPS8" s="2"/>
      <c r="LPT8" s="2"/>
      <c r="LPU8" s="2"/>
      <c r="LPV8" s="2"/>
      <c r="LPW8" s="2"/>
      <c r="LPX8" s="2"/>
      <c r="LPY8" s="2"/>
      <c r="LPZ8" s="2"/>
      <c r="LQA8" s="2"/>
      <c r="LQB8" s="2"/>
      <c r="LQC8" s="2"/>
      <c r="LQD8" s="2"/>
      <c r="LQE8" s="2"/>
      <c r="LQF8" s="2"/>
      <c r="LQG8" s="2"/>
      <c r="LQH8" s="2"/>
      <c r="LQI8" s="2"/>
      <c r="LQJ8" s="2"/>
      <c r="LQK8" s="2"/>
      <c r="LQL8" s="2"/>
      <c r="LQM8" s="2"/>
      <c r="LQN8" s="2"/>
      <c r="LQO8" s="2"/>
      <c r="LQP8" s="2"/>
      <c r="LQQ8" s="2"/>
      <c r="LQR8" s="2"/>
      <c r="LQS8" s="2"/>
      <c r="LQT8" s="2"/>
      <c r="LQU8" s="2"/>
      <c r="LQV8" s="2"/>
      <c r="LQW8" s="2"/>
      <c r="LQX8" s="2"/>
      <c r="LQY8" s="2"/>
      <c r="LQZ8" s="2"/>
      <c r="LRA8" s="2"/>
      <c r="LRB8" s="2"/>
      <c r="LRC8" s="2"/>
      <c r="LRD8" s="2"/>
      <c r="LRE8" s="2"/>
      <c r="LRF8" s="2"/>
      <c r="LRG8" s="2"/>
      <c r="LRH8" s="2"/>
      <c r="LRI8" s="2"/>
      <c r="LRJ8" s="2"/>
      <c r="LRK8" s="2"/>
      <c r="LRL8" s="2"/>
      <c r="LRM8" s="2"/>
      <c r="LRN8" s="2"/>
      <c r="LRO8" s="2"/>
      <c r="LRP8" s="2"/>
      <c r="LRQ8" s="2"/>
      <c r="LRR8" s="2"/>
      <c r="LRS8" s="2"/>
      <c r="LRT8" s="2"/>
      <c r="LRU8" s="2"/>
      <c r="LRV8" s="2"/>
      <c r="LRW8" s="2"/>
      <c r="LRX8" s="2"/>
      <c r="LRY8" s="2"/>
      <c r="LRZ8" s="2"/>
      <c r="LSA8" s="2"/>
      <c r="LSB8" s="2"/>
      <c r="LSC8" s="2"/>
      <c r="LSD8" s="2"/>
      <c r="LSE8" s="2"/>
      <c r="LSF8" s="2"/>
      <c r="LSG8" s="2"/>
      <c r="LSH8" s="2"/>
      <c r="LSI8" s="2"/>
      <c r="LSJ8" s="2"/>
      <c r="LSK8" s="2"/>
      <c r="LSL8" s="2"/>
      <c r="LSM8" s="2"/>
      <c r="LSN8" s="2"/>
      <c r="LSO8" s="2"/>
      <c r="LSP8" s="2"/>
      <c r="LSQ8" s="2"/>
      <c r="LSR8" s="2"/>
      <c r="LSS8" s="2"/>
      <c r="LST8" s="2"/>
      <c r="LSU8" s="2"/>
      <c r="LSV8" s="2"/>
      <c r="LSW8" s="2"/>
      <c r="LSX8" s="2"/>
      <c r="LSY8" s="2"/>
      <c r="LSZ8" s="2"/>
      <c r="LTA8" s="2"/>
      <c r="LTB8" s="2"/>
      <c r="LTC8" s="2"/>
      <c r="LTD8" s="2"/>
      <c r="LTE8" s="2"/>
      <c r="LTF8" s="2"/>
      <c r="LTG8" s="2"/>
      <c r="LTH8" s="2"/>
      <c r="LTI8" s="2"/>
      <c r="LTJ8" s="2"/>
      <c r="LTK8" s="2"/>
      <c r="LTL8" s="2"/>
      <c r="LTM8" s="2"/>
      <c r="LTN8" s="2"/>
      <c r="LTO8" s="2"/>
      <c r="LTP8" s="2"/>
      <c r="LTQ8" s="2"/>
      <c r="LTR8" s="2"/>
      <c r="LTS8" s="2"/>
      <c r="LTT8" s="2"/>
      <c r="LTU8" s="2"/>
      <c r="LTV8" s="2"/>
      <c r="LTW8" s="2"/>
      <c r="LTX8" s="2"/>
      <c r="LTY8" s="2"/>
      <c r="LTZ8" s="2"/>
      <c r="LUA8" s="2"/>
      <c r="LUB8" s="2"/>
      <c r="LUC8" s="2"/>
      <c r="LUD8" s="2"/>
      <c r="LUE8" s="2"/>
      <c r="LUF8" s="2"/>
      <c r="LUG8" s="2"/>
      <c r="LUH8" s="2"/>
      <c r="LUI8" s="2"/>
      <c r="LUJ8" s="2"/>
      <c r="LUK8" s="2"/>
      <c r="LUL8" s="2"/>
      <c r="LUM8" s="2"/>
      <c r="LUN8" s="2"/>
      <c r="LUO8" s="2"/>
      <c r="LUP8" s="2"/>
      <c r="LUQ8" s="2"/>
      <c r="LUR8" s="2"/>
      <c r="LUS8" s="2"/>
      <c r="LUT8" s="2"/>
      <c r="LUU8" s="2"/>
      <c r="LUV8" s="2"/>
      <c r="LUW8" s="2"/>
      <c r="LUX8" s="2"/>
      <c r="LUY8" s="2"/>
      <c r="LUZ8" s="2"/>
      <c r="LVA8" s="2"/>
      <c r="LVB8" s="2"/>
      <c r="LVC8" s="2"/>
      <c r="LVD8" s="2"/>
      <c r="LVE8" s="2"/>
      <c r="LVF8" s="2"/>
      <c r="LVG8" s="2"/>
      <c r="LVH8" s="2"/>
      <c r="LVI8" s="2"/>
      <c r="LVJ8" s="2"/>
      <c r="LVK8" s="2"/>
      <c r="LVL8" s="2"/>
      <c r="LVM8" s="2"/>
      <c r="LVN8" s="2"/>
      <c r="LVO8" s="2"/>
      <c r="LVP8" s="2"/>
      <c r="LVQ8" s="2"/>
      <c r="LVR8" s="2"/>
      <c r="LVS8" s="2"/>
      <c r="LVT8" s="2"/>
      <c r="LVU8" s="2"/>
      <c r="LVV8" s="2"/>
      <c r="LVW8" s="2"/>
      <c r="LVX8" s="2"/>
      <c r="LVY8" s="2"/>
      <c r="LVZ8" s="2"/>
      <c r="LWA8" s="2"/>
      <c r="LWB8" s="2"/>
      <c r="LWC8" s="2"/>
      <c r="LWD8" s="2"/>
      <c r="LWE8" s="2"/>
      <c r="LWF8" s="2"/>
      <c r="LWG8" s="2"/>
      <c r="LWH8" s="2"/>
      <c r="LWI8" s="2"/>
      <c r="LWJ8" s="2"/>
      <c r="LWK8" s="2"/>
      <c r="LWL8" s="2"/>
      <c r="LWM8" s="2"/>
      <c r="LWN8" s="2"/>
      <c r="LWO8" s="2"/>
      <c r="LWP8" s="2"/>
      <c r="LWQ8" s="2"/>
      <c r="LWR8" s="2"/>
      <c r="LWS8" s="2"/>
      <c r="LWT8" s="2"/>
      <c r="LWU8" s="2"/>
      <c r="LWV8" s="2"/>
      <c r="LWW8" s="2"/>
      <c r="LWX8" s="2"/>
      <c r="LWY8" s="2"/>
      <c r="LWZ8" s="2"/>
      <c r="LXA8" s="2"/>
      <c r="LXB8" s="2"/>
      <c r="LXC8" s="2"/>
      <c r="LXD8" s="2"/>
      <c r="LXE8" s="2"/>
      <c r="LXF8" s="2"/>
      <c r="LXG8" s="2"/>
      <c r="LXH8" s="2"/>
      <c r="LXI8" s="2"/>
      <c r="LXJ8" s="2"/>
      <c r="LXK8" s="2"/>
      <c r="LXL8" s="2"/>
      <c r="LXM8" s="2"/>
      <c r="LXN8" s="2"/>
      <c r="LXO8" s="2"/>
      <c r="LXP8" s="2"/>
      <c r="LXQ8" s="2"/>
      <c r="LXR8" s="2"/>
      <c r="LXS8" s="2"/>
      <c r="LXT8" s="2"/>
      <c r="LXU8" s="2"/>
      <c r="LXV8" s="2"/>
      <c r="LXW8" s="2"/>
      <c r="LXX8" s="2"/>
      <c r="LXY8" s="2"/>
      <c r="LXZ8" s="2"/>
      <c r="LYA8" s="2"/>
      <c r="LYB8" s="2"/>
      <c r="LYC8" s="2"/>
      <c r="LYD8" s="2"/>
      <c r="LYE8" s="2"/>
      <c r="LYF8" s="2"/>
      <c r="LYG8" s="2"/>
      <c r="LYH8" s="2"/>
      <c r="LYI8" s="2"/>
      <c r="LYJ8" s="2"/>
      <c r="LYK8" s="2"/>
      <c r="LYL8" s="2"/>
      <c r="LYM8" s="2"/>
      <c r="LYN8" s="2"/>
      <c r="LYO8" s="2"/>
      <c r="LYP8" s="2"/>
      <c r="LYQ8" s="2"/>
      <c r="LYR8" s="2"/>
      <c r="LYS8" s="2"/>
      <c r="LYT8" s="2"/>
      <c r="LYU8" s="2"/>
      <c r="LYV8" s="2"/>
      <c r="LYW8" s="2"/>
      <c r="LYX8" s="2"/>
      <c r="LYY8" s="2"/>
      <c r="LYZ8" s="2"/>
      <c r="LZA8" s="2"/>
      <c r="LZB8" s="2"/>
      <c r="LZC8" s="2"/>
      <c r="LZD8" s="2"/>
      <c r="LZE8" s="2"/>
      <c r="LZF8" s="2"/>
      <c r="LZG8" s="2"/>
      <c r="LZH8" s="2"/>
      <c r="LZI8" s="2"/>
      <c r="LZJ8" s="2"/>
      <c r="LZK8" s="2"/>
      <c r="LZL8" s="2"/>
      <c r="LZM8" s="2"/>
      <c r="LZN8" s="2"/>
      <c r="LZO8" s="2"/>
      <c r="LZP8" s="2"/>
      <c r="LZQ8" s="2"/>
      <c r="LZR8" s="2"/>
      <c r="LZS8" s="2"/>
      <c r="LZT8" s="2"/>
      <c r="LZU8" s="2"/>
      <c r="LZV8" s="2"/>
      <c r="LZW8" s="2"/>
      <c r="LZX8" s="2"/>
      <c r="LZY8" s="2"/>
      <c r="LZZ8" s="2"/>
      <c r="MAA8" s="2"/>
      <c r="MAB8" s="2"/>
      <c r="MAC8" s="2"/>
      <c r="MAD8" s="2"/>
      <c r="MAE8" s="2"/>
      <c r="MAF8" s="2"/>
      <c r="MAG8" s="2"/>
      <c r="MAH8" s="2"/>
      <c r="MAI8" s="2"/>
      <c r="MAJ8" s="2"/>
      <c r="MAK8" s="2"/>
      <c r="MAL8" s="2"/>
      <c r="MAM8" s="2"/>
      <c r="MAN8" s="2"/>
      <c r="MAO8" s="2"/>
      <c r="MAP8" s="2"/>
      <c r="MAQ8" s="2"/>
      <c r="MAR8" s="2"/>
      <c r="MAS8" s="2"/>
      <c r="MAT8" s="2"/>
      <c r="MAU8" s="2"/>
      <c r="MAV8" s="2"/>
      <c r="MAW8" s="2"/>
      <c r="MAX8" s="2"/>
      <c r="MAY8" s="2"/>
      <c r="MAZ8" s="2"/>
      <c r="MBA8" s="2"/>
      <c r="MBB8" s="2"/>
      <c r="MBC8" s="2"/>
      <c r="MBD8" s="2"/>
      <c r="MBE8" s="2"/>
      <c r="MBF8" s="2"/>
      <c r="MBG8" s="2"/>
      <c r="MBH8" s="2"/>
      <c r="MBI8" s="2"/>
      <c r="MBJ8" s="2"/>
      <c r="MBK8" s="2"/>
      <c r="MBL8" s="2"/>
      <c r="MBM8" s="2"/>
      <c r="MBN8" s="2"/>
      <c r="MBO8" s="2"/>
      <c r="MBP8" s="2"/>
      <c r="MBQ8" s="2"/>
      <c r="MBR8" s="2"/>
      <c r="MBS8" s="2"/>
      <c r="MBT8" s="2"/>
      <c r="MBU8" s="2"/>
      <c r="MBV8" s="2"/>
      <c r="MBW8" s="2"/>
      <c r="MBX8" s="2"/>
      <c r="MBY8" s="2"/>
      <c r="MBZ8" s="2"/>
      <c r="MCA8" s="2"/>
      <c r="MCB8" s="2"/>
      <c r="MCC8" s="2"/>
      <c r="MCD8" s="2"/>
      <c r="MCE8" s="2"/>
      <c r="MCF8" s="2"/>
      <c r="MCG8" s="2"/>
      <c r="MCH8" s="2"/>
      <c r="MCI8" s="2"/>
      <c r="MCJ8" s="2"/>
      <c r="MCK8" s="2"/>
      <c r="MCL8" s="2"/>
      <c r="MCM8" s="2"/>
      <c r="MCN8" s="2"/>
      <c r="MCO8" s="2"/>
      <c r="MCP8" s="2"/>
      <c r="MCQ8" s="2"/>
      <c r="MCR8" s="2"/>
      <c r="MCS8" s="2"/>
      <c r="MCT8" s="2"/>
      <c r="MCU8" s="2"/>
      <c r="MCV8" s="2"/>
      <c r="MCW8" s="2"/>
      <c r="MCX8" s="2"/>
      <c r="MCY8" s="2"/>
      <c r="MCZ8" s="2"/>
      <c r="MDA8" s="2"/>
      <c r="MDB8" s="2"/>
      <c r="MDC8" s="2"/>
      <c r="MDD8" s="2"/>
      <c r="MDE8" s="2"/>
      <c r="MDF8" s="2"/>
      <c r="MDG8" s="2"/>
      <c r="MDH8" s="2"/>
      <c r="MDI8" s="2"/>
      <c r="MDJ8" s="2"/>
      <c r="MDK8" s="2"/>
      <c r="MDL8" s="2"/>
      <c r="MDM8" s="2"/>
      <c r="MDN8" s="2"/>
      <c r="MDO8" s="2"/>
      <c r="MDP8" s="2"/>
      <c r="MDQ8" s="2"/>
      <c r="MDR8" s="2"/>
      <c r="MDS8" s="2"/>
      <c r="MDT8" s="2"/>
      <c r="MDU8" s="2"/>
      <c r="MDV8" s="2"/>
      <c r="MDW8" s="2"/>
      <c r="MDX8" s="2"/>
      <c r="MDY8" s="2"/>
      <c r="MDZ8" s="2"/>
      <c r="MEA8" s="2"/>
      <c r="MEB8" s="2"/>
      <c r="MEC8" s="2"/>
      <c r="MED8" s="2"/>
      <c r="MEE8" s="2"/>
      <c r="MEF8" s="2"/>
      <c r="MEG8" s="2"/>
      <c r="MEH8" s="2"/>
      <c r="MEI8" s="2"/>
      <c r="MEJ8" s="2"/>
      <c r="MEK8" s="2"/>
      <c r="MEL8" s="2"/>
      <c r="MEM8" s="2"/>
      <c r="MEN8" s="2"/>
      <c r="MEO8" s="2"/>
      <c r="MEP8" s="2"/>
      <c r="MEQ8" s="2"/>
      <c r="MER8" s="2"/>
      <c r="MES8" s="2"/>
      <c r="MET8" s="2"/>
      <c r="MEU8" s="2"/>
      <c r="MEV8" s="2"/>
      <c r="MEW8" s="2"/>
      <c r="MEX8" s="2"/>
      <c r="MEY8" s="2"/>
      <c r="MEZ8" s="2"/>
      <c r="MFA8" s="2"/>
      <c r="MFB8" s="2"/>
      <c r="MFC8" s="2"/>
      <c r="MFD8" s="2"/>
      <c r="MFE8" s="2"/>
      <c r="MFF8" s="2"/>
      <c r="MFG8" s="2"/>
      <c r="MFH8" s="2"/>
      <c r="MFI8" s="2"/>
      <c r="MFJ8" s="2"/>
      <c r="MFK8" s="2"/>
      <c r="MFL8" s="2"/>
      <c r="MFM8" s="2"/>
      <c r="MFN8" s="2"/>
      <c r="MFO8" s="2"/>
      <c r="MFP8" s="2"/>
      <c r="MFQ8" s="2"/>
      <c r="MFR8" s="2"/>
      <c r="MFS8" s="2"/>
      <c r="MFT8" s="2"/>
      <c r="MFU8" s="2"/>
      <c r="MFV8" s="2"/>
      <c r="MFW8" s="2"/>
      <c r="MFX8" s="2"/>
      <c r="MFY8" s="2"/>
      <c r="MFZ8" s="2"/>
      <c r="MGA8" s="2"/>
      <c r="MGB8" s="2"/>
      <c r="MGC8" s="2"/>
      <c r="MGD8" s="2"/>
      <c r="MGE8" s="2"/>
      <c r="MGF8" s="2"/>
      <c r="MGG8" s="2"/>
      <c r="MGH8" s="2"/>
      <c r="MGI8" s="2"/>
      <c r="MGJ8" s="2"/>
      <c r="MGK8" s="2"/>
      <c r="MGL8" s="2"/>
      <c r="MGM8" s="2"/>
      <c r="MGN8" s="2"/>
      <c r="MGO8" s="2"/>
      <c r="MGP8" s="2"/>
      <c r="MGQ8" s="2"/>
      <c r="MGR8" s="2"/>
      <c r="MGS8" s="2"/>
      <c r="MGT8" s="2"/>
      <c r="MGU8" s="2"/>
      <c r="MGV8" s="2"/>
      <c r="MGW8" s="2"/>
      <c r="MGX8" s="2"/>
      <c r="MGY8" s="2"/>
      <c r="MGZ8" s="2"/>
      <c r="MHA8" s="2"/>
      <c r="MHB8" s="2"/>
      <c r="MHC8" s="2"/>
      <c r="MHD8" s="2"/>
      <c r="MHE8" s="2"/>
      <c r="MHF8" s="2"/>
      <c r="MHG8" s="2"/>
      <c r="MHH8" s="2"/>
      <c r="MHI8" s="2"/>
      <c r="MHJ8" s="2"/>
      <c r="MHK8" s="2"/>
      <c r="MHL8" s="2"/>
      <c r="MHM8" s="2"/>
      <c r="MHN8" s="2"/>
      <c r="MHO8" s="2"/>
      <c r="MHP8" s="2"/>
      <c r="MHQ8" s="2"/>
      <c r="MHR8" s="2"/>
      <c r="MHS8" s="2"/>
      <c r="MHT8" s="2"/>
      <c r="MHU8" s="2"/>
      <c r="MHV8" s="2"/>
      <c r="MHW8" s="2"/>
      <c r="MHX8" s="2"/>
      <c r="MHY8" s="2"/>
      <c r="MHZ8" s="2"/>
      <c r="MIA8" s="2"/>
      <c r="MIB8" s="2"/>
      <c r="MIC8" s="2"/>
      <c r="MID8" s="2"/>
      <c r="MIE8" s="2"/>
      <c r="MIF8" s="2"/>
      <c r="MIG8" s="2"/>
      <c r="MIH8" s="2"/>
      <c r="MII8" s="2"/>
      <c r="MIJ8" s="2"/>
      <c r="MIK8" s="2"/>
      <c r="MIL8" s="2"/>
      <c r="MIM8" s="2"/>
      <c r="MIN8" s="2"/>
      <c r="MIO8" s="2"/>
      <c r="MIP8" s="2"/>
      <c r="MIQ8" s="2"/>
      <c r="MIR8" s="2"/>
      <c r="MIS8" s="2"/>
      <c r="MIT8" s="2"/>
      <c r="MIU8" s="2"/>
      <c r="MIV8" s="2"/>
      <c r="MIW8" s="2"/>
      <c r="MIX8" s="2"/>
      <c r="MIY8" s="2"/>
      <c r="MIZ8" s="2"/>
      <c r="MJA8" s="2"/>
      <c r="MJB8" s="2"/>
      <c r="MJC8" s="2"/>
      <c r="MJD8" s="2"/>
      <c r="MJE8" s="2"/>
      <c r="MJF8" s="2"/>
      <c r="MJG8" s="2"/>
      <c r="MJH8" s="2"/>
      <c r="MJI8" s="2"/>
      <c r="MJJ8" s="2"/>
      <c r="MJK8" s="2"/>
      <c r="MJL8" s="2"/>
      <c r="MJM8" s="2"/>
      <c r="MJN8" s="2"/>
      <c r="MJO8" s="2"/>
      <c r="MJP8" s="2"/>
      <c r="MJQ8" s="2"/>
      <c r="MJR8" s="2"/>
      <c r="MJS8" s="2"/>
      <c r="MJT8" s="2"/>
      <c r="MJU8" s="2"/>
      <c r="MJV8" s="2"/>
      <c r="MJW8" s="2"/>
      <c r="MJX8" s="2"/>
      <c r="MJY8" s="2"/>
      <c r="MJZ8" s="2"/>
      <c r="MKA8" s="2"/>
      <c r="MKB8" s="2"/>
      <c r="MKC8" s="2"/>
      <c r="MKD8" s="2"/>
      <c r="MKE8" s="2"/>
      <c r="MKF8" s="2"/>
      <c r="MKG8" s="2"/>
      <c r="MKH8" s="2"/>
      <c r="MKI8" s="2"/>
      <c r="MKJ8" s="2"/>
      <c r="MKK8" s="2"/>
      <c r="MKL8" s="2"/>
      <c r="MKM8" s="2"/>
      <c r="MKN8" s="2"/>
      <c r="MKO8" s="2"/>
      <c r="MKP8" s="2"/>
      <c r="MKQ8" s="2"/>
      <c r="MKR8" s="2"/>
      <c r="MKS8" s="2"/>
      <c r="MKT8" s="2"/>
      <c r="MKU8" s="2"/>
      <c r="MKV8" s="2"/>
      <c r="MKW8" s="2"/>
      <c r="MKX8" s="2"/>
      <c r="MKY8" s="2"/>
      <c r="MKZ8" s="2"/>
      <c r="MLA8" s="2"/>
      <c r="MLB8" s="2"/>
      <c r="MLC8" s="2"/>
      <c r="MLD8" s="2"/>
      <c r="MLE8" s="2"/>
      <c r="MLF8" s="2"/>
      <c r="MLG8" s="2"/>
      <c r="MLH8" s="2"/>
      <c r="MLI8" s="2"/>
      <c r="MLJ8" s="2"/>
      <c r="MLK8" s="2"/>
      <c r="MLL8" s="2"/>
      <c r="MLM8" s="2"/>
      <c r="MLN8" s="2"/>
      <c r="MLO8" s="2"/>
      <c r="MLP8" s="2"/>
      <c r="MLQ8" s="2"/>
      <c r="MLR8" s="2"/>
      <c r="MLS8" s="2"/>
      <c r="MLT8" s="2"/>
      <c r="MLU8" s="2"/>
      <c r="MLV8" s="2"/>
      <c r="MLW8" s="2"/>
      <c r="MLX8" s="2"/>
      <c r="MLY8" s="2"/>
      <c r="MLZ8" s="2"/>
      <c r="MMA8" s="2"/>
      <c r="MMB8" s="2"/>
      <c r="MMC8" s="2"/>
      <c r="MMD8" s="2"/>
      <c r="MME8" s="2"/>
      <c r="MMF8" s="2"/>
      <c r="MMG8" s="2"/>
      <c r="MMH8" s="2"/>
      <c r="MMI8" s="2"/>
      <c r="MMJ8" s="2"/>
      <c r="MMK8" s="2"/>
      <c r="MML8" s="2"/>
      <c r="MMM8" s="2"/>
      <c r="MMN8" s="2"/>
      <c r="MMO8" s="2"/>
      <c r="MMP8" s="2"/>
      <c r="MMQ8" s="2"/>
      <c r="MMR8" s="2"/>
      <c r="MMS8" s="2"/>
      <c r="MMT8" s="2"/>
      <c r="MMU8" s="2"/>
      <c r="MMV8" s="2"/>
      <c r="MMW8" s="2"/>
      <c r="MMX8" s="2"/>
      <c r="MMY8" s="2"/>
      <c r="MMZ8" s="2"/>
      <c r="MNA8" s="2"/>
      <c r="MNB8" s="2"/>
      <c r="MNC8" s="2"/>
      <c r="MND8" s="2"/>
      <c r="MNE8" s="2"/>
      <c r="MNF8" s="2"/>
      <c r="MNG8" s="2"/>
      <c r="MNH8" s="2"/>
      <c r="MNI8" s="2"/>
      <c r="MNJ8" s="2"/>
      <c r="MNK8" s="2"/>
      <c r="MNL8" s="2"/>
      <c r="MNM8" s="2"/>
      <c r="MNN8" s="2"/>
      <c r="MNO8" s="2"/>
      <c r="MNP8" s="2"/>
      <c r="MNQ8" s="2"/>
      <c r="MNR8" s="2"/>
      <c r="MNS8" s="2"/>
      <c r="MNT8" s="2"/>
      <c r="MNU8" s="2"/>
      <c r="MNV8" s="2"/>
      <c r="MNW8" s="2"/>
      <c r="MNX8" s="2"/>
      <c r="MNY8" s="2"/>
      <c r="MNZ8" s="2"/>
      <c r="MOA8" s="2"/>
      <c r="MOB8" s="2"/>
      <c r="MOC8" s="2"/>
      <c r="MOD8" s="2"/>
      <c r="MOE8" s="2"/>
      <c r="MOF8" s="2"/>
      <c r="MOG8" s="2"/>
      <c r="MOH8" s="2"/>
      <c r="MOI8" s="2"/>
      <c r="MOJ8" s="2"/>
      <c r="MOK8" s="2"/>
      <c r="MOL8" s="2"/>
      <c r="MOM8" s="2"/>
      <c r="MON8" s="2"/>
      <c r="MOO8" s="2"/>
      <c r="MOP8" s="2"/>
      <c r="MOQ8" s="2"/>
      <c r="MOR8" s="2"/>
      <c r="MOS8" s="2"/>
      <c r="MOT8" s="2"/>
      <c r="MOU8" s="2"/>
      <c r="MOV8" s="2"/>
      <c r="MOW8" s="2"/>
      <c r="MOX8" s="2"/>
      <c r="MOY8" s="2"/>
      <c r="MOZ8" s="2"/>
      <c r="MPA8" s="2"/>
      <c r="MPB8" s="2"/>
      <c r="MPC8" s="2"/>
      <c r="MPD8" s="2"/>
      <c r="MPE8" s="2"/>
      <c r="MPF8" s="2"/>
      <c r="MPG8" s="2"/>
      <c r="MPH8" s="2"/>
      <c r="MPI8" s="2"/>
      <c r="MPJ8" s="2"/>
      <c r="MPK8" s="2"/>
      <c r="MPL8" s="2"/>
      <c r="MPM8" s="2"/>
      <c r="MPN8" s="2"/>
      <c r="MPO8" s="2"/>
      <c r="MPP8" s="2"/>
      <c r="MPQ8" s="2"/>
      <c r="MPR8" s="2"/>
      <c r="MPS8" s="2"/>
      <c r="MPT8" s="2"/>
      <c r="MPU8" s="2"/>
      <c r="MPV8" s="2"/>
      <c r="MPW8" s="2"/>
      <c r="MPX8" s="2"/>
      <c r="MPY8" s="2"/>
      <c r="MPZ8" s="2"/>
      <c r="MQA8" s="2"/>
      <c r="MQB8" s="2"/>
      <c r="MQC8" s="2"/>
      <c r="MQD8" s="2"/>
      <c r="MQE8" s="2"/>
      <c r="MQF8" s="2"/>
      <c r="MQG8" s="2"/>
      <c r="MQH8" s="2"/>
      <c r="MQI8" s="2"/>
      <c r="MQJ8" s="2"/>
      <c r="MQK8" s="2"/>
      <c r="MQL8" s="2"/>
      <c r="MQM8" s="2"/>
      <c r="MQN8" s="2"/>
      <c r="MQO8" s="2"/>
      <c r="MQP8" s="2"/>
      <c r="MQQ8" s="2"/>
      <c r="MQR8" s="2"/>
      <c r="MQS8" s="2"/>
      <c r="MQT8" s="2"/>
      <c r="MQU8" s="2"/>
      <c r="MQV8" s="2"/>
      <c r="MQW8" s="2"/>
      <c r="MQX8" s="2"/>
      <c r="MQY8" s="2"/>
      <c r="MQZ8" s="2"/>
      <c r="MRA8" s="2"/>
      <c r="MRB8" s="2"/>
      <c r="MRC8" s="2"/>
      <c r="MRD8" s="2"/>
      <c r="MRE8" s="2"/>
      <c r="MRF8" s="2"/>
      <c r="MRG8" s="2"/>
      <c r="MRH8" s="2"/>
      <c r="MRI8" s="2"/>
      <c r="MRJ8" s="2"/>
      <c r="MRK8" s="2"/>
      <c r="MRL8" s="2"/>
      <c r="MRM8" s="2"/>
      <c r="MRN8" s="2"/>
      <c r="MRO8" s="2"/>
      <c r="MRP8" s="2"/>
      <c r="MRQ8" s="2"/>
      <c r="MRR8" s="2"/>
      <c r="MRS8" s="2"/>
      <c r="MRT8" s="2"/>
      <c r="MRU8" s="2"/>
      <c r="MRV8" s="2"/>
      <c r="MRW8" s="2"/>
      <c r="MRX8" s="2"/>
      <c r="MRY8" s="2"/>
      <c r="MRZ8" s="2"/>
      <c r="MSA8" s="2"/>
      <c r="MSB8" s="2"/>
      <c r="MSC8" s="2"/>
      <c r="MSD8" s="2"/>
      <c r="MSE8" s="2"/>
      <c r="MSF8" s="2"/>
      <c r="MSG8" s="2"/>
      <c r="MSH8" s="2"/>
      <c r="MSI8" s="2"/>
      <c r="MSJ8" s="2"/>
      <c r="MSK8" s="2"/>
      <c r="MSL8" s="2"/>
      <c r="MSM8" s="2"/>
      <c r="MSN8" s="2"/>
      <c r="MSO8" s="2"/>
      <c r="MSP8" s="2"/>
      <c r="MSQ8" s="2"/>
      <c r="MSR8" s="2"/>
      <c r="MSS8" s="2"/>
      <c r="MST8" s="2"/>
      <c r="MSU8" s="2"/>
      <c r="MSV8" s="2"/>
      <c r="MSW8" s="2"/>
      <c r="MSX8" s="2"/>
      <c r="MSY8" s="2"/>
      <c r="MSZ8" s="2"/>
      <c r="MTA8" s="2"/>
      <c r="MTB8" s="2"/>
      <c r="MTC8" s="2"/>
      <c r="MTD8" s="2"/>
      <c r="MTE8" s="2"/>
      <c r="MTF8" s="2"/>
      <c r="MTG8" s="2"/>
      <c r="MTH8" s="2"/>
      <c r="MTI8" s="2"/>
      <c r="MTJ8" s="2"/>
      <c r="MTK8" s="2"/>
      <c r="MTL8" s="2"/>
      <c r="MTM8" s="2"/>
      <c r="MTN8" s="2"/>
      <c r="MTO8" s="2"/>
      <c r="MTP8" s="2"/>
      <c r="MTQ8" s="2"/>
      <c r="MTR8" s="2"/>
      <c r="MTS8" s="2"/>
      <c r="MTT8" s="2"/>
      <c r="MTU8" s="2"/>
      <c r="MTV8" s="2"/>
      <c r="MTW8" s="2"/>
      <c r="MTX8" s="2"/>
      <c r="MTY8" s="2"/>
      <c r="MTZ8" s="2"/>
      <c r="MUA8" s="2"/>
      <c r="MUB8" s="2"/>
      <c r="MUC8" s="2"/>
      <c r="MUD8" s="2"/>
      <c r="MUE8" s="2"/>
      <c r="MUF8" s="2"/>
      <c r="MUG8" s="2"/>
      <c r="MUH8" s="2"/>
      <c r="MUI8" s="2"/>
      <c r="MUJ8" s="2"/>
      <c r="MUK8" s="2"/>
      <c r="MUL8" s="2"/>
      <c r="MUM8" s="2"/>
      <c r="MUN8" s="2"/>
      <c r="MUO8" s="2"/>
      <c r="MUP8" s="2"/>
      <c r="MUQ8" s="2"/>
      <c r="MUR8" s="2"/>
      <c r="MUS8" s="2"/>
      <c r="MUT8" s="2"/>
      <c r="MUU8" s="2"/>
      <c r="MUV8" s="2"/>
      <c r="MUW8" s="2"/>
      <c r="MUX8" s="2"/>
      <c r="MUY8" s="2"/>
      <c r="MUZ8" s="2"/>
      <c r="MVA8" s="2"/>
      <c r="MVB8" s="2"/>
      <c r="MVC8" s="2"/>
      <c r="MVD8" s="2"/>
      <c r="MVE8" s="2"/>
      <c r="MVF8" s="2"/>
      <c r="MVG8" s="2"/>
      <c r="MVH8" s="2"/>
      <c r="MVI8" s="2"/>
      <c r="MVJ8" s="2"/>
      <c r="MVK8" s="2"/>
      <c r="MVL8" s="2"/>
      <c r="MVM8" s="2"/>
      <c r="MVN8" s="2"/>
      <c r="MVO8" s="2"/>
      <c r="MVP8" s="2"/>
      <c r="MVQ8" s="2"/>
      <c r="MVR8" s="2"/>
      <c r="MVS8" s="2"/>
      <c r="MVT8" s="2"/>
      <c r="MVU8" s="2"/>
      <c r="MVV8" s="2"/>
      <c r="MVW8" s="2"/>
      <c r="MVX8" s="2"/>
      <c r="MVY8" s="2"/>
      <c r="MVZ8" s="2"/>
      <c r="MWA8" s="2"/>
      <c r="MWB8" s="2"/>
      <c r="MWC8" s="2"/>
      <c r="MWD8" s="2"/>
      <c r="MWE8" s="2"/>
      <c r="MWF8" s="2"/>
      <c r="MWG8" s="2"/>
      <c r="MWH8" s="2"/>
      <c r="MWI8" s="2"/>
      <c r="MWJ8" s="2"/>
      <c r="MWK8" s="2"/>
      <c r="MWL8" s="2"/>
      <c r="MWM8" s="2"/>
      <c r="MWN8" s="2"/>
      <c r="MWO8" s="2"/>
      <c r="MWP8" s="2"/>
      <c r="MWQ8" s="2"/>
      <c r="MWR8" s="2"/>
      <c r="MWS8" s="2"/>
      <c r="MWT8" s="2"/>
      <c r="MWU8" s="2"/>
      <c r="MWV8" s="2"/>
      <c r="MWW8" s="2"/>
      <c r="MWX8" s="2"/>
      <c r="MWY8" s="2"/>
      <c r="MWZ8" s="2"/>
      <c r="MXA8" s="2"/>
      <c r="MXB8" s="2"/>
      <c r="MXC8" s="2"/>
      <c r="MXD8" s="2"/>
      <c r="MXE8" s="2"/>
      <c r="MXF8" s="2"/>
      <c r="MXG8" s="2"/>
      <c r="MXH8" s="2"/>
      <c r="MXI8" s="2"/>
      <c r="MXJ8" s="2"/>
      <c r="MXK8" s="2"/>
      <c r="MXL8" s="2"/>
      <c r="MXM8" s="2"/>
      <c r="MXN8" s="2"/>
      <c r="MXO8" s="2"/>
      <c r="MXP8" s="2"/>
      <c r="MXQ8" s="2"/>
      <c r="MXR8" s="2"/>
      <c r="MXS8" s="2"/>
      <c r="MXT8" s="2"/>
      <c r="MXU8" s="2"/>
      <c r="MXV8" s="2"/>
      <c r="MXW8" s="2"/>
      <c r="MXX8" s="2"/>
      <c r="MXY8" s="2"/>
      <c r="MXZ8" s="2"/>
      <c r="MYA8" s="2"/>
      <c r="MYB8" s="2"/>
      <c r="MYC8" s="2"/>
      <c r="MYD8" s="2"/>
      <c r="MYE8" s="2"/>
      <c r="MYF8" s="2"/>
      <c r="MYG8" s="2"/>
      <c r="MYH8" s="2"/>
      <c r="MYI8" s="2"/>
      <c r="MYJ8" s="2"/>
      <c r="MYK8" s="2"/>
      <c r="MYL8" s="2"/>
      <c r="MYM8" s="2"/>
      <c r="MYN8" s="2"/>
      <c r="MYO8" s="2"/>
      <c r="MYP8" s="2"/>
      <c r="MYQ8" s="2"/>
      <c r="MYR8" s="2"/>
      <c r="MYS8" s="2"/>
      <c r="MYT8" s="2"/>
      <c r="MYU8" s="2"/>
      <c r="MYV8" s="2"/>
      <c r="MYW8" s="2"/>
      <c r="MYX8" s="2"/>
      <c r="MYY8" s="2"/>
      <c r="MYZ8" s="2"/>
      <c r="MZA8" s="2"/>
      <c r="MZB8" s="2"/>
      <c r="MZC8" s="2"/>
      <c r="MZD8" s="2"/>
      <c r="MZE8" s="2"/>
      <c r="MZF8" s="2"/>
      <c r="MZG8" s="2"/>
      <c r="MZH8" s="2"/>
      <c r="MZI8" s="2"/>
      <c r="MZJ8" s="2"/>
      <c r="MZK8" s="2"/>
      <c r="MZL8" s="2"/>
      <c r="MZM8" s="2"/>
      <c r="MZN8" s="2"/>
      <c r="MZO8" s="2"/>
      <c r="MZP8" s="2"/>
      <c r="MZQ8" s="2"/>
      <c r="MZR8" s="2"/>
      <c r="MZS8" s="2"/>
      <c r="MZT8" s="2"/>
      <c r="MZU8" s="2"/>
      <c r="MZV8" s="2"/>
      <c r="MZW8" s="2"/>
      <c r="MZX8" s="2"/>
      <c r="MZY8" s="2"/>
      <c r="MZZ8" s="2"/>
      <c r="NAA8" s="2"/>
      <c r="NAB8" s="2"/>
      <c r="NAC8" s="2"/>
      <c r="NAD8" s="2"/>
      <c r="NAE8" s="2"/>
      <c r="NAF8" s="2"/>
      <c r="NAG8" s="2"/>
      <c r="NAH8" s="2"/>
      <c r="NAI8" s="2"/>
      <c r="NAJ8" s="2"/>
      <c r="NAK8" s="2"/>
      <c r="NAL8" s="2"/>
      <c r="NAM8" s="2"/>
      <c r="NAN8" s="2"/>
      <c r="NAO8" s="2"/>
      <c r="NAP8" s="2"/>
      <c r="NAQ8" s="2"/>
      <c r="NAR8" s="2"/>
      <c r="NAS8" s="2"/>
      <c r="NAT8" s="2"/>
      <c r="NAU8" s="2"/>
      <c r="NAV8" s="2"/>
      <c r="NAW8" s="2"/>
      <c r="NAX8" s="2"/>
      <c r="NAY8" s="2"/>
      <c r="NAZ8" s="2"/>
      <c r="NBA8" s="2"/>
      <c r="NBB8" s="2"/>
      <c r="NBC8" s="2"/>
      <c r="NBD8" s="2"/>
      <c r="NBE8" s="2"/>
      <c r="NBF8" s="2"/>
      <c r="NBG8" s="2"/>
      <c r="NBH8" s="2"/>
      <c r="NBI8" s="2"/>
      <c r="NBJ8" s="2"/>
      <c r="NBK8" s="2"/>
      <c r="NBL8" s="2"/>
      <c r="NBM8" s="2"/>
      <c r="NBN8" s="2"/>
      <c r="NBO8" s="2"/>
      <c r="NBP8" s="2"/>
      <c r="NBQ8" s="2"/>
      <c r="NBR8" s="2"/>
      <c r="NBS8" s="2"/>
      <c r="NBT8" s="2"/>
      <c r="NBU8" s="2"/>
      <c r="NBV8" s="2"/>
      <c r="NBW8" s="2"/>
      <c r="NBX8" s="2"/>
      <c r="NBY8" s="2"/>
      <c r="NBZ8" s="2"/>
      <c r="NCA8" s="2"/>
      <c r="NCB8" s="2"/>
      <c r="NCC8" s="2"/>
      <c r="NCD8" s="2"/>
      <c r="NCE8" s="2"/>
      <c r="NCF8" s="2"/>
      <c r="NCG8" s="2"/>
      <c r="NCH8" s="2"/>
      <c r="NCI8" s="2"/>
      <c r="NCJ8" s="2"/>
      <c r="NCK8" s="2"/>
      <c r="NCL8" s="2"/>
      <c r="NCM8" s="2"/>
      <c r="NCN8" s="2"/>
      <c r="NCO8" s="2"/>
      <c r="NCP8" s="2"/>
      <c r="NCQ8" s="2"/>
      <c r="NCR8" s="2"/>
      <c r="NCS8" s="2"/>
      <c r="NCT8" s="2"/>
      <c r="NCU8" s="2"/>
      <c r="NCV8" s="2"/>
      <c r="NCW8" s="2"/>
      <c r="NCX8" s="2"/>
      <c r="NCY8" s="2"/>
      <c r="NCZ8" s="2"/>
      <c r="NDA8" s="2"/>
      <c r="NDB8" s="2"/>
      <c r="NDC8" s="2"/>
      <c r="NDD8" s="2"/>
      <c r="NDE8" s="2"/>
      <c r="NDF8" s="2"/>
      <c r="NDG8" s="2"/>
      <c r="NDH8" s="2"/>
      <c r="NDI8" s="2"/>
      <c r="NDJ8" s="2"/>
      <c r="NDK8" s="2"/>
      <c r="NDL8" s="2"/>
      <c r="NDM8" s="2"/>
      <c r="NDN8" s="2"/>
      <c r="NDO8" s="2"/>
      <c r="NDP8" s="2"/>
      <c r="NDQ8" s="2"/>
      <c r="NDR8" s="2"/>
      <c r="NDS8" s="2"/>
      <c r="NDT8" s="2"/>
      <c r="NDU8" s="2"/>
      <c r="NDV8" s="2"/>
      <c r="NDW8" s="2"/>
      <c r="NDX8" s="2"/>
      <c r="NDY8" s="2"/>
      <c r="NDZ8" s="2"/>
      <c r="NEA8" s="2"/>
      <c r="NEB8" s="2"/>
      <c r="NEC8" s="2"/>
      <c r="NED8" s="2"/>
      <c r="NEE8" s="2"/>
      <c r="NEF8" s="2"/>
      <c r="NEG8" s="2"/>
      <c r="NEH8" s="2"/>
      <c r="NEI8" s="2"/>
      <c r="NEJ8" s="2"/>
      <c r="NEK8" s="2"/>
      <c r="NEL8" s="2"/>
      <c r="NEM8" s="2"/>
      <c r="NEN8" s="2"/>
      <c r="NEO8" s="2"/>
      <c r="NEP8" s="2"/>
      <c r="NEQ8" s="2"/>
      <c r="NER8" s="2"/>
      <c r="NES8" s="2"/>
      <c r="NET8" s="2"/>
      <c r="NEU8" s="2"/>
      <c r="NEV8" s="2"/>
      <c r="NEW8" s="2"/>
      <c r="NEX8" s="2"/>
      <c r="NEY8" s="2"/>
      <c r="NEZ8" s="2"/>
      <c r="NFA8" s="2"/>
      <c r="NFB8" s="2"/>
      <c r="NFC8" s="2"/>
      <c r="NFD8" s="2"/>
      <c r="NFE8" s="2"/>
      <c r="NFF8" s="2"/>
      <c r="NFG8" s="2"/>
      <c r="NFH8" s="2"/>
      <c r="NFI8" s="2"/>
      <c r="NFJ8" s="2"/>
      <c r="NFK8" s="2"/>
      <c r="NFL8" s="2"/>
      <c r="NFM8" s="2"/>
      <c r="NFN8" s="2"/>
      <c r="NFO8" s="2"/>
      <c r="NFP8" s="2"/>
      <c r="NFQ8" s="2"/>
      <c r="NFR8" s="2"/>
      <c r="NFS8" s="2"/>
      <c r="NFT8" s="2"/>
      <c r="NFU8" s="2"/>
      <c r="NFV8" s="2"/>
      <c r="NFW8" s="2"/>
      <c r="NFX8" s="2"/>
      <c r="NFY8" s="2"/>
      <c r="NFZ8" s="2"/>
      <c r="NGA8" s="2"/>
      <c r="NGB8" s="2"/>
      <c r="NGC8" s="2"/>
      <c r="NGD8" s="2"/>
      <c r="NGE8" s="2"/>
      <c r="NGF8" s="2"/>
      <c r="NGG8" s="2"/>
      <c r="NGH8" s="2"/>
      <c r="NGI8" s="2"/>
      <c r="NGJ8" s="2"/>
      <c r="NGK8" s="2"/>
      <c r="NGL8" s="2"/>
      <c r="NGM8" s="2"/>
      <c r="NGN8" s="2"/>
      <c r="NGO8" s="2"/>
      <c r="NGP8" s="2"/>
      <c r="NGQ8" s="2"/>
      <c r="NGR8" s="2"/>
      <c r="NGS8" s="2"/>
      <c r="NGT8" s="2"/>
      <c r="NGU8" s="2"/>
      <c r="NGV8" s="2"/>
      <c r="NGW8" s="2"/>
      <c r="NGX8" s="2"/>
      <c r="NGY8" s="2"/>
      <c r="NGZ8" s="2"/>
      <c r="NHA8" s="2"/>
      <c r="NHB8" s="2"/>
      <c r="NHC8" s="2"/>
      <c r="NHD8" s="2"/>
      <c r="NHE8" s="2"/>
      <c r="NHF8" s="2"/>
      <c r="NHG8" s="2"/>
      <c r="NHH8" s="2"/>
      <c r="NHI8" s="2"/>
      <c r="NHJ8" s="2"/>
      <c r="NHK8" s="2"/>
      <c r="NHL8" s="2"/>
      <c r="NHM8" s="2"/>
      <c r="NHN8" s="2"/>
      <c r="NHO8" s="2"/>
      <c r="NHP8" s="2"/>
      <c r="NHQ8" s="2"/>
      <c r="NHR8" s="2"/>
      <c r="NHS8" s="2"/>
      <c r="NHT8" s="2"/>
      <c r="NHU8" s="2"/>
      <c r="NHV8" s="2"/>
      <c r="NHW8" s="2"/>
      <c r="NHX8" s="2"/>
      <c r="NHY8" s="2"/>
      <c r="NHZ8" s="2"/>
      <c r="NIA8" s="2"/>
      <c r="NIB8" s="2"/>
      <c r="NIC8" s="2"/>
      <c r="NID8" s="2"/>
      <c r="NIE8" s="2"/>
      <c r="NIF8" s="2"/>
      <c r="NIG8" s="2"/>
      <c r="NIH8" s="2"/>
      <c r="NII8" s="2"/>
      <c r="NIJ8" s="2"/>
      <c r="NIK8" s="2"/>
      <c r="NIL8" s="2"/>
      <c r="NIM8" s="2"/>
      <c r="NIN8" s="2"/>
      <c r="NIO8" s="2"/>
      <c r="NIP8" s="2"/>
      <c r="NIQ8" s="2"/>
      <c r="NIR8" s="2"/>
      <c r="NIS8" s="2"/>
      <c r="NIT8" s="2"/>
      <c r="NIU8" s="2"/>
      <c r="NIV8" s="2"/>
      <c r="NIW8" s="2"/>
      <c r="NIX8" s="2"/>
      <c r="NIY8" s="2"/>
      <c r="NIZ8" s="2"/>
      <c r="NJA8" s="2"/>
      <c r="NJB8" s="2"/>
      <c r="NJC8" s="2"/>
      <c r="NJD8" s="2"/>
      <c r="NJE8" s="2"/>
      <c r="NJF8" s="2"/>
      <c r="NJG8" s="2"/>
      <c r="NJH8" s="2"/>
      <c r="NJI8" s="2"/>
      <c r="NJJ8" s="2"/>
      <c r="NJK8" s="2"/>
      <c r="NJL8" s="2"/>
      <c r="NJM8" s="2"/>
      <c r="NJN8" s="2"/>
      <c r="NJO8" s="2"/>
      <c r="NJP8" s="2"/>
      <c r="NJQ8" s="2"/>
      <c r="NJR8" s="2"/>
      <c r="NJS8" s="2"/>
      <c r="NJT8" s="2"/>
      <c r="NJU8" s="2"/>
      <c r="NJV8" s="2"/>
      <c r="NJW8" s="2"/>
      <c r="NJX8" s="2"/>
      <c r="NJY8" s="2"/>
      <c r="NJZ8" s="2"/>
      <c r="NKA8" s="2"/>
      <c r="NKB8" s="2"/>
      <c r="NKC8" s="2"/>
      <c r="NKD8" s="2"/>
      <c r="NKE8" s="2"/>
      <c r="NKF8" s="2"/>
      <c r="NKG8" s="2"/>
      <c r="NKH8" s="2"/>
      <c r="NKI8" s="2"/>
      <c r="NKJ8" s="2"/>
      <c r="NKK8" s="2"/>
      <c r="NKL8" s="2"/>
      <c r="NKM8" s="2"/>
      <c r="NKN8" s="2"/>
      <c r="NKO8" s="2"/>
      <c r="NKP8" s="2"/>
      <c r="NKQ8" s="2"/>
      <c r="NKR8" s="2"/>
      <c r="NKS8" s="2"/>
      <c r="NKT8" s="2"/>
      <c r="NKU8" s="2"/>
      <c r="NKV8" s="2"/>
      <c r="NKW8" s="2"/>
      <c r="NKX8" s="2"/>
      <c r="NKY8" s="2"/>
      <c r="NKZ8" s="2"/>
      <c r="NLA8" s="2"/>
      <c r="NLB8" s="2"/>
      <c r="NLC8" s="2"/>
      <c r="NLD8" s="2"/>
      <c r="NLE8" s="2"/>
      <c r="NLF8" s="2"/>
      <c r="NLG8" s="2"/>
      <c r="NLH8" s="2"/>
      <c r="NLI8" s="2"/>
      <c r="NLJ8" s="2"/>
      <c r="NLK8" s="2"/>
      <c r="NLL8" s="2"/>
      <c r="NLM8" s="2"/>
      <c r="NLN8" s="2"/>
      <c r="NLO8" s="2"/>
      <c r="NLP8" s="2"/>
      <c r="NLQ8" s="2"/>
      <c r="NLR8" s="2"/>
      <c r="NLS8" s="2"/>
      <c r="NLT8" s="2"/>
      <c r="NLU8" s="2"/>
      <c r="NLV8" s="2"/>
      <c r="NLW8" s="2"/>
      <c r="NLX8" s="2"/>
      <c r="NLY8" s="2"/>
      <c r="NLZ8" s="2"/>
      <c r="NMA8" s="2"/>
      <c r="NMB8" s="2"/>
      <c r="NMC8" s="2"/>
      <c r="NMD8" s="2"/>
      <c r="NME8" s="2"/>
      <c r="NMF8" s="2"/>
      <c r="NMG8" s="2"/>
      <c r="NMH8" s="2"/>
      <c r="NMI8" s="2"/>
      <c r="NMJ8" s="2"/>
      <c r="NMK8" s="2"/>
      <c r="NML8" s="2"/>
      <c r="NMM8" s="2"/>
      <c r="NMN8" s="2"/>
      <c r="NMO8" s="2"/>
      <c r="NMP8" s="2"/>
      <c r="NMQ8" s="2"/>
      <c r="NMR8" s="2"/>
      <c r="NMS8" s="2"/>
      <c r="NMT8" s="2"/>
      <c r="NMU8" s="2"/>
      <c r="NMV8" s="2"/>
      <c r="NMW8" s="2"/>
      <c r="NMX8" s="2"/>
      <c r="NMY8" s="2"/>
      <c r="NMZ8" s="2"/>
      <c r="NNA8" s="2"/>
      <c r="NNB8" s="2"/>
      <c r="NNC8" s="2"/>
      <c r="NND8" s="2"/>
      <c r="NNE8" s="2"/>
      <c r="NNF8" s="2"/>
      <c r="NNG8" s="2"/>
      <c r="NNH8" s="2"/>
      <c r="NNI8" s="2"/>
      <c r="NNJ8" s="2"/>
      <c r="NNK8" s="2"/>
      <c r="NNL8" s="2"/>
      <c r="NNM8" s="2"/>
      <c r="NNN8" s="2"/>
      <c r="NNO8" s="2"/>
      <c r="NNP8" s="2"/>
      <c r="NNQ8" s="2"/>
      <c r="NNR8" s="2"/>
      <c r="NNS8" s="2"/>
      <c r="NNT8" s="2"/>
      <c r="NNU8" s="2"/>
      <c r="NNV8" s="2"/>
      <c r="NNW8" s="2"/>
      <c r="NNX8" s="2"/>
      <c r="NNY8" s="2"/>
      <c r="NNZ8" s="2"/>
      <c r="NOA8" s="2"/>
      <c r="NOB8" s="2"/>
      <c r="NOC8" s="2"/>
      <c r="NOD8" s="2"/>
      <c r="NOE8" s="2"/>
      <c r="NOF8" s="2"/>
      <c r="NOG8" s="2"/>
      <c r="NOH8" s="2"/>
      <c r="NOI8" s="2"/>
      <c r="NOJ8" s="2"/>
      <c r="NOK8" s="2"/>
      <c r="NOL8" s="2"/>
      <c r="NOM8" s="2"/>
      <c r="NON8" s="2"/>
      <c r="NOO8" s="2"/>
      <c r="NOP8" s="2"/>
      <c r="NOQ8" s="2"/>
      <c r="NOR8" s="2"/>
      <c r="NOS8" s="2"/>
      <c r="NOT8" s="2"/>
      <c r="NOU8" s="2"/>
      <c r="NOV8" s="2"/>
      <c r="NOW8" s="2"/>
      <c r="NOX8" s="2"/>
      <c r="NOY8" s="2"/>
      <c r="NOZ8" s="2"/>
      <c r="NPA8" s="2"/>
      <c r="NPB8" s="2"/>
      <c r="NPC8" s="2"/>
      <c r="NPD8" s="2"/>
      <c r="NPE8" s="2"/>
      <c r="NPF8" s="2"/>
      <c r="NPG8" s="2"/>
      <c r="NPH8" s="2"/>
      <c r="NPI8" s="2"/>
      <c r="NPJ8" s="2"/>
      <c r="NPK8" s="2"/>
      <c r="NPL8" s="2"/>
      <c r="NPM8" s="2"/>
      <c r="NPN8" s="2"/>
      <c r="NPO8" s="2"/>
      <c r="NPP8" s="2"/>
      <c r="NPQ8" s="2"/>
      <c r="NPR8" s="2"/>
      <c r="NPS8" s="2"/>
      <c r="NPT8" s="2"/>
      <c r="NPU8" s="2"/>
      <c r="NPV8" s="2"/>
      <c r="NPW8" s="2"/>
      <c r="NPX8" s="2"/>
      <c r="NPY8" s="2"/>
      <c r="NPZ8" s="2"/>
      <c r="NQA8" s="2"/>
      <c r="NQB8" s="2"/>
      <c r="NQC8" s="2"/>
      <c r="NQD8" s="2"/>
      <c r="NQE8" s="2"/>
      <c r="NQF8" s="2"/>
      <c r="NQG8" s="2"/>
      <c r="NQH8" s="2"/>
      <c r="NQI8" s="2"/>
      <c r="NQJ8" s="2"/>
      <c r="NQK8" s="2"/>
      <c r="NQL8" s="2"/>
      <c r="NQM8" s="2"/>
      <c r="NQN8" s="2"/>
      <c r="NQO8" s="2"/>
      <c r="NQP8" s="2"/>
      <c r="NQQ8" s="2"/>
      <c r="NQR8" s="2"/>
      <c r="NQS8" s="2"/>
      <c r="NQT8" s="2"/>
      <c r="NQU8" s="2"/>
      <c r="NQV8" s="2"/>
      <c r="NQW8" s="2"/>
      <c r="NQX8" s="2"/>
      <c r="NQY8" s="2"/>
      <c r="NQZ8" s="2"/>
      <c r="NRA8" s="2"/>
      <c r="NRB8" s="2"/>
      <c r="NRC8" s="2"/>
      <c r="NRD8" s="2"/>
      <c r="NRE8" s="2"/>
      <c r="NRF8" s="2"/>
      <c r="NRG8" s="2"/>
      <c r="NRH8" s="2"/>
      <c r="NRI8" s="2"/>
      <c r="NRJ8" s="2"/>
      <c r="NRK8" s="2"/>
      <c r="NRL8" s="2"/>
      <c r="NRM8" s="2"/>
      <c r="NRN8" s="2"/>
      <c r="NRO8" s="2"/>
      <c r="NRP8" s="2"/>
      <c r="NRQ8" s="2"/>
      <c r="NRR8" s="2"/>
      <c r="NRS8" s="2"/>
      <c r="NRT8" s="2"/>
      <c r="NRU8" s="2"/>
      <c r="NRV8" s="2"/>
      <c r="NRW8" s="2"/>
      <c r="NRX8" s="2"/>
      <c r="NRY8" s="2"/>
      <c r="NRZ8" s="2"/>
      <c r="NSA8" s="2"/>
      <c r="NSB8" s="2"/>
      <c r="NSC8" s="2"/>
      <c r="NSD8" s="2"/>
      <c r="NSE8" s="2"/>
      <c r="NSF8" s="2"/>
      <c r="NSG8" s="2"/>
      <c r="NSH8" s="2"/>
      <c r="NSI8" s="2"/>
      <c r="NSJ8" s="2"/>
      <c r="NSK8" s="2"/>
      <c r="NSL8" s="2"/>
      <c r="NSM8" s="2"/>
      <c r="NSN8" s="2"/>
      <c r="NSO8" s="2"/>
      <c r="NSP8" s="2"/>
      <c r="NSQ8" s="2"/>
      <c r="NSR8" s="2"/>
      <c r="NSS8" s="2"/>
      <c r="NST8" s="2"/>
      <c r="NSU8" s="2"/>
      <c r="NSV8" s="2"/>
      <c r="NSW8" s="2"/>
      <c r="NSX8" s="2"/>
      <c r="NSY8" s="2"/>
      <c r="NSZ8" s="2"/>
      <c r="NTA8" s="2"/>
      <c r="NTB8" s="2"/>
      <c r="NTC8" s="2"/>
      <c r="NTD8" s="2"/>
      <c r="NTE8" s="2"/>
      <c r="NTF8" s="2"/>
      <c r="NTG8" s="2"/>
      <c r="NTH8" s="2"/>
      <c r="NTI8" s="2"/>
      <c r="NTJ8" s="2"/>
      <c r="NTK8" s="2"/>
      <c r="NTL8" s="2"/>
      <c r="NTM8" s="2"/>
      <c r="NTN8" s="2"/>
      <c r="NTO8" s="2"/>
      <c r="NTP8" s="2"/>
      <c r="NTQ8" s="2"/>
      <c r="NTR8" s="2"/>
      <c r="NTS8" s="2"/>
      <c r="NTT8" s="2"/>
      <c r="NTU8" s="2"/>
      <c r="NTV8" s="2"/>
      <c r="NTW8" s="2"/>
      <c r="NTX8" s="2"/>
      <c r="NTY8" s="2"/>
      <c r="NTZ8" s="2"/>
      <c r="NUA8" s="2"/>
      <c r="NUB8" s="2"/>
      <c r="NUC8" s="2"/>
      <c r="NUD8" s="2"/>
      <c r="NUE8" s="2"/>
      <c r="NUF8" s="2"/>
      <c r="NUG8" s="2"/>
      <c r="NUH8" s="2"/>
      <c r="NUI8" s="2"/>
      <c r="NUJ8" s="2"/>
      <c r="NUK8" s="2"/>
      <c r="NUL8" s="2"/>
      <c r="NUM8" s="2"/>
      <c r="NUN8" s="2"/>
      <c r="NUO8" s="2"/>
      <c r="NUP8" s="2"/>
      <c r="NUQ8" s="2"/>
      <c r="NUR8" s="2"/>
      <c r="NUS8" s="2"/>
      <c r="NUT8" s="2"/>
      <c r="NUU8" s="2"/>
      <c r="NUV8" s="2"/>
      <c r="NUW8" s="2"/>
      <c r="NUX8" s="2"/>
      <c r="NUY8" s="2"/>
      <c r="NUZ8" s="2"/>
      <c r="NVA8" s="2"/>
      <c r="NVB8" s="2"/>
      <c r="NVC8" s="2"/>
      <c r="NVD8" s="2"/>
      <c r="NVE8" s="2"/>
      <c r="NVF8" s="2"/>
      <c r="NVG8" s="2"/>
      <c r="NVH8" s="2"/>
      <c r="NVI8" s="2"/>
      <c r="NVJ8" s="2"/>
      <c r="NVK8" s="2"/>
      <c r="NVL8" s="2"/>
      <c r="NVM8" s="2"/>
      <c r="NVN8" s="2"/>
      <c r="NVO8" s="2"/>
      <c r="NVP8" s="2"/>
      <c r="NVQ8" s="2"/>
      <c r="NVR8" s="2"/>
      <c r="NVS8" s="2"/>
      <c r="NVT8" s="2"/>
      <c r="NVU8" s="2"/>
      <c r="NVV8" s="2"/>
      <c r="NVW8" s="2"/>
      <c r="NVX8" s="2"/>
      <c r="NVY8" s="2"/>
      <c r="NVZ8" s="2"/>
      <c r="NWA8" s="2"/>
      <c r="NWB8" s="2"/>
      <c r="NWC8" s="2"/>
      <c r="NWD8" s="2"/>
      <c r="NWE8" s="2"/>
      <c r="NWF8" s="2"/>
      <c r="NWG8" s="2"/>
      <c r="NWH8" s="2"/>
      <c r="NWI8" s="2"/>
      <c r="NWJ8" s="2"/>
      <c r="NWK8" s="2"/>
      <c r="NWL8" s="2"/>
      <c r="NWM8" s="2"/>
      <c r="NWN8" s="2"/>
      <c r="NWO8" s="2"/>
      <c r="NWP8" s="2"/>
      <c r="NWQ8" s="2"/>
      <c r="NWR8" s="2"/>
      <c r="NWS8" s="2"/>
      <c r="NWT8" s="2"/>
      <c r="NWU8" s="2"/>
      <c r="NWV8" s="2"/>
      <c r="NWW8" s="2"/>
      <c r="NWX8" s="2"/>
      <c r="NWY8" s="2"/>
      <c r="NWZ8" s="2"/>
      <c r="NXA8" s="2"/>
      <c r="NXB8" s="2"/>
      <c r="NXC8" s="2"/>
      <c r="NXD8" s="2"/>
      <c r="NXE8" s="2"/>
      <c r="NXF8" s="2"/>
      <c r="NXG8" s="2"/>
      <c r="NXH8" s="2"/>
      <c r="NXI8" s="2"/>
      <c r="NXJ8" s="2"/>
      <c r="NXK8" s="2"/>
      <c r="NXL8" s="2"/>
      <c r="NXM8" s="2"/>
      <c r="NXN8" s="2"/>
      <c r="NXO8" s="2"/>
      <c r="NXP8" s="2"/>
      <c r="NXQ8" s="2"/>
      <c r="NXR8" s="2"/>
      <c r="NXS8" s="2"/>
      <c r="NXT8" s="2"/>
      <c r="NXU8" s="2"/>
      <c r="NXV8" s="2"/>
      <c r="NXW8" s="2"/>
      <c r="NXX8" s="2"/>
      <c r="NXY8" s="2"/>
      <c r="NXZ8" s="2"/>
      <c r="NYA8" s="2"/>
      <c r="NYB8" s="2"/>
      <c r="NYC8" s="2"/>
      <c r="NYD8" s="2"/>
      <c r="NYE8" s="2"/>
      <c r="NYF8" s="2"/>
      <c r="NYG8" s="2"/>
      <c r="NYH8" s="2"/>
      <c r="NYI8" s="2"/>
      <c r="NYJ8" s="2"/>
      <c r="NYK8" s="2"/>
      <c r="NYL8" s="2"/>
      <c r="NYM8" s="2"/>
      <c r="NYN8" s="2"/>
      <c r="NYO8" s="2"/>
      <c r="NYP8" s="2"/>
      <c r="NYQ8" s="2"/>
      <c r="NYR8" s="2"/>
      <c r="NYS8" s="2"/>
      <c r="NYT8" s="2"/>
      <c r="NYU8" s="2"/>
      <c r="NYV8" s="2"/>
      <c r="NYW8" s="2"/>
      <c r="NYX8" s="2"/>
      <c r="NYY8" s="2"/>
      <c r="NYZ8" s="2"/>
      <c r="NZA8" s="2"/>
      <c r="NZB8" s="2"/>
      <c r="NZC8" s="2"/>
      <c r="NZD8" s="2"/>
      <c r="NZE8" s="2"/>
      <c r="NZF8" s="2"/>
      <c r="NZG8" s="2"/>
      <c r="NZH8" s="2"/>
      <c r="NZI8" s="2"/>
      <c r="NZJ8" s="2"/>
      <c r="NZK8" s="2"/>
      <c r="NZL8" s="2"/>
      <c r="NZM8" s="2"/>
      <c r="NZN8" s="2"/>
      <c r="NZO8" s="2"/>
      <c r="NZP8" s="2"/>
      <c r="NZQ8" s="2"/>
      <c r="NZR8" s="2"/>
      <c r="NZS8" s="2"/>
      <c r="NZT8" s="2"/>
      <c r="NZU8" s="2"/>
      <c r="NZV8" s="2"/>
      <c r="NZW8" s="2"/>
      <c r="NZX8" s="2"/>
      <c r="NZY8" s="2"/>
      <c r="NZZ8" s="2"/>
      <c r="OAA8" s="2"/>
      <c r="OAB8" s="2"/>
      <c r="OAC8" s="2"/>
      <c r="OAD8" s="2"/>
      <c r="OAE8" s="2"/>
      <c r="OAF8" s="2"/>
      <c r="OAG8" s="2"/>
      <c r="OAH8" s="2"/>
      <c r="OAI8" s="2"/>
      <c r="OAJ8" s="2"/>
      <c r="OAK8" s="2"/>
      <c r="OAL8" s="2"/>
      <c r="OAM8" s="2"/>
      <c r="OAN8" s="2"/>
      <c r="OAO8" s="2"/>
      <c r="OAP8" s="2"/>
      <c r="OAQ8" s="2"/>
      <c r="OAR8" s="2"/>
      <c r="OAS8" s="2"/>
      <c r="OAT8" s="2"/>
      <c r="OAU8" s="2"/>
      <c r="OAV8" s="2"/>
      <c r="OAW8" s="2"/>
      <c r="OAX8" s="2"/>
      <c r="OAY8" s="2"/>
      <c r="OAZ8" s="2"/>
      <c r="OBA8" s="2"/>
      <c r="OBB8" s="2"/>
      <c r="OBC8" s="2"/>
      <c r="OBD8" s="2"/>
      <c r="OBE8" s="2"/>
      <c r="OBF8" s="2"/>
      <c r="OBG8" s="2"/>
      <c r="OBH8" s="2"/>
      <c r="OBI8" s="2"/>
      <c r="OBJ8" s="2"/>
      <c r="OBK8" s="2"/>
      <c r="OBL8" s="2"/>
      <c r="OBM8" s="2"/>
      <c r="OBN8" s="2"/>
      <c r="OBO8" s="2"/>
      <c r="OBP8" s="2"/>
      <c r="OBQ8" s="2"/>
      <c r="OBR8" s="2"/>
      <c r="OBS8" s="2"/>
      <c r="OBT8" s="2"/>
      <c r="OBU8" s="2"/>
      <c r="OBV8" s="2"/>
      <c r="OBW8" s="2"/>
      <c r="OBX8" s="2"/>
      <c r="OBY8" s="2"/>
      <c r="OBZ8" s="2"/>
      <c r="OCA8" s="2"/>
      <c r="OCB8" s="2"/>
      <c r="OCC8" s="2"/>
      <c r="OCD8" s="2"/>
      <c r="OCE8" s="2"/>
      <c r="OCF8" s="2"/>
      <c r="OCG8" s="2"/>
      <c r="OCH8" s="2"/>
      <c r="OCI8" s="2"/>
      <c r="OCJ8" s="2"/>
      <c r="OCK8" s="2"/>
      <c r="OCL8" s="2"/>
      <c r="OCM8" s="2"/>
      <c r="OCN8" s="2"/>
      <c r="OCO8" s="2"/>
      <c r="OCP8" s="2"/>
      <c r="OCQ8" s="2"/>
      <c r="OCR8" s="2"/>
      <c r="OCS8" s="2"/>
      <c r="OCT8" s="2"/>
      <c r="OCU8" s="2"/>
      <c r="OCV8" s="2"/>
      <c r="OCW8" s="2"/>
      <c r="OCX8" s="2"/>
      <c r="OCY8" s="2"/>
      <c r="OCZ8" s="2"/>
      <c r="ODA8" s="2"/>
      <c r="ODB8" s="2"/>
      <c r="ODC8" s="2"/>
      <c r="ODD8" s="2"/>
      <c r="ODE8" s="2"/>
      <c r="ODF8" s="2"/>
      <c r="ODG8" s="2"/>
      <c r="ODH8" s="2"/>
      <c r="ODI8" s="2"/>
      <c r="ODJ8" s="2"/>
      <c r="ODK8" s="2"/>
      <c r="ODL8" s="2"/>
      <c r="ODM8" s="2"/>
      <c r="ODN8" s="2"/>
      <c r="ODO8" s="2"/>
      <c r="ODP8" s="2"/>
      <c r="ODQ8" s="2"/>
      <c r="ODR8" s="2"/>
      <c r="ODS8" s="2"/>
      <c r="ODT8" s="2"/>
      <c r="ODU8" s="2"/>
      <c r="ODV8" s="2"/>
      <c r="ODW8" s="2"/>
      <c r="ODX8" s="2"/>
      <c r="ODY8" s="2"/>
      <c r="ODZ8" s="2"/>
      <c r="OEA8" s="2"/>
      <c r="OEB8" s="2"/>
      <c r="OEC8" s="2"/>
      <c r="OED8" s="2"/>
      <c r="OEE8" s="2"/>
      <c r="OEF8" s="2"/>
      <c r="OEG8" s="2"/>
      <c r="OEH8" s="2"/>
      <c r="OEI8" s="2"/>
      <c r="OEJ8" s="2"/>
      <c r="OEK8" s="2"/>
      <c r="OEL8" s="2"/>
      <c r="OEM8" s="2"/>
      <c r="OEN8" s="2"/>
      <c r="OEO8" s="2"/>
      <c r="OEP8" s="2"/>
      <c r="OEQ8" s="2"/>
      <c r="OER8" s="2"/>
      <c r="OES8" s="2"/>
      <c r="OET8" s="2"/>
      <c r="OEU8" s="2"/>
      <c r="OEV8" s="2"/>
      <c r="OEW8" s="2"/>
      <c r="OEX8" s="2"/>
      <c r="OEY8" s="2"/>
      <c r="OEZ8" s="2"/>
      <c r="OFA8" s="2"/>
      <c r="OFB8" s="2"/>
      <c r="OFC8" s="2"/>
      <c r="OFD8" s="2"/>
      <c r="OFE8" s="2"/>
      <c r="OFF8" s="2"/>
      <c r="OFG8" s="2"/>
      <c r="OFH8" s="2"/>
      <c r="OFI8" s="2"/>
      <c r="OFJ8" s="2"/>
      <c r="OFK8" s="2"/>
      <c r="OFL8" s="2"/>
      <c r="OFM8" s="2"/>
      <c r="OFN8" s="2"/>
      <c r="OFO8" s="2"/>
      <c r="OFP8" s="2"/>
      <c r="OFQ8" s="2"/>
      <c r="OFR8" s="2"/>
      <c r="OFS8" s="2"/>
      <c r="OFT8" s="2"/>
      <c r="OFU8" s="2"/>
      <c r="OFV8" s="2"/>
      <c r="OFW8" s="2"/>
      <c r="OFX8" s="2"/>
      <c r="OFY8" s="2"/>
      <c r="OFZ8" s="2"/>
      <c r="OGA8" s="2"/>
      <c r="OGB8" s="2"/>
      <c r="OGC8" s="2"/>
      <c r="OGD8" s="2"/>
      <c r="OGE8" s="2"/>
      <c r="OGF8" s="2"/>
      <c r="OGG8" s="2"/>
      <c r="OGH8" s="2"/>
      <c r="OGI8" s="2"/>
      <c r="OGJ8" s="2"/>
      <c r="OGK8" s="2"/>
      <c r="OGL8" s="2"/>
      <c r="OGM8" s="2"/>
      <c r="OGN8" s="2"/>
      <c r="OGO8" s="2"/>
      <c r="OGP8" s="2"/>
      <c r="OGQ8" s="2"/>
      <c r="OGR8" s="2"/>
      <c r="OGS8" s="2"/>
      <c r="OGT8" s="2"/>
      <c r="OGU8" s="2"/>
      <c r="OGV8" s="2"/>
      <c r="OGW8" s="2"/>
      <c r="OGX8" s="2"/>
      <c r="OGY8" s="2"/>
      <c r="OGZ8" s="2"/>
      <c r="OHA8" s="2"/>
      <c r="OHB8" s="2"/>
      <c r="OHC8" s="2"/>
      <c r="OHD8" s="2"/>
      <c r="OHE8" s="2"/>
      <c r="OHF8" s="2"/>
      <c r="OHG8" s="2"/>
      <c r="OHH8" s="2"/>
      <c r="OHI8" s="2"/>
      <c r="OHJ8" s="2"/>
      <c r="OHK8" s="2"/>
      <c r="OHL8" s="2"/>
      <c r="OHM8" s="2"/>
      <c r="OHN8" s="2"/>
      <c r="OHO8" s="2"/>
      <c r="OHP8" s="2"/>
      <c r="OHQ8" s="2"/>
      <c r="OHR8" s="2"/>
      <c r="OHS8" s="2"/>
      <c r="OHT8" s="2"/>
      <c r="OHU8" s="2"/>
      <c r="OHV8" s="2"/>
      <c r="OHW8" s="2"/>
      <c r="OHX8" s="2"/>
      <c r="OHY8" s="2"/>
      <c r="OHZ8" s="2"/>
      <c r="OIA8" s="2"/>
      <c r="OIB8" s="2"/>
      <c r="OIC8" s="2"/>
      <c r="OID8" s="2"/>
      <c r="OIE8" s="2"/>
      <c r="OIF8" s="2"/>
      <c r="OIG8" s="2"/>
      <c r="OIH8" s="2"/>
      <c r="OII8" s="2"/>
      <c r="OIJ8" s="2"/>
      <c r="OIK8" s="2"/>
      <c r="OIL8" s="2"/>
      <c r="OIM8" s="2"/>
      <c r="OIN8" s="2"/>
      <c r="OIO8" s="2"/>
      <c r="OIP8" s="2"/>
      <c r="OIQ8" s="2"/>
      <c r="OIR8" s="2"/>
      <c r="OIS8" s="2"/>
      <c r="OIT8" s="2"/>
      <c r="OIU8" s="2"/>
      <c r="OIV8" s="2"/>
      <c r="OIW8" s="2"/>
      <c r="OIX8" s="2"/>
      <c r="OIY8" s="2"/>
      <c r="OIZ8" s="2"/>
      <c r="OJA8" s="2"/>
      <c r="OJB8" s="2"/>
      <c r="OJC8" s="2"/>
      <c r="OJD8" s="2"/>
      <c r="OJE8" s="2"/>
      <c r="OJF8" s="2"/>
      <c r="OJG8" s="2"/>
      <c r="OJH8" s="2"/>
      <c r="OJI8" s="2"/>
      <c r="OJJ8" s="2"/>
      <c r="OJK8" s="2"/>
      <c r="OJL8" s="2"/>
      <c r="OJM8" s="2"/>
      <c r="OJN8" s="2"/>
      <c r="OJO8" s="2"/>
      <c r="OJP8" s="2"/>
      <c r="OJQ8" s="2"/>
      <c r="OJR8" s="2"/>
      <c r="OJS8" s="2"/>
      <c r="OJT8" s="2"/>
      <c r="OJU8" s="2"/>
      <c r="OJV8" s="2"/>
      <c r="OJW8" s="2"/>
      <c r="OJX8" s="2"/>
      <c r="OJY8" s="2"/>
      <c r="OJZ8" s="2"/>
      <c r="OKA8" s="2"/>
      <c r="OKB8" s="2"/>
      <c r="OKC8" s="2"/>
      <c r="OKD8" s="2"/>
      <c r="OKE8" s="2"/>
      <c r="OKF8" s="2"/>
      <c r="OKG8" s="2"/>
      <c r="OKH8" s="2"/>
      <c r="OKI8" s="2"/>
      <c r="OKJ8" s="2"/>
      <c r="OKK8" s="2"/>
      <c r="OKL8" s="2"/>
      <c r="OKM8" s="2"/>
      <c r="OKN8" s="2"/>
      <c r="OKO8" s="2"/>
      <c r="OKP8" s="2"/>
      <c r="OKQ8" s="2"/>
      <c r="OKR8" s="2"/>
      <c r="OKS8" s="2"/>
      <c r="OKT8" s="2"/>
      <c r="OKU8" s="2"/>
      <c r="OKV8" s="2"/>
      <c r="OKW8" s="2"/>
      <c r="OKX8" s="2"/>
      <c r="OKY8" s="2"/>
      <c r="OKZ8" s="2"/>
      <c r="OLA8" s="2"/>
      <c r="OLB8" s="2"/>
      <c r="OLC8" s="2"/>
      <c r="OLD8" s="2"/>
      <c r="OLE8" s="2"/>
      <c r="OLF8" s="2"/>
      <c r="OLG8" s="2"/>
      <c r="OLH8" s="2"/>
      <c r="OLI8" s="2"/>
      <c r="OLJ8" s="2"/>
      <c r="OLK8" s="2"/>
      <c r="OLL8" s="2"/>
      <c r="OLM8" s="2"/>
      <c r="OLN8" s="2"/>
      <c r="OLO8" s="2"/>
      <c r="OLP8" s="2"/>
      <c r="OLQ8" s="2"/>
      <c r="OLR8" s="2"/>
      <c r="OLS8" s="2"/>
      <c r="OLT8" s="2"/>
      <c r="OLU8" s="2"/>
      <c r="OLV8" s="2"/>
      <c r="OLW8" s="2"/>
      <c r="OLX8" s="2"/>
      <c r="OLY8" s="2"/>
      <c r="OLZ8" s="2"/>
      <c r="OMA8" s="2"/>
      <c r="OMB8" s="2"/>
      <c r="OMC8" s="2"/>
      <c r="OMD8" s="2"/>
      <c r="OME8" s="2"/>
      <c r="OMF8" s="2"/>
      <c r="OMG8" s="2"/>
      <c r="OMH8" s="2"/>
      <c r="OMI8" s="2"/>
      <c r="OMJ8" s="2"/>
      <c r="OMK8" s="2"/>
      <c r="OML8" s="2"/>
      <c r="OMM8" s="2"/>
      <c r="OMN8" s="2"/>
      <c r="OMO8" s="2"/>
      <c r="OMP8" s="2"/>
      <c r="OMQ8" s="2"/>
      <c r="OMR8" s="2"/>
      <c r="OMS8" s="2"/>
      <c r="OMT8" s="2"/>
      <c r="OMU8" s="2"/>
      <c r="OMV8" s="2"/>
      <c r="OMW8" s="2"/>
      <c r="OMX8" s="2"/>
      <c r="OMY8" s="2"/>
      <c r="OMZ8" s="2"/>
      <c r="ONA8" s="2"/>
      <c r="ONB8" s="2"/>
      <c r="ONC8" s="2"/>
      <c r="OND8" s="2"/>
      <c r="ONE8" s="2"/>
      <c r="ONF8" s="2"/>
      <c r="ONG8" s="2"/>
      <c r="ONH8" s="2"/>
      <c r="ONI8" s="2"/>
      <c r="ONJ8" s="2"/>
      <c r="ONK8" s="2"/>
      <c r="ONL8" s="2"/>
      <c r="ONM8" s="2"/>
      <c r="ONN8" s="2"/>
      <c r="ONO8" s="2"/>
      <c r="ONP8" s="2"/>
      <c r="ONQ8" s="2"/>
      <c r="ONR8" s="2"/>
      <c r="ONS8" s="2"/>
      <c r="ONT8" s="2"/>
      <c r="ONU8" s="2"/>
      <c r="ONV8" s="2"/>
      <c r="ONW8" s="2"/>
      <c r="ONX8" s="2"/>
      <c r="ONY8" s="2"/>
      <c r="ONZ8" s="2"/>
      <c r="OOA8" s="2"/>
      <c r="OOB8" s="2"/>
      <c r="OOC8" s="2"/>
      <c r="OOD8" s="2"/>
      <c r="OOE8" s="2"/>
      <c r="OOF8" s="2"/>
      <c r="OOG8" s="2"/>
      <c r="OOH8" s="2"/>
      <c r="OOI8" s="2"/>
      <c r="OOJ8" s="2"/>
      <c r="OOK8" s="2"/>
      <c r="OOL8" s="2"/>
      <c r="OOM8" s="2"/>
      <c r="OON8" s="2"/>
      <c r="OOO8" s="2"/>
      <c r="OOP8" s="2"/>
      <c r="OOQ8" s="2"/>
      <c r="OOR8" s="2"/>
      <c r="OOS8" s="2"/>
      <c r="OOT8" s="2"/>
      <c r="OOU8" s="2"/>
      <c r="OOV8" s="2"/>
      <c r="OOW8" s="2"/>
      <c r="OOX8" s="2"/>
      <c r="OOY8" s="2"/>
      <c r="OOZ8" s="2"/>
      <c r="OPA8" s="2"/>
      <c r="OPB8" s="2"/>
      <c r="OPC8" s="2"/>
      <c r="OPD8" s="2"/>
      <c r="OPE8" s="2"/>
      <c r="OPF8" s="2"/>
      <c r="OPG8" s="2"/>
      <c r="OPH8" s="2"/>
      <c r="OPI8" s="2"/>
      <c r="OPJ8" s="2"/>
      <c r="OPK8" s="2"/>
      <c r="OPL8" s="2"/>
      <c r="OPM8" s="2"/>
      <c r="OPN8" s="2"/>
      <c r="OPO8" s="2"/>
      <c r="OPP8" s="2"/>
      <c r="OPQ8" s="2"/>
      <c r="OPR8" s="2"/>
      <c r="OPS8" s="2"/>
      <c r="OPT8" s="2"/>
      <c r="OPU8" s="2"/>
      <c r="OPV8" s="2"/>
      <c r="OPW8" s="2"/>
      <c r="OPX8" s="2"/>
      <c r="OPY8" s="2"/>
      <c r="OPZ8" s="2"/>
      <c r="OQA8" s="2"/>
      <c r="OQB8" s="2"/>
      <c r="OQC8" s="2"/>
      <c r="OQD8" s="2"/>
      <c r="OQE8" s="2"/>
      <c r="OQF8" s="2"/>
      <c r="OQG8" s="2"/>
      <c r="OQH8" s="2"/>
      <c r="OQI8" s="2"/>
      <c r="OQJ8" s="2"/>
      <c r="OQK8" s="2"/>
      <c r="OQL8" s="2"/>
      <c r="OQM8" s="2"/>
      <c r="OQN8" s="2"/>
      <c r="OQO8" s="2"/>
      <c r="OQP8" s="2"/>
      <c r="OQQ8" s="2"/>
      <c r="OQR8" s="2"/>
      <c r="OQS8" s="2"/>
      <c r="OQT8" s="2"/>
      <c r="OQU8" s="2"/>
      <c r="OQV8" s="2"/>
      <c r="OQW8" s="2"/>
      <c r="OQX8" s="2"/>
      <c r="OQY8" s="2"/>
      <c r="OQZ8" s="2"/>
      <c r="ORA8" s="2"/>
      <c r="ORB8" s="2"/>
      <c r="ORC8" s="2"/>
      <c r="ORD8" s="2"/>
      <c r="ORE8" s="2"/>
      <c r="ORF8" s="2"/>
      <c r="ORG8" s="2"/>
      <c r="ORH8" s="2"/>
      <c r="ORI8" s="2"/>
      <c r="ORJ8" s="2"/>
      <c r="ORK8" s="2"/>
      <c r="ORL8" s="2"/>
      <c r="ORM8" s="2"/>
      <c r="ORN8" s="2"/>
      <c r="ORO8" s="2"/>
      <c r="ORP8" s="2"/>
      <c r="ORQ8" s="2"/>
      <c r="ORR8" s="2"/>
      <c r="ORS8" s="2"/>
      <c r="ORT8" s="2"/>
      <c r="ORU8" s="2"/>
      <c r="ORV8" s="2"/>
      <c r="ORW8" s="2"/>
      <c r="ORX8" s="2"/>
      <c r="ORY8" s="2"/>
      <c r="ORZ8" s="2"/>
      <c r="OSA8" s="2"/>
      <c r="OSB8" s="2"/>
      <c r="OSC8" s="2"/>
      <c r="OSD8" s="2"/>
      <c r="OSE8" s="2"/>
      <c r="OSF8" s="2"/>
      <c r="OSG8" s="2"/>
      <c r="OSH8" s="2"/>
      <c r="OSI8" s="2"/>
      <c r="OSJ8" s="2"/>
      <c r="OSK8" s="2"/>
      <c r="OSL8" s="2"/>
      <c r="OSM8" s="2"/>
      <c r="OSN8" s="2"/>
      <c r="OSO8" s="2"/>
      <c r="OSP8" s="2"/>
      <c r="OSQ8" s="2"/>
      <c r="OSR8" s="2"/>
      <c r="OSS8" s="2"/>
      <c r="OST8" s="2"/>
      <c r="OSU8" s="2"/>
      <c r="OSV8" s="2"/>
      <c r="OSW8" s="2"/>
      <c r="OSX8" s="2"/>
      <c r="OSY8" s="2"/>
      <c r="OSZ8" s="2"/>
      <c r="OTA8" s="2"/>
      <c r="OTB8" s="2"/>
      <c r="OTC8" s="2"/>
      <c r="OTD8" s="2"/>
      <c r="OTE8" s="2"/>
      <c r="OTF8" s="2"/>
      <c r="OTG8" s="2"/>
      <c r="OTH8" s="2"/>
      <c r="OTI8" s="2"/>
      <c r="OTJ8" s="2"/>
      <c r="OTK8" s="2"/>
      <c r="OTL8" s="2"/>
      <c r="OTM8" s="2"/>
      <c r="OTN8" s="2"/>
      <c r="OTO8" s="2"/>
      <c r="OTP8" s="2"/>
      <c r="OTQ8" s="2"/>
      <c r="OTR8" s="2"/>
      <c r="OTS8" s="2"/>
      <c r="OTT8" s="2"/>
      <c r="OTU8" s="2"/>
      <c r="OTV8" s="2"/>
      <c r="OTW8" s="2"/>
      <c r="OTX8" s="2"/>
      <c r="OTY8" s="2"/>
      <c r="OTZ8" s="2"/>
      <c r="OUA8" s="2"/>
      <c r="OUB8" s="2"/>
      <c r="OUC8" s="2"/>
      <c r="OUD8" s="2"/>
      <c r="OUE8" s="2"/>
      <c r="OUF8" s="2"/>
      <c r="OUG8" s="2"/>
      <c r="OUH8" s="2"/>
      <c r="OUI8" s="2"/>
      <c r="OUJ8" s="2"/>
      <c r="OUK8" s="2"/>
      <c r="OUL8" s="2"/>
      <c r="OUM8" s="2"/>
      <c r="OUN8" s="2"/>
      <c r="OUO8" s="2"/>
      <c r="OUP8" s="2"/>
      <c r="OUQ8" s="2"/>
      <c r="OUR8" s="2"/>
      <c r="OUS8" s="2"/>
      <c r="OUT8" s="2"/>
      <c r="OUU8" s="2"/>
      <c r="OUV8" s="2"/>
      <c r="OUW8" s="2"/>
      <c r="OUX8" s="2"/>
      <c r="OUY8" s="2"/>
      <c r="OUZ8" s="2"/>
      <c r="OVA8" s="2"/>
      <c r="OVB8" s="2"/>
      <c r="OVC8" s="2"/>
      <c r="OVD8" s="2"/>
      <c r="OVE8" s="2"/>
      <c r="OVF8" s="2"/>
      <c r="OVG8" s="2"/>
      <c r="OVH8" s="2"/>
      <c r="OVI8" s="2"/>
      <c r="OVJ8" s="2"/>
      <c r="OVK8" s="2"/>
      <c r="OVL8" s="2"/>
      <c r="OVM8" s="2"/>
      <c r="OVN8" s="2"/>
      <c r="OVO8" s="2"/>
      <c r="OVP8" s="2"/>
      <c r="OVQ8" s="2"/>
      <c r="OVR8" s="2"/>
      <c r="OVS8" s="2"/>
      <c r="OVT8" s="2"/>
      <c r="OVU8" s="2"/>
      <c r="OVV8" s="2"/>
      <c r="OVW8" s="2"/>
      <c r="OVX8" s="2"/>
      <c r="OVY8" s="2"/>
      <c r="OVZ8" s="2"/>
      <c r="OWA8" s="2"/>
      <c r="OWB8" s="2"/>
      <c r="OWC8" s="2"/>
      <c r="OWD8" s="2"/>
      <c r="OWE8" s="2"/>
      <c r="OWF8" s="2"/>
      <c r="OWG8" s="2"/>
      <c r="OWH8" s="2"/>
      <c r="OWI8" s="2"/>
      <c r="OWJ8" s="2"/>
      <c r="OWK8" s="2"/>
      <c r="OWL8" s="2"/>
      <c r="OWM8" s="2"/>
      <c r="OWN8" s="2"/>
      <c r="OWO8" s="2"/>
      <c r="OWP8" s="2"/>
      <c r="OWQ8" s="2"/>
      <c r="OWR8" s="2"/>
      <c r="OWS8" s="2"/>
      <c r="OWT8" s="2"/>
      <c r="OWU8" s="2"/>
      <c r="OWV8" s="2"/>
      <c r="OWW8" s="2"/>
      <c r="OWX8" s="2"/>
      <c r="OWY8" s="2"/>
      <c r="OWZ8" s="2"/>
      <c r="OXA8" s="2"/>
      <c r="OXB8" s="2"/>
      <c r="OXC8" s="2"/>
      <c r="OXD8" s="2"/>
      <c r="OXE8" s="2"/>
      <c r="OXF8" s="2"/>
      <c r="OXG8" s="2"/>
      <c r="OXH8" s="2"/>
      <c r="OXI8" s="2"/>
      <c r="OXJ8" s="2"/>
      <c r="OXK8" s="2"/>
      <c r="OXL8" s="2"/>
      <c r="OXM8" s="2"/>
      <c r="OXN8" s="2"/>
      <c r="OXO8" s="2"/>
      <c r="OXP8" s="2"/>
      <c r="OXQ8" s="2"/>
      <c r="OXR8" s="2"/>
      <c r="OXS8" s="2"/>
      <c r="OXT8" s="2"/>
      <c r="OXU8" s="2"/>
      <c r="OXV8" s="2"/>
      <c r="OXW8" s="2"/>
      <c r="OXX8" s="2"/>
      <c r="OXY8" s="2"/>
      <c r="OXZ8" s="2"/>
      <c r="OYA8" s="2"/>
      <c r="OYB8" s="2"/>
      <c r="OYC8" s="2"/>
      <c r="OYD8" s="2"/>
      <c r="OYE8" s="2"/>
      <c r="OYF8" s="2"/>
      <c r="OYG8" s="2"/>
      <c r="OYH8" s="2"/>
      <c r="OYI8" s="2"/>
      <c r="OYJ8" s="2"/>
      <c r="OYK8" s="2"/>
      <c r="OYL8" s="2"/>
      <c r="OYM8" s="2"/>
      <c r="OYN8" s="2"/>
      <c r="OYO8" s="2"/>
      <c r="OYP8" s="2"/>
      <c r="OYQ8" s="2"/>
      <c r="OYR8" s="2"/>
      <c r="OYS8" s="2"/>
      <c r="OYT8" s="2"/>
      <c r="OYU8" s="2"/>
      <c r="OYV8" s="2"/>
      <c r="OYW8" s="2"/>
      <c r="OYX8" s="2"/>
      <c r="OYY8" s="2"/>
      <c r="OYZ8" s="2"/>
      <c r="OZA8" s="2"/>
      <c r="OZB8" s="2"/>
      <c r="OZC8" s="2"/>
      <c r="OZD8" s="2"/>
      <c r="OZE8" s="2"/>
      <c r="OZF8" s="2"/>
      <c r="OZG8" s="2"/>
      <c r="OZH8" s="2"/>
      <c r="OZI8" s="2"/>
      <c r="OZJ8" s="2"/>
      <c r="OZK8" s="2"/>
      <c r="OZL8" s="2"/>
      <c r="OZM8" s="2"/>
      <c r="OZN8" s="2"/>
      <c r="OZO8" s="2"/>
      <c r="OZP8" s="2"/>
      <c r="OZQ8" s="2"/>
      <c r="OZR8" s="2"/>
      <c r="OZS8" s="2"/>
      <c r="OZT8" s="2"/>
      <c r="OZU8" s="2"/>
      <c r="OZV8" s="2"/>
      <c r="OZW8" s="2"/>
      <c r="OZX8" s="2"/>
      <c r="OZY8" s="2"/>
      <c r="OZZ8" s="2"/>
      <c r="PAA8" s="2"/>
      <c r="PAB8" s="2"/>
      <c r="PAC8" s="2"/>
      <c r="PAD8" s="2"/>
      <c r="PAE8" s="2"/>
      <c r="PAF8" s="2"/>
      <c r="PAG8" s="2"/>
      <c r="PAH8" s="2"/>
      <c r="PAI8" s="2"/>
      <c r="PAJ8" s="2"/>
      <c r="PAK8" s="2"/>
      <c r="PAL8" s="2"/>
      <c r="PAM8" s="2"/>
      <c r="PAN8" s="2"/>
      <c r="PAO8" s="2"/>
      <c r="PAP8" s="2"/>
      <c r="PAQ8" s="2"/>
      <c r="PAR8" s="2"/>
      <c r="PAS8" s="2"/>
      <c r="PAT8" s="2"/>
      <c r="PAU8" s="2"/>
      <c r="PAV8" s="2"/>
      <c r="PAW8" s="2"/>
      <c r="PAX8" s="2"/>
      <c r="PAY8" s="2"/>
      <c r="PAZ8" s="2"/>
      <c r="PBA8" s="2"/>
      <c r="PBB8" s="2"/>
      <c r="PBC8" s="2"/>
      <c r="PBD8" s="2"/>
      <c r="PBE8" s="2"/>
      <c r="PBF8" s="2"/>
      <c r="PBG8" s="2"/>
      <c r="PBH8" s="2"/>
      <c r="PBI8" s="2"/>
      <c r="PBJ8" s="2"/>
      <c r="PBK8" s="2"/>
      <c r="PBL8" s="2"/>
      <c r="PBM8" s="2"/>
      <c r="PBN8" s="2"/>
      <c r="PBO8" s="2"/>
      <c r="PBP8" s="2"/>
      <c r="PBQ8" s="2"/>
      <c r="PBR8" s="2"/>
      <c r="PBS8" s="2"/>
      <c r="PBT8" s="2"/>
      <c r="PBU8" s="2"/>
      <c r="PBV8" s="2"/>
      <c r="PBW8" s="2"/>
      <c r="PBX8" s="2"/>
      <c r="PBY8" s="2"/>
      <c r="PBZ8" s="2"/>
      <c r="PCA8" s="2"/>
      <c r="PCB8" s="2"/>
      <c r="PCC8" s="2"/>
      <c r="PCD8" s="2"/>
      <c r="PCE8" s="2"/>
      <c r="PCF8" s="2"/>
      <c r="PCG8" s="2"/>
      <c r="PCH8" s="2"/>
      <c r="PCI8" s="2"/>
      <c r="PCJ8" s="2"/>
      <c r="PCK8" s="2"/>
      <c r="PCL8" s="2"/>
      <c r="PCM8" s="2"/>
      <c r="PCN8" s="2"/>
      <c r="PCO8" s="2"/>
      <c r="PCP8" s="2"/>
      <c r="PCQ8" s="2"/>
      <c r="PCR8" s="2"/>
      <c r="PCS8" s="2"/>
      <c r="PCT8" s="2"/>
      <c r="PCU8" s="2"/>
      <c r="PCV8" s="2"/>
      <c r="PCW8" s="2"/>
      <c r="PCX8" s="2"/>
      <c r="PCY8" s="2"/>
      <c r="PCZ8" s="2"/>
      <c r="PDA8" s="2"/>
      <c r="PDB8" s="2"/>
      <c r="PDC8" s="2"/>
      <c r="PDD8" s="2"/>
      <c r="PDE8" s="2"/>
      <c r="PDF8" s="2"/>
      <c r="PDG8" s="2"/>
      <c r="PDH8" s="2"/>
      <c r="PDI8" s="2"/>
      <c r="PDJ8" s="2"/>
      <c r="PDK8" s="2"/>
      <c r="PDL8" s="2"/>
      <c r="PDM8" s="2"/>
      <c r="PDN8" s="2"/>
      <c r="PDO8" s="2"/>
      <c r="PDP8" s="2"/>
      <c r="PDQ8" s="2"/>
      <c r="PDR8" s="2"/>
      <c r="PDS8" s="2"/>
      <c r="PDT8" s="2"/>
      <c r="PDU8" s="2"/>
      <c r="PDV8" s="2"/>
      <c r="PDW8" s="2"/>
      <c r="PDX8" s="2"/>
      <c r="PDY8" s="2"/>
      <c r="PDZ8" s="2"/>
      <c r="PEA8" s="2"/>
      <c r="PEB8" s="2"/>
      <c r="PEC8" s="2"/>
      <c r="PED8" s="2"/>
      <c r="PEE8" s="2"/>
      <c r="PEF8" s="2"/>
      <c r="PEG8" s="2"/>
      <c r="PEH8" s="2"/>
      <c r="PEI8" s="2"/>
      <c r="PEJ8" s="2"/>
      <c r="PEK8" s="2"/>
      <c r="PEL8" s="2"/>
      <c r="PEM8" s="2"/>
      <c r="PEN8" s="2"/>
      <c r="PEO8" s="2"/>
      <c r="PEP8" s="2"/>
      <c r="PEQ8" s="2"/>
      <c r="PER8" s="2"/>
      <c r="PES8" s="2"/>
      <c r="PET8" s="2"/>
      <c r="PEU8" s="2"/>
      <c r="PEV8" s="2"/>
      <c r="PEW8" s="2"/>
      <c r="PEX8" s="2"/>
      <c r="PEY8" s="2"/>
      <c r="PEZ8" s="2"/>
      <c r="PFA8" s="2"/>
      <c r="PFB8" s="2"/>
      <c r="PFC8" s="2"/>
      <c r="PFD8" s="2"/>
      <c r="PFE8" s="2"/>
      <c r="PFF8" s="2"/>
      <c r="PFG8" s="2"/>
      <c r="PFH8" s="2"/>
      <c r="PFI8" s="2"/>
      <c r="PFJ8" s="2"/>
      <c r="PFK8" s="2"/>
      <c r="PFL8" s="2"/>
      <c r="PFM8" s="2"/>
      <c r="PFN8" s="2"/>
      <c r="PFO8" s="2"/>
      <c r="PFP8" s="2"/>
      <c r="PFQ8" s="2"/>
      <c r="PFR8" s="2"/>
      <c r="PFS8" s="2"/>
      <c r="PFT8" s="2"/>
      <c r="PFU8" s="2"/>
      <c r="PFV8" s="2"/>
      <c r="PFW8" s="2"/>
      <c r="PFX8" s="2"/>
      <c r="PFY8" s="2"/>
      <c r="PFZ8" s="2"/>
      <c r="PGA8" s="2"/>
      <c r="PGB8" s="2"/>
      <c r="PGC8" s="2"/>
      <c r="PGD8" s="2"/>
      <c r="PGE8" s="2"/>
      <c r="PGF8" s="2"/>
      <c r="PGG8" s="2"/>
      <c r="PGH8" s="2"/>
      <c r="PGI8" s="2"/>
      <c r="PGJ8" s="2"/>
      <c r="PGK8" s="2"/>
      <c r="PGL8" s="2"/>
      <c r="PGM8" s="2"/>
      <c r="PGN8" s="2"/>
      <c r="PGO8" s="2"/>
      <c r="PGP8" s="2"/>
      <c r="PGQ8" s="2"/>
      <c r="PGR8" s="2"/>
      <c r="PGS8" s="2"/>
      <c r="PGT8" s="2"/>
      <c r="PGU8" s="2"/>
      <c r="PGV8" s="2"/>
      <c r="PGW8" s="2"/>
      <c r="PGX8" s="2"/>
      <c r="PGY8" s="2"/>
      <c r="PGZ8" s="2"/>
      <c r="PHA8" s="2"/>
      <c r="PHB8" s="2"/>
      <c r="PHC8" s="2"/>
      <c r="PHD8" s="2"/>
      <c r="PHE8" s="2"/>
      <c r="PHF8" s="2"/>
      <c r="PHG8" s="2"/>
      <c r="PHH8" s="2"/>
      <c r="PHI8" s="2"/>
      <c r="PHJ8" s="2"/>
      <c r="PHK8" s="2"/>
      <c r="PHL8" s="2"/>
      <c r="PHM8" s="2"/>
      <c r="PHN8" s="2"/>
      <c r="PHO8" s="2"/>
      <c r="PHP8" s="2"/>
      <c r="PHQ8" s="2"/>
      <c r="PHR8" s="2"/>
      <c r="PHS8" s="2"/>
      <c r="PHT8" s="2"/>
      <c r="PHU8" s="2"/>
      <c r="PHV8" s="2"/>
      <c r="PHW8" s="2"/>
      <c r="PHX8" s="2"/>
      <c r="PHY8" s="2"/>
      <c r="PHZ8" s="2"/>
      <c r="PIA8" s="2"/>
      <c r="PIB8" s="2"/>
      <c r="PIC8" s="2"/>
      <c r="PID8" s="2"/>
      <c r="PIE8" s="2"/>
      <c r="PIF8" s="2"/>
      <c r="PIG8" s="2"/>
      <c r="PIH8" s="2"/>
      <c r="PII8" s="2"/>
      <c r="PIJ8" s="2"/>
      <c r="PIK8" s="2"/>
      <c r="PIL8" s="2"/>
      <c r="PIM8" s="2"/>
      <c r="PIN8" s="2"/>
      <c r="PIO8" s="2"/>
      <c r="PIP8" s="2"/>
      <c r="PIQ8" s="2"/>
      <c r="PIR8" s="2"/>
      <c r="PIS8" s="2"/>
      <c r="PIT8" s="2"/>
      <c r="PIU8" s="2"/>
      <c r="PIV8" s="2"/>
      <c r="PIW8" s="2"/>
      <c r="PIX8" s="2"/>
      <c r="PIY8" s="2"/>
      <c r="PIZ8" s="2"/>
      <c r="PJA8" s="2"/>
      <c r="PJB8" s="2"/>
      <c r="PJC8" s="2"/>
      <c r="PJD8" s="2"/>
      <c r="PJE8" s="2"/>
      <c r="PJF8" s="2"/>
      <c r="PJG8" s="2"/>
      <c r="PJH8" s="2"/>
      <c r="PJI8" s="2"/>
      <c r="PJJ8" s="2"/>
      <c r="PJK8" s="2"/>
      <c r="PJL8" s="2"/>
      <c r="PJM8" s="2"/>
      <c r="PJN8" s="2"/>
      <c r="PJO8" s="2"/>
      <c r="PJP8" s="2"/>
      <c r="PJQ8" s="2"/>
      <c r="PJR8" s="2"/>
      <c r="PJS8" s="2"/>
      <c r="PJT8" s="2"/>
      <c r="PJU8" s="2"/>
      <c r="PJV8" s="2"/>
      <c r="PJW8" s="2"/>
      <c r="PJX8" s="2"/>
      <c r="PJY8" s="2"/>
      <c r="PJZ8" s="2"/>
      <c r="PKA8" s="2"/>
      <c r="PKB8" s="2"/>
      <c r="PKC8" s="2"/>
      <c r="PKD8" s="2"/>
      <c r="PKE8" s="2"/>
      <c r="PKF8" s="2"/>
      <c r="PKG8" s="2"/>
      <c r="PKH8" s="2"/>
      <c r="PKI8" s="2"/>
      <c r="PKJ8" s="2"/>
      <c r="PKK8" s="2"/>
      <c r="PKL8" s="2"/>
      <c r="PKM8" s="2"/>
      <c r="PKN8" s="2"/>
      <c r="PKO8" s="2"/>
      <c r="PKP8" s="2"/>
      <c r="PKQ8" s="2"/>
      <c r="PKR8" s="2"/>
      <c r="PKS8" s="2"/>
      <c r="PKT8" s="2"/>
      <c r="PKU8" s="2"/>
      <c r="PKV8" s="2"/>
      <c r="PKW8" s="2"/>
      <c r="PKX8" s="2"/>
      <c r="PKY8" s="2"/>
      <c r="PKZ8" s="2"/>
      <c r="PLA8" s="2"/>
      <c r="PLB8" s="2"/>
      <c r="PLC8" s="2"/>
      <c r="PLD8" s="2"/>
      <c r="PLE8" s="2"/>
      <c r="PLF8" s="2"/>
      <c r="PLG8" s="2"/>
      <c r="PLH8" s="2"/>
      <c r="PLI8" s="2"/>
      <c r="PLJ8" s="2"/>
      <c r="PLK8" s="2"/>
      <c r="PLL8" s="2"/>
      <c r="PLM8" s="2"/>
      <c r="PLN8" s="2"/>
      <c r="PLO8" s="2"/>
      <c r="PLP8" s="2"/>
      <c r="PLQ8" s="2"/>
      <c r="PLR8" s="2"/>
      <c r="PLS8" s="2"/>
      <c r="PLT8" s="2"/>
      <c r="PLU8" s="2"/>
      <c r="PLV8" s="2"/>
      <c r="PLW8" s="2"/>
      <c r="PLX8" s="2"/>
      <c r="PLY8" s="2"/>
      <c r="PLZ8" s="2"/>
      <c r="PMA8" s="2"/>
      <c r="PMB8" s="2"/>
      <c r="PMC8" s="2"/>
      <c r="PMD8" s="2"/>
      <c r="PME8" s="2"/>
      <c r="PMF8" s="2"/>
      <c r="PMG8" s="2"/>
      <c r="PMH8" s="2"/>
      <c r="PMI8" s="2"/>
      <c r="PMJ8" s="2"/>
      <c r="PMK8" s="2"/>
      <c r="PML8" s="2"/>
      <c r="PMM8" s="2"/>
      <c r="PMN8" s="2"/>
      <c r="PMO8" s="2"/>
      <c r="PMP8" s="2"/>
      <c r="PMQ8" s="2"/>
      <c r="PMR8" s="2"/>
      <c r="PMS8" s="2"/>
      <c r="PMT8" s="2"/>
      <c r="PMU8" s="2"/>
      <c r="PMV8" s="2"/>
      <c r="PMW8" s="2"/>
      <c r="PMX8" s="2"/>
      <c r="PMY8" s="2"/>
      <c r="PMZ8" s="2"/>
      <c r="PNA8" s="2"/>
      <c r="PNB8" s="2"/>
      <c r="PNC8" s="2"/>
      <c r="PND8" s="2"/>
      <c r="PNE8" s="2"/>
      <c r="PNF8" s="2"/>
      <c r="PNG8" s="2"/>
      <c r="PNH8" s="2"/>
      <c r="PNI8" s="2"/>
      <c r="PNJ8" s="2"/>
      <c r="PNK8" s="2"/>
      <c r="PNL8" s="2"/>
      <c r="PNM8" s="2"/>
      <c r="PNN8" s="2"/>
      <c r="PNO8" s="2"/>
      <c r="PNP8" s="2"/>
      <c r="PNQ8" s="2"/>
      <c r="PNR8" s="2"/>
      <c r="PNS8" s="2"/>
      <c r="PNT8" s="2"/>
      <c r="PNU8" s="2"/>
      <c r="PNV8" s="2"/>
      <c r="PNW8" s="2"/>
      <c r="PNX8" s="2"/>
      <c r="PNY8" s="2"/>
      <c r="PNZ8" s="2"/>
      <c r="POA8" s="2"/>
      <c r="POB8" s="2"/>
      <c r="POC8" s="2"/>
      <c r="POD8" s="2"/>
      <c r="POE8" s="2"/>
      <c r="POF8" s="2"/>
      <c r="POG8" s="2"/>
      <c r="POH8" s="2"/>
      <c r="POI8" s="2"/>
      <c r="POJ8" s="2"/>
      <c r="POK8" s="2"/>
      <c r="POL8" s="2"/>
      <c r="POM8" s="2"/>
      <c r="PON8" s="2"/>
      <c r="POO8" s="2"/>
      <c r="POP8" s="2"/>
      <c r="POQ8" s="2"/>
      <c r="POR8" s="2"/>
      <c r="POS8" s="2"/>
      <c r="POT8" s="2"/>
      <c r="POU8" s="2"/>
      <c r="POV8" s="2"/>
      <c r="POW8" s="2"/>
      <c r="POX8" s="2"/>
      <c r="POY8" s="2"/>
      <c r="POZ8" s="2"/>
      <c r="PPA8" s="2"/>
      <c r="PPB8" s="2"/>
      <c r="PPC8" s="2"/>
      <c r="PPD8" s="2"/>
      <c r="PPE8" s="2"/>
      <c r="PPF8" s="2"/>
      <c r="PPG8" s="2"/>
      <c r="PPH8" s="2"/>
      <c r="PPI8" s="2"/>
      <c r="PPJ8" s="2"/>
      <c r="PPK8" s="2"/>
      <c r="PPL8" s="2"/>
      <c r="PPM8" s="2"/>
      <c r="PPN8" s="2"/>
      <c r="PPO8" s="2"/>
      <c r="PPP8" s="2"/>
      <c r="PPQ8" s="2"/>
      <c r="PPR8" s="2"/>
      <c r="PPS8" s="2"/>
      <c r="PPT8" s="2"/>
      <c r="PPU8" s="2"/>
      <c r="PPV8" s="2"/>
      <c r="PPW8" s="2"/>
      <c r="PPX8" s="2"/>
      <c r="PPY8" s="2"/>
      <c r="PPZ8" s="2"/>
      <c r="PQA8" s="2"/>
      <c r="PQB8" s="2"/>
      <c r="PQC8" s="2"/>
      <c r="PQD8" s="2"/>
      <c r="PQE8" s="2"/>
      <c r="PQF8" s="2"/>
      <c r="PQG8" s="2"/>
      <c r="PQH8" s="2"/>
      <c r="PQI8" s="2"/>
      <c r="PQJ8" s="2"/>
      <c r="PQK8" s="2"/>
      <c r="PQL8" s="2"/>
      <c r="PQM8" s="2"/>
      <c r="PQN8" s="2"/>
      <c r="PQO8" s="2"/>
      <c r="PQP8" s="2"/>
      <c r="PQQ8" s="2"/>
      <c r="PQR8" s="2"/>
      <c r="PQS8" s="2"/>
      <c r="PQT8" s="2"/>
      <c r="PQU8" s="2"/>
      <c r="PQV8" s="2"/>
      <c r="PQW8" s="2"/>
      <c r="PQX8" s="2"/>
      <c r="PQY8" s="2"/>
      <c r="PQZ8" s="2"/>
      <c r="PRA8" s="2"/>
      <c r="PRB8" s="2"/>
      <c r="PRC8" s="2"/>
      <c r="PRD8" s="2"/>
      <c r="PRE8" s="2"/>
      <c r="PRF8" s="2"/>
      <c r="PRG8" s="2"/>
      <c r="PRH8" s="2"/>
      <c r="PRI8" s="2"/>
      <c r="PRJ8" s="2"/>
      <c r="PRK8" s="2"/>
      <c r="PRL8" s="2"/>
      <c r="PRM8" s="2"/>
      <c r="PRN8" s="2"/>
      <c r="PRO8" s="2"/>
      <c r="PRP8" s="2"/>
      <c r="PRQ8" s="2"/>
      <c r="PRR8" s="2"/>
      <c r="PRS8" s="2"/>
      <c r="PRT8" s="2"/>
      <c r="PRU8" s="2"/>
      <c r="PRV8" s="2"/>
      <c r="PRW8" s="2"/>
      <c r="PRX8" s="2"/>
      <c r="PRY8" s="2"/>
      <c r="PRZ8" s="2"/>
      <c r="PSA8" s="2"/>
      <c r="PSB8" s="2"/>
      <c r="PSC8" s="2"/>
      <c r="PSD8" s="2"/>
      <c r="PSE8" s="2"/>
      <c r="PSF8" s="2"/>
      <c r="PSG8" s="2"/>
      <c r="PSH8" s="2"/>
      <c r="PSI8" s="2"/>
      <c r="PSJ8" s="2"/>
      <c r="PSK8" s="2"/>
      <c r="PSL8" s="2"/>
      <c r="PSM8" s="2"/>
      <c r="PSN8" s="2"/>
      <c r="PSO8" s="2"/>
      <c r="PSP8" s="2"/>
      <c r="PSQ8" s="2"/>
      <c r="PSR8" s="2"/>
      <c r="PSS8" s="2"/>
      <c r="PST8" s="2"/>
      <c r="PSU8" s="2"/>
      <c r="PSV8" s="2"/>
      <c r="PSW8" s="2"/>
      <c r="PSX8" s="2"/>
      <c r="PSY8" s="2"/>
      <c r="PSZ8" s="2"/>
      <c r="PTA8" s="2"/>
      <c r="PTB8" s="2"/>
      <c r="PTC8" s="2"/>
      <c r="PTD8" s="2"/>
      <c r="PTE8" s="2"/>
      <c r="PTF8" s="2"/>
      <c r="PTG8" s="2"/>
      <c r="PTH8" s="2"/>
      <c r="PTI8" s="2"/>
      <c r="PTJ8" s="2"/>
      <c r="PTK8" s="2"/>
      <c r="PTL8" s="2"/>
      <c r="PTM8" s="2"/>
      <c r="PTN8" s="2"/>
      <c r="PTO8" s="2"/>
      <c r="PTP8" s="2"/>
      <c r="PTQ8" s="2"/>
      <c r="PTR8" s="2"/>
      <c r="PTS8" s="2"/>
      <c r="PTT8" s="2"/>
      <c r="PTU8" s="2"/>
      <c r="PTV8" s="2"/>
      <c r="PTW8" s="2"/>
      <c r="PTX8" s="2"/>
      <c r="PTY8" s="2"/>
      <c r="PTZ8" s="2"/>
      <c r="PUA8" s="2"/>
      <c r="PUB8" s="2"/>
      <c r="PUC8" s="2"/>
      <c r="PUD8" s="2"/>
      <c r="PUE8" s="2"/>
      <c r="PUF8" s="2"/>
      <c r="PUG8" s="2"/>
      <c r="PUH8" s="2"/>
      <c r="PUI8" s="2"/>
      <c r="PUJ8" s="2"/>
      <c r="PUK8" s="2"/>
      <c r="PUL8" s="2"/>
      <c r="PUM8" s="2"/>
      <c r="PUN8" s="2"/>
      <c r="PUO8" s="2"/>
      <c r="PUP8" s="2"/>
      <c r="PUQ8" s="2"/>
      <c r="PUR8" s="2"/>
      <c r="PUS8" s="2"/>
      <c r="PUT8" s="2"/>
      <c r="PUU8" s="2"/>
      <c r="PUV8" s="2"/>
      <c r="PUW8" s="2"/>
      <c r="PUX8" s="2"/>
      <c r="PUY8" s="2"/>
      <c r="PUZ8" s="2"/>
      <c r="PVA8" s="2"/>
      <c r="PVB8" s="2"/>
      <c r="PVC8" s="2"/>
      <c r="PVD8" s="2"/>
      <c r="PVE8" s="2"/>
      <c r="PVF8" s="2"/>
      <c r="PVG8" s="2"/>
      <c r="PVH8" s="2"/>
      <c r="PVI8" s="2"/>
      <c r="PVJ8" s="2"/>
      <c r="PVK8" s="2"/>
      <c r="PVL8" s="2"/>
      <c r="PVM8" s="2"/>
      <c r="PVN8" s="2"/>
      <c r="PVO8" s="2"/>
      <c r="PVP8" s="2"/>
      <c r="PVQ8" s="2"/>
      <c r="PVR8" s="2"/>
      <c r="PVS8" s="2"/>
      <c r="PVT8" s="2"/>
      <c r="PVU8" s="2"/>
      <c r="PVV8" s="2"/>
      <c r="PVW8" s="2"/>
      <c r="PVX8" s="2"/>
      <c r="PVY8" s="2"/>
      <c r="PVZ8" s="2"/>
      <c r="PWA8" s="2"/>
      <c r="PWB8" s="2"/>
      <c r="PWC8" s="2"/>
      <c r="PWD8" s="2"/>
      <c r="PWE8" s="2"/>
      <c r="PWF8" s="2"/>
      <c r="PWG8" s="2"/>
      <c r="PWH8" s="2"/>
      <c r="PWI8" s="2"/>
      <c r="PWJ8" s="2"/>
      <c r="PWK8" s="2"/>
      <c r="PWL8" s="2"/>
      <c r="PWM8" s="2"/>
      <c r="PWN8" s="2"/>
      <c r="PWO8" s="2"/>
      <c r="PWP8" s="2"/>
      <c r="PWQ8" s="2"/>
      <c r="PWR8" s="2"/>
      <c r="PWS8" s="2"/>
      <c r="PWT8" s="2"/>
      <c r="PWU8" s="2"/>
      <c r="PWV8" s="2"/>
      <c r="PWW8" s="2"/>
      <c r="PWX8" s="2"/>
      <c r="PWY8" s="2"/>
      <c r="PWZ8" s="2"/>
      <c r="PXA8" s="2"/>
      <c r="PXB8" s="2"/>
      <c r="PXC8" s="2"/>
      <c r="PXD8" s="2"/>
      <c r="PXE8" s="2"/>
      <c r="PXF8" s="2"/>
      <c r="PXG8" s="2"/>
      <c r="PXH8" s="2"/>
      <c r="PXI8" s="2"/>
      <c r="PXJ8" s="2"/>
      <c r="PXK8" s="2"/>
      <c r="PXL8" s="2"/>
      <c r="PXM8" s="2"/>
      <c r="PXN8" s="2"/>
      <c r="PXO8" s="2"/>
      <c r="PXP8" s="2"/>
      <c r="PXQ8" s="2"/>
      <c r="PXR8" s="2"/>
      <c r="PXS8" s="2"/>
      <c r="PXT8" s="2"/>
      <c r="PXU8" s="2"/>
      <c r="PXV8" s="2"/>
      <c r="PXW8" s="2"/>
      <c r="PXX8" s="2"/>
      <c r="PXY8" s="2"/>
      <c r="PXZ8" s="2"/>
      <c r="PYA8" s="2"/>
      <c r="PYB8" s="2"/>
      <c r="PYC8" s="2"/>
      <c r="PYD8" s="2"/>
      <c r="PYE8" s="2"/>
      <c r="PYF8" s="2"/>
      <c r="PYG8" s="2"/>
      <c r="PYH8" s="2"/>
      <c r="PYI8" s="2"/>
      <c r="PYJ8" s="2"/>
      <c r="PYK8" s="2"/>
      <c r="PYL8" s="2"/>
      <c r="PYM8" s="2"/>
      <c r="PYN8" s="2"/>
      <c r="PYO8" s="2"/>
      <c r="PYP8" s="2"/>
      <c r="PYQ8" s="2"/>
      <c r="PYR8" s="2"/>
      <c r="PYS8" s="2"/>
      <c r="PYT8" s="2"/>
      <c r="PYU8" s="2"/>
      <c r="PYV8" s="2"/>
      <c r="PYW8" s="2"/>
      <c r="PYX8" s="2"/>
      <c r="PYY8" s="2"/>
      <c r="PYZ8" s="2"/>
      <c r="PZA8" s="2"/>
      <c r="PZB8" s="2"/>
      <c r="PZC8" s="2"/>
      <c r="PZD8" s="2"/>
      <c r="PZE8" s="2"/>
      <c r="PZF8" s="2"/>
      <c r="PZG8" s="2"/>
      <c r="PZH8" s="2"/>
      <c r="PZI8" s="2"/>
      <c r="PZJ8" s="2"/>
      <c r="PZK8" s="2"/>
      <c r="PZL8" s="2"/>
      <c r="PZM8" s="2"/>
      <c r="PZN8" s="2"/>
      <c r="PZO8" s="2"/>
      <c r="PZP8" s="2"/>
      <c r="PZQ8" s="2"/>
      <c r="PZR8" s="2"/>
      <c r="PZS8" s="2"/>
      <c r="PZT8" s="2"/>
      <c r="PZU8" s="2"/>
      <c r="PZV8" s="2"/>
      <c r="PZW8" s="2"/>
      <c r="PZX8" s="2"/>
      <c r="PZY8" s="2"/>
      <c r="PZZ8" s="2"/>
      <c r="QAA8" s="2"/>
      <c r="QAB8" s="2"/>
      <c r="QAC8" s="2"/>
      <c r="QAD8" s="2"/>
      <c r="QAE8" s="2"/>
      <c r="QAF8" s="2"/>
      <c r="QAG8" s="2"/>
      <c r="QAH8" s="2"/>
      <c r="QAI8" s="2"/>
      <c r="QAJ8" s="2"/>
      <c r="QAK8" s="2"/>
      <c r="QAL8" s="2"/>
      <c r="QAM8" s="2"/>
      <c r="QAN8" s="2"/>
      <c r="QAO8" s="2"/>
      <c r="QAP8" s="2"/>
      <c r="QAQ8" s="2"/>
      <c r="QAR8" s="2"/>
      <c r="QAS8" s="2"/>
      <c r="QAT8" s="2"/>
      <c r="QAU8" s="2"/>
      <c r="QAV8" s="2"/>
      <c r="QAW8" s="2"/>
      <c r="QAX8" s="2"/>
      <c r="QAY8" s="2"/>
      <c r="QAZ8" s="2"/>
      <c r="QBA8" s="2"/>
      <c r="QBB8" s="2"/>
      <c r="QBC8" s="2"/>
      <c r="QBD8" s="2"/>
      <c r="QBE8" s="2"/>
      <c r="QBF8" s="2"/>
      <c r="QBG8" s="2"/>
      <c r="QBH8" s="2"/>
      <c r="QBI8" s="2"/>
      <c r="QBJ8" s="2"/>
      <c r="QBK8" s="2"/>
      <c r="QBL8" s="2"/>
      <c r="QBM8" s="2"/>
      <c r="QBN8" s="2"/>
      <c r="QBO8" s="2"/>
      <c r="QBP8" s="2"/>
      <c r="QBQ8" s="2"/>
      <c r="QBR8" s="2"/>
      <c r="QBS8" s="2"/>
      <c r="QBT8" s="2"/>
      <c r="QBU8" s="2"/>
      <c r="QBV8" s="2"/>
      <c r="QBW8" s="2"/>
      <c r="QBX8" s="2"/>
      <c r="QBY8" s="2"/>
      <c r="QBZ8" s="2"/>
      <c r="QCA8" s="2"/>
      <c r="QCB8" s="2"/>
      <c r="QCC8" s="2"/>
      <c r="QCD8" s="2"/>
      <c r="QCE8" s="2"/>
      <c r="QCF8" s="2"/>
      <c r="QCG8" s="2"/>
      <c r="QCH8" s="2"/>
      <c r="QCI8" s="2"/>
      <c r="QCJ8" s="2"/>
      <c r="QCK8" s="2"/>
      <c r="QCL8" s="2"/>
      <c r="QCM8" s="2"/>
      <c r="QCN8" s="2"/>
      <c r="QCO8" s="2"/>
      <c r="QCP8" s="2"/>
      <c r="QCQ8" s="2"/>
      <c r="QCR8" s="2"/>
      <c r="QCS8" s="2"/>
      <c r="QCT8" s="2"/>
      <c r="QCU8" s="2"/>
      <c r="QCV8" s="2"/>
      <c r="QCW8" s="2"/>
      <c r="QCX8" s="2"/>
      <c r="QCY8" s="2"/>
      <c r="QCZ8" s="2"/>
      <c r="QDA8" s="2"/>
      <c r="QDB8" s="2"/>
      <c r="QDC8" s="2"/>
      <c r="QDD8" s="2"/>
      <c r="QDE8" s="2"/>
      <c r="QDF8" s="2"/>
      <c r="QDG8" s="2"/>
      <c r="QDH8" s="2"/>
      <c r="QDI8" s="2"/>
      <c r="QDJ8" s="2"/>
      <c r="QDK8" s="2"/>
      <c r="QDL8" s="2"/>
      <c r="QDM8" s="2"/>
      <c r="QDN8" s="2"/>
      <c r="QDO8" s="2"/>
      <c r="QDP8" s="2"/>
      <c r="QDQ8" s="2"/>
      <c r="QDR8" s="2"/>
      <c r="QDS8" s="2"/>
      <c r="QDT8" s="2"/>
      <c r="QDU8" s="2"/>
      <c r="QDV8" s="2"/>
      <c r="QDW8" s="2"/>
      <c r="QDX8" s="2"/>
      <c r="QDY8" s="2"/>
      <c r="QDZ8" s="2"/>
      <c r="QEA8" s="2"/>
      <c r="QEB8" s="2"/>
      <c r="QEC8" s="2"/>
      <c r="QED8" s="2"/>
      <c r="QEE8" s="2"/>
      <c r="QEF8" s="2"/>
      <c r="QEG8" s="2"/>
      <c r="QEH8" s="2"/>
      <c r="QEI8" s="2"/>
      <c r="QEJ8" s="2"/>
      <c r="QEK8" s="2"/>
      <c r="QEL8" s="2"/>
      <c r="QEM8" s="2"/>
      <c r="QEN8" s="2"/>
      <c r="QEO8" s="2"/>
      <c r="QEP8" s="2"/>
      <c r="QEQ8" s="2"/>
      <c r="QER8" s="2"/>
      <c r="QES8" s="2"/>
      <c r="QET8" s="2"/>
      <c r="QEU8" s="2"/>
      <c r="QEV8" s="2"/>
      <c r="QEW8" s="2"/>
      <c r="QEX8" s="2"/>
      <c r="QEY8" s="2"/>
      <c r="QEZ8" s="2"/>
      <c r="QFA8" s="2"/>
      <c r="QFB8" s="2"/>
      <c r="QFC8" s="2"/>
      <c r="QFD8" s="2"/>
      <c r="QFE8" s="2"/>
      <c r="QFF8" s="2"/>
      <c r="QFG8" s="2"/>
      <c r="QFH8" s="2"/>
      <c r="QFI8" s="2"/>
      <c r="QFJ8" s="2"/>
      <c r="QFK8" s="2"/>
      <c r="QFL8" s="2"/>
      <c r="QFM8" s="2"/>
      <c r="QFN8" s="2"/>
      <c r="QFO8" s="2"/>
      <c r="QFP8" s="2"/>
      <c r="QFQ8" s="2"/>
      <c r="QFR8" s="2"/>
      <c r="QFS8" s="2"/>
      <c r="QFT8" s="2"/>
      <c r="QFU8" s="2"/>
      <c r="QFV8" s="2"/>
      <c r="QFW8" s="2"/>
      <c r="QFX8" s="2"/>
      <c r="QFY8" s="2"/>
      <c r="QFZ8" s="2"/>
      <c r="QGA8" s="2"/>
      <c r="QGB8" s="2"/>
      <c r="QGC8" s="2"/>
      <c r="QGD8" s="2"/>
      <c r="QGE8" s="2"/>
      <c r="QGF8" s="2"/>
      <c r="QGG8" s="2"/>
      <c r="QGH8" s="2"/>
      <c r="QGI8" s="2"/>
      <c r="QGJ8" s="2"/>
      <c r="QGK8" s="2"/>
      <c r="QGL8" s="2"/>
      <c r="QGM8" s="2"/>
      <c r="QGN8" s="2"/>
      <c r="QGO8" s="2"/>
      <c r="QGP8" s="2"/>
      <c r="QGQ8" s="2"/>
      <c r="QGR8" s="2"/>
      <c r="QGS8" s="2"/>
      <c r="QGT8" s="2"/>
      <c r="QGU8" s="2"/>
      <c r="QGV8" s="2"/>
      <c r="QGW8" s="2"/>
      <c r="QGX8" s="2"/>
      <c r="QGY8" s="2"/>
      <c r="QGZ8" s="2"/>
      <c r="QHA8" s="2"/>
      <c r="QHB8" s="2"/>
      <c r="QHC8" s="2"/>
      <c r="QHD8" s="2"/>
      <c r="QHE8" s="2"/>
      <c r="QHF8" s="2"/>
      <c r="QHG8" s="2"/>
      <c r="QHH8" s="2"/>
      <c r="QHI8" s="2"/>
      <c r="QHJ8" s="2"/>
      <c r="QHK8" s="2"/>
      <c r="QHL8" s="2"/>
      <c r="QHM8" s="2"/>
      <c r="QHN8" s="2"/>
      <c r="QHO8" s="2"/>
      <c r="QHP8" s="2"/>
      <c r="QHQ8" s="2"/>
      <c r="QHR8" s="2"/>
      <c r="QHS8" s="2"/>
      <c r="QHT8" s="2"/>
      <c r="QHU8" s="2"/>
      <c r="QHV8" s="2"/>
      <c r="QHW8" s="2"/>
      <c r="QHX8" s="2"/>
      <c r="QHY8" s="2"/>
      <c r="QHZ8" s="2"/>
      <c r="QIA8" s="2"/>
      <c r="QIB8" s="2"/>
      <c r="QIC8" s="2"/>
      <c r="QID8" s="2"/>
      <c r="QIE8" s="2"/>
      <c r="QIF8" s="2"/>
      <c r="QIG8" s="2"/>
      <c r="QIH8" s="2"/>
      <c r="QII8" s="2"/>
      <c r="QIJ8" s="2"/>
      <c r="QIK8" s="2"/>
      <c r="QIL8" s="2"/>
      <c r="QIM8" s="2"/>
      <c r="QIN8" s="2"/>
      <c r="QIO8" s="2"/>
      <c r="QIP8" s="2"/>
      <c r="QIQ8" s="2"/>
      <c r="QIR8" s="2"/>
      <c r="QIS8" s="2"/>
      <c r="QIT8" s="2"/>
      <c r="QIU8" s="2"/>
      <c r="QIV8" s="2"/>
      <c r="QIW8" s="2"/>
      <c r="QIX8" s="2"/>
      <c r="QIY8" s="2"/>
      <c r="QIZ8" s="2"/>
      <c r="QJA8" s="2"/>
      <c r="QJB8" s="2"/>
      <c r="QJC8" s="2"/>
      <c r="QJD8" s="2"/>
      <c r="QJE8" s="2"/>
      <c r="QJF8" s="2"/>
      <c r="QJG8" s="2"/>
      <c r="QJH8" s="2"/>
      <c r="QJI8" s="2"/>
      <c r="QJJ8" s="2"/>
      <c r="QJK8" s="2"/>
      <c r="QJL8" s="2"/>
      <c r="QJM8" s="2"/>
      <c r="QJN8" s="2"/>
      <c r="QJO8" s="2"/>
      <c r="QJP8" s="2"/>
      <c r="QJQ8" s="2"/>
      <c r="QJR8" s="2"/>
      <c r="QJS8" s="2"/>
      <c r="QJT8" s="2"/>
      <c r="QJU8" s="2"/>
      <c r="QJV8" s="2"/>
      <c r="QJW8" s="2"/>
      <c r="QJX8" s="2"/>
      <c r="QJY8" s="2"/>
      <c r="QJZ8" s="2"/>
      <c r="QKA8" s="2"/>
      <c r="QKB8" s="2"/>
      <c r="QKC8" s="2"/>
      <c r="QKD8" s="2"/>
      <c r="QKE8" s="2"/>
      <c r="QKF8" s="2"/>
      <c r="QKG8" s="2"/>
      <c r="QKH8" s="2"/>
      <c r="QKI8" s="2"/>
      <c r="QKJ8" s="2"/>
      <c r="QKK8" s="2"/>
      <c r="QKL8" s="2"/>
      <c r="QKM8" s="2"/>
      <c r="QKN8" s="2"/>
      <c r="QKO8" s="2"/>
      <c r="QKP8" s="2"/>
      <c r="QKQ8" s="2"/>
      <c r="QKR8" s="2"/>
      <c r="QKS8" s="2"/>
      <c r="QKT8" s="2"/>
      <c r="QKU8" s="2"/>
      <c r="QKV8" s="2"/>
      <c r="QKW8" s="2"/>
      <c r="QKX8" s="2"/>
      <c r="QKY8" s="2"/>
      <c r="QKZ8" s="2"/>
      <c r="QLA8" s="2"/>
      <c r="QLB8" s="2"/>
      <c r="QLC8" s="2"/>
      <c r="QLD8" s="2"/>
      <c r="QLE8" s="2"/>
      <c r="QLF8" s="2"/>
      <c r="QLG8" s="2"/>
      <c r="QLH8" s="2"/>
      <c r="QLI8" s="2"/>
      <c r="QLJ8" s="2"/>
      <c r="QLK8" s="2"/>
      <c r="QLL8" s="2"/>
      <c r="QLM8" s="2"/>
      <c r="QLN8" s="2"/>
      <c r="QLO8" s="2"/>
      <c r="QLP8" s="2"/>
      <c r="QLQ8" s="2"/>
      <c r="QLR8" s="2"/>
      <c r="QLS8" s="2"/>
      <c r="QLT8" s="2"/>
      <c r="QLU8" s="2"/>
      <c r="QLV8" s="2"/>
      <c r="QLW8" s="2"/>
      <c r="QLX8" s="2"/>
      <c r="QLY8" s="2"/>
      <c r="QLZ8" s="2"/>
      <c r="QMA8" s="2"/>
      <c r="QMB8" s="2"/>
      <c r="QMC8" s="2"/>
      <c r="QMD8" s="2"/>
      <c r="QME8" s="2"/>
      <c r="QMF8" s="2"/>
      <c r="QMG8" s="2"/>
      <c r="QMH8" s="2"/>
      <c r="QMI8" s="2"/>
      <c r="QMJ8" s="2"/>
      <c r="QMK8" s="2"/>
      <c r="QML8" s="2"/>
      <c r="QMM8" s="2"/>
      <c r="QMN8" s="2"/>
      <c r="QMO8" s="2"/>
      <c r="QMP8" s="2"/>
      <c r="QMQ8" s="2"/>
      <c r="QMR8" s="2"/>
      <c r="QMS8" s="2"/>
      <c r="QMT8" s="2"/>
      <c r="QMU8" s="2"/>
      <c r="QMV8" s="2"/>
      <c r="QMW8" s="2"/>
      <c r="QMX8" s="2"/>
      <c r="QMY8" s="2"/>
      <c r="QMZ8" s="2"/>
      <c r="QNA8" s="2"/>
      <c r="QNB8" s="2"/>
      <c r="QNC8" s="2"/>
      <c r="QND8" s="2"/>
      <c r="QNE8" s="2"/>
      <c r="QNF8" s="2"/>
      <c r="QNG8" s="2"/>
      <c r="QNH8" s="2"/>
      <c r="QNI8" s="2"/>
      <c r="QNJ8" s="2"/>
      <c r="QNK8" s="2"/>
      <c r="QNL8" s="2"/>
      <c r="QNM8" s="2"/>
      <c r="QNN8" s="2"/>
      <c r="QNO8" s="2"/>
      <c r="QNP8" s="2"/>
      <c r="QNQ8" s="2"/>
      <c r="QNR8" s="2"/>
      <c r="QNS8" s="2"/>
      <c r="QNT8" s="2"/>
      <c r="QNU8" s="2"/>
      <c r="QNV8" s="2"/>
      <c r="QNW8" s="2"/>
      <c r="QNX8" s="2"/>
      <c r="QNY8" s="2"/>
      <c r="QNZ8" s="2"/>
      <c r="QOA8" s="2"/>
      <c r="QOB8" s="2"/>
      <c r="QOC8" s="2"/>
      <c r="QOD8" s="2"/>
      <c r="QOE8" s="2"/>
      <c r="QOF8" s="2"/>
      <c r="QOG8" s="2"/>
      <c r="QOH8" s="2"/>
      <c r="QOI8" s="2"/>
      <c r="QOJ8" s="2"/>
      <c r="QOK8" s="2"/>
      <c r="QOL8" s="2"/>
      <c r="QOM8" s="2"/>
      <c r="QON8" s="2"/>
      <c r="QOO8" s="2"/>
      <c r="QOP8" s="2"/>
      <c r="QOQ8" s="2"/>
      <c r="QOR8" s="2"/>
      <c r="QOS8" s="2"/>
      <c r="QOT8" s="2"/>
      <c r="QOU8" s="2"/>
      <c r="QOV8" s="2"/>
      <c r="QOW8" s="2"/>
      <c r="QOX8" s="2"/>
      <c r="QOY8" s="2"/>
      <c r="QOZ8" s="2"/>
      <c r="QPA8" s="2"/>
      <c r="QPB8" s="2"/>
      <c r="QPC8" s="2"/>
      <c r="QPD8" s="2"/>
      <c r="QPE8" s="2"/>
      <c r="QPF8" s="2"/>
      <c r="QPG8" s="2"/>
      <c r="QPH8" s="2"/>
      <c r="QPI8" s="2"/>
      <c r="QPJ8" s="2"/>
      <c r="QPK8" s="2"/>
      <c r="QPL8" s="2"/>
      <c r="QPM8" s="2"/>
      <c r="QPN8" s="2"/>
      <c r="QPO8" s="2"/>
      <c r="QPP8" s="2"/>
      <c r="QPQ8" s="2"/>
      <c r="QPR8" s="2"/>
      <c r="QPS8" s="2"/>
      <c r="QPT8" s="2"/>
      <c r="QPU8" s="2"/>
      <c r="QPV8" s="2"/>
      <c r="QPW8" s="2"/>
      <c r="QPX8" s="2"/>
      <c r="QPY8" s="2"/>
      <c r="QPZ8" s="2"/>
      <c r="QQA8" s="2"/>
      <c r="QQB8" s="2"/>
      <c r="QQC8" s="2"/>
      <c r="QQD8" s="2"/>
      <c r="QQE8" s="2"/>
      <c r="QQF8" s="2"/>
      <c r="QQG8" s="2"/>
      <c r="QQH8" s="2"/>
      <c r="QQI8" s="2"/>
      <c r="QQJ8" s="2"/>
      <c r="QQK8" s="2"/>
      <c r="QQL8" s="2"/>
      <c r="QQM8" s="2"/>
      <c r="QQN8" s="2"/>
      <c r="QQO8" s="2"/>
      <c r="QQP8" s="2"/>
      <c r="QQQ8" s="2"/>
      <c r="QQR8" s="2"/>
      <c r="QQS8" s="2"/>
      <c r="QQT8" s="2"/>
      <c r="QQU8" s="2"/>
      <c r="QQV8" s="2"/>
      <c r="QQW8" s="2"/>
      <c r="QQX8" s="2"/>
      <c r="QQY8" s="2"/>
      <c r="QQZ8" s="2"/>
      <c r="QRA8" s="2"/>
      <c r="QRB8" s="2"/>
      <c r="QRC8" s="2"/>
      <c r="QRD8" s="2"/>
      <c r="QRE8" s="2"/>
      <c r="QRF8" s="2"/>
      <c r="QRG8" s="2"/>
      <c r="QRH8" s="2"/>
      <c r="QRI8" s="2"/>
      <c r="QRJ8" s="2"/>
      <c r="QRK8" s="2"/>
      <c r="QRL8" s="2"/>
      <c r="QRM8" s="2"/>
      <c r="QRN8" s="2"/>
      <c r="QRO8" s="2"/>
      <c r="QRP8" s="2"/>
      <c r="QRQ8" s="2"/>
      <c r="QRR8" s="2"/>
      <c r="QRS8" s="2"/>
      <c r="QRT8" s="2"/>
      <c r="QRU8" s="2"/>
      <c r="QRV8" s="2"/>
      <c r="QRW8" s="2"/>
      <c r="QRX8" s="2"/>
      <c r="QRY8" s="2"/>
      <c r="QRZ8" s="2"/>
      <c r="QSA8" s="2"/>
      <c r="QSB8" s="2"/>
      <c r="QSC8" s="2"/>
      <c r="QSD8" s="2"/>
      <c r="QSE8" s="2"/>
      <c r="QSF8" s="2"/>
      <c r="QSG8" s="2"/>
      <c r="QSH8" s="2"/>
      <c r="QSI8" s="2"/>
      <c r="QSJ8" s="2"/>
      <c r="QSK8" s="2"/>
      <c r="QSL8" s="2"/>
      <c r="QSM8" s="2"/>
      <c r="QSN8" s="2"/>
      <c r="QSO8" s="2"/>
      <c r="QSP8" s="2"/>
      <c r="QSQ8" s="2"/>
      <c r="QSR8" s="2"/>
      <c r="QSS8" s="2"/>
      <c r="QST8" s="2"/>
      <c r="QSU8" s="2"/>
      <c r="QSV8" s="2"/>
      <c r="QSW8" s="2"/>
      <c r="QSX8" s="2"/>
      <c r="QSY8" s="2"/>
      <c r="QSZ8" s="2"/>
      <c r="QTA8" s="2"/>
      <c r="QTB8" s="2"/>
      <c r="QTC8" s="2"/>
      <c r="QTD8" s="2"/>
      <c r="QTE8" s="2"/>
      <c r="QTF8" s="2"/>
      <c r="QTG8" s="2"/>
      <c r="QTH8" s="2"/>
      <c r="QTI8" s="2"/>
      <c r="QTJ8" s="2"/>
      <c r="QTK8" s="2"/>
      <c r="QTL8" s="2"/>
      <c r="QTM8" s="2"/>
      <c r="QTN8" s="2"/>
      <c r="QTO8" s="2"/>
      <c r="QTP8" s="2"/>
      <c r="QTQ8" s="2"/>
      <c r="QTR8" s="2"/>
      <c r="QTS8" s="2"/>
      <c r="QTT8" s="2"/>
      <c r="QTU8" s="2"/>
      <c r="QTV8" s="2"/>
      <c r="QTW8" s="2"/>
      <c r="QTX8" s="2"/>
      <c r="QTY8" s="2"/>
      <c r="QTZ8" s="2"/>
      <c r="QUA8" s="2"/>
      <c r="QUB8" s="2"/>
      <c r="QUC8" s="2"/>
      <c r="QUD8" s="2"/>
      <c r="QUE8" s="2"/>
      <c r="QUF8" s="2"/>
      <c r="QUG8" s="2"/>
      <c r="QUH8" s="2"/>
      <c r="QUI8" s="2"/>
      <c r="QUJ8" s="2"/>
      <c r="QUK8" s="2"/>
      <c r="QUL8" s="2"/>
      <c r="QUM8" s="2"/>
      <c r="QUN8" s="2"/>
      <c r="QUO8" s="2"/>
      <c r="QUP8" s="2"/>
      <c r="QUQ8" s="2"/>
      <c r="QUR8" s="2"/>
      <c r="QUS8" s="2"/>
      <c r="QUT8" s="2"/>
      <c r="QUU8" s="2"/>
      <c r="QUV8" s="2"/>
      <c r="QUW8" s="2"/>
      <c r="QUX8" s="2"/>
      <c r="QUY8" s="2"/>
      <c r="QUZ8" s="2"/>
      <c r="QVA8" s="2"/>
      <c r="QVB8" s="2"/>
      <c r="QVC8" s="2"/>
      <c r="QVD8" s="2"/>
      <c r="QVE8" s="2"/>
      <c r="QVF8" s="2"/>
      <c r="QVG8" s="2"/>
      <c r="QVH8" s="2"/>
      <c r="QVI8" s="2"/>
      <c r="QVJ8" s="2"/>
      <c r="QVK8" s="2"/>
      <c r="QVL8" s="2"/>
      <c r="QVM8" s="2"/>
      <c r="QVN8" s="2"/>
      <c r="QVO8" s="2"/>
      <c r="QVP8" s="2"/>
      <c r="QVQ8" s="2"/>
      <c r="QVR8" s="2"/>
      <c r="QVS8" s="2"/>
      <c r="QVT8" s="2"/>
      <c r="QVU8" s="2"/>
      <c r="QVV8" s="2"/>
      <c r="QVW8" s="2"/>
      <c r="QVX8" s="2"/>
      <c r="QVY8" s="2"/>
      <c r="QVZ8" s="2"/>
      <c r="QWA8" s="2"/>
      <c r="QWB8" s="2"/>
      <c r="QWC8" s="2"/>
      <c r="QWD8" s="2"/>
      <c r="QWE8" s="2"/>
      <c r="QWF8" s="2"/>
      <c r="QWG8" s="2"/>
      <c r="QWH8" s="2"/>
      <c r="QWI8" s="2"/>
      <c r="QWJ8" s="2"/>
      <c r="QWK8" s="2"/>
      <c r="QWL8" s="2"/>
      <c r="QWM8" s="2"/>
      <c r="QWN8" s="2"/>
      <c r="QWO8" s="2"/>
      <c r="QWP8" s="2"/>
      <c r="QWQ8" s="2"/>
      <c r="QWR8" s="2"/>
      <c r="QWS8" s="2"/>
      <c r="QWT8" s="2"/>
      <c r="QWU8" s="2"/>
      <c r="QWV8" s="2"/>
      <c r="QWW8" s="2"/>
      <c r="QWX8" s="2"/>
      <c r="QWY8" s="2"/>
      <c r="QWZ8" s="2"/>
      <c r="QXA8" s="2"/>
      <c r="QXB8" s="2"/>
      <c r="QXC8" s="2"/>
      <c r="QXD8" s="2"/>
      <c r="QXE8" s="2"/>
      <c r="QXF8" s="2"/>
      <c r="QXG8" s="2"/>
      <c r="QXH8" s="2"/>
      <c r="QXI8" s="2"/>
      <c r="QXJ8" s="2"/>
      <c r="QXK8" s="2"/>
      <c r="QXL8" s="2"/>
      <c r="QXM8" s="2"/>
      <c r="QXN8" s="2"/>
      <c r="QXO8" s="2"/>
      <c r="QXP8" s="2"/>
      <c r="QXQ8" s="2"/>
      <c r="QXR8" s="2"/>
      <c r="QXS8" s="2"/>
      <c r="QXT8" s="2"/>
      <c r="QXU8" s="2"/>
      <c r="QXV8" s="2"/>
      <c r="QXW8" s="2"/>
      <c r="QXX8" s="2"/>
      <c r="QXY8" s="2"/>
      <c r="QXZ8" s="2"/>
      <c r="QYA8" s="2"/>
      <c r="QYB8" s="2"/>
      <c r="QYC8" s="2"/>
      <c r="QYD8" s="2"/>
      <c r="QYE8" s="2"/>
      <c r="QYF8" s="2"/>
      <c r="QYG8" s="2"/>
      <c r="QYH8" s="2"/>
      <c r="QYI8" s="2"/>
      <c r="QYJ8" s="2"/>
      <c r="QYK8" s="2"/>
      <c r="QYL8" s="2"/>
      <c r="QYM8" s="2"/>
      <c r="QYN8" s="2"/>
      <c r="QYO8" s="2"/>
      <c r="QYP8" s="2"/>
      <c r="QYQ8" s="2"/>
      <c r="QYR8" s="2"/>
      <c r="QYS8" s="2"/>
      <c r="QYT8" s="2"/>
      <c r="QYU8" s="2"/>
      <c r="QYV8" s="2"/>
      <c r="QYW8" s="2"/>
      <c r="QYX8" s="2"/>
      <c r="QYY8" s="2"/>
      <c r="QYZ8" s="2"/>
      <c r="QZA8" s="2"/>
      <c r="QZB8" s="2"/>
      <c r="QZC8" s="2"/>
      <c r="QZD8" s="2"/>
      <c r="QZE8" s="2"/>
      <c r="QZF8" s="2"/>
      <c r="QZG8" s="2"/>
      <c r="QZH8" s="2"/>
      <c r="QZI8" s="2"/>
      <c r="QZJ8" s="2"/>
      <c r="QZK8" s="2"/>
      <c r="QZL8" s="2"/>
      <c r="QZM8" s="2"/>
      <c r="QZN8" s="2"/>
      <c r="QZO8" s="2"/>
      <c r="QZP8" s="2"/>
      <c r="QZQ8" s="2"/>
      <c r="QZR8" s="2"/>
      <c r="QZS8" s="2"/>
      <c r="QZT8" s="2"/>
      <c r="QZU8" s="2"/>
      <c r="QZV8" s="2"/>
      <c r="QZW8" s="2"/>
      <c r="QZX8" s="2"/>
      <c r="QZY8" s="2"/>
      <c r="QZZ8" s="2"/>
      <c r="RAA8" s="2"/>
      <c r="RAB8" s="2"/>
      <c r="RAC8" s="2"/>
      <c r="RAD8" s="2"/>
      <c r="RAE8" s="2"/>
      <c r="RAF8" s="2"/>
      <c r="RAG8" s="2"/>
      <c r="RAH8" s="2"/>
      <c r="RAI8" s="2"/>
      <c r="RAJ8" s="2"/>
      <c r="RAK8" s="2"/>
      <c r="RAL8" s="2"/>
      <c r="RAM8" s="2"/>
      <c r="RAN8" s="2"/>
      <c r="RAO8" s="2"/>
      <c r="RAP8" s="2"/>
      <c r="RAQ8" s="2"/>
      <c r="RAR8" s="2"/>
      <c r="RAS8" s="2"/>
      <c r="RAT8" s="2"/>
      <c r="RAU8" s="2"/>
      <c r="RAV8" s="2"/>
      <c r="RAW8" s="2"/>
      <c r="RAX8" s="2"/>
      <c r="RAY8" s="2"/>
      <c r="RAZ8" s="2"/>
      <c r="RBA8" s="2"/>
      <c r="RBB8" s="2"/>
      <c r="RBC8" s="2"/>
      <c r="RBD8" s="2"/>
      <c r="RBE8" s="2"/>
      <c r="RBF8" s="2"/>
      <c r="RBG8" s="2"/>
      <c r="RBH8" s="2"/>
      <c r="RBI8" s="2"/>
      <c r="RBJ8" s="2"/>
      <c r="RBK8" s="2"/>
      <c r="RBL8" s="2"/>
      <c r="RBM8" s="2"/>
      <c r="RBN8" s="2"/>
      <c r="RBO8" s="2"/>
      <c r="RBP8" s="2"/>
      <c r="RBQ8" s="2"/>
      <c r="RBR8" s="2"/>
      <c r="RBS8" s="2"/>
      <c r="RBT8" s="2"/>
      <c r="RBU8" s="2"/>
      <c r="RBV8" s="2"/>
      <c r="RBW8" s="2"/>
      <c r="RBX8" s="2"/>
      <c r="RBY8" s="2"/>
      <c r="RBZ8" s="2"/>
      <c r="RCA8" s="2"/>
      <c r="RCB8" s="2"/>
      <c r="RCC8" s="2"/>
      <c r="RCD8" s="2"/>
      <c r="RCE8" s="2"/>
      <c r="RCF8" s="2"/>
      <c r="RCG8" s="2"/>
      <c r="RCH8" s="2"/>
      <c r="RCI8" s="2"/>
      <c r="RCJ8" s="2"/>
      <c r="RCK8" s="2"/>
      <c r="RCL8" s="2"/>
      <c r="RCM8" s="2"/>
      <c r="RCN8" s="2"/>
      <c r="RCO8" s="2"/>
      <c r="RCP8" s="2"/>
      <c r="RCQ8" s="2"/>
      <c r="RCR8" s="2"/>
      <c r="RCS8" s="2"/>
      <c r="RCT8" s="2"/>
      <c r="RCU8" s="2"/>
      <c r="RCV8" s="2"/>
      <c r="RCW8" s="2"/>
      <c r="RCX8" s="2"/>
      <c r="RCY8" s="2"/>
      <c r="RCZ8" s="2"/>
      <c r="RDA8" s="2"/>
      <c r="RDB8" s="2"/>
      <c r="RDC8" s="2"/>
      <c r="RDD8" s="2"/>
      <c r="RDE8" s="2"/>
      <c r="RDF8" s="2"/>
      <c r="RDG8" s="2"/>
      <c r="RDH8" s="2"/>
      <c r="RDI8" s="2"/>
      <c r="RDJ8" s="2"/>
      <c r="RDK8" s="2"/>
      <c r="RDL8" s="2"/>
      <c r="RDM8" s="2"/>
      <c r="RDN8" s="2"/>
      <c r="RDO8" s="2"/>
      <c r="RDP8" s="2"/>
      <c r="RDQ8" s="2"/>
      <c r="RDR8" s="2"/>
      <c r="RDS8" s="2"/>
      <c r="RDT8" s="2"/>
      <c r="RDU8" s="2"/>
      <c r="RDV8" s="2"/>
      <c r="RDW8" s="2"/>
      <c r="RDX8" s="2"/>
      <c r="RDY8" s="2"/>
      <c r="RDZ8" s="2"/>
      <c r="REA8" s="2"/>
      <c r="REB8" s="2"/>
      <c r="REC8" s="2"/>
      <c r="RED8" s="2"/>
      <c r="REE8" s="2"/>
      <c r="REF8" s="2"/>
      <c r="REG8" s="2"/>
      <c r="REH8" s="2"/>
      <c r="REI8" s="2"/>
      <c r="REJ8" s="2"/>
      <c r="REK8" s="2"/>
      <c r="REL8" s="2"/>
      <c r="REM8" s="2"/>
      <c r="REN8" s="2"/>
      <c r="REO8" s="2"/>
      <c r="REP8" s="2"/>
      <c r="REQ8" s="2"/>
      <c r="RER8" s="2"/>
      <c r="RES8" s="2"/>
      <c r="RET8" s="2"/>
      <c r="REU8" s="2"/>
      <c r="REV8" s="2"/>
      <c r="REW8" s="2"/>
      <c r="REX8" s="2"/>
      <c r="REY8" s="2"/>
      <c r="REZ8" s="2"/>
      <c r="RFA8" s="2"/>
      <c r="RFB8" s="2"/>
      <c r="RFC8" s="2"/>
      <c r="RFD8" s="2"/>
      <c r="RFE8" s="2"/>
      <c r="RFF8" s="2"/>
      <c r="RFG8" s="2"/>
      <c r="RFH8" s="2"/>
      <c r="RFI8" s="2"/>
      <c r="RFJ8" s="2"/>
      <c r="RFK8" s="2"/>
      <c r="RFL8" s="2"/>
      <c r="RFM8" s="2"/>
      <c r="RFN8" s="2"/>
      <c r="RFO8" s="2"/>
      <c r="RFP8" s="2"/>
      <c r="RFQ8" s="2"/>
      <c r="RFR8" s="2"/>
      <c r="RFS8" s="2"/>
      <c r="RFT8" s="2"/>
      <c r="RFU8" s="2"/>
      <c r="RFV8" s="2"/>
      <c r="RFW8" s="2"/>
      <c r="RFX8" s="2"/>
      <c r="RFY8" s="2"/>
      <c r="RFZ8" s="2"/>
      <c r="RGA8" s="2"/>
      <c r="RGB8" s="2"/>
      <c r="RGC8" s="2"/>
      <c r="RGD8" s="2"/>
      <c r="RGE8" s="2"/>
      <c r="RGF8" s="2"/>
      <c r="RGG8" s="2"/>
      <c r="RGH8" s="2"/>
      <c r="RGI8" s="2"/>
      <c r="RGJ8" s="2"/>
      <c r="RGK8" s="2"/>
      <c r="RGL8" s="2"/>
      <c r="RGM8" s="2"/>
      <c r="RGN8" s="2"/>
      <c r="RGO8" s="2"/>
      <c r="RGP8" s="2"/>
      <c r="RGQ8" s="2"/>
      <c r="RGR8" s="2"/>
      <c r="RGS8" s="2"/>
      <c r="RGT8" s="2"/>
      <c r="RGU8" s="2"/>
      <c r="RGV8" s="2"/>
      <c r="RGW8" s="2"/>
      <c r="RGX8" s="2"/>
      <c r="RGY8" s="2"/>
      <c r="RGZ8" s="2"/>
      <c r="RHA8" s="2"/>
      <c r="RHB8" s="2"/>
      <c r="RHC8" s="2"/>
      <c r="RHD8" s="2"/>
      <c r="RHE8" s="2"/>
      <c r="RHF8" s="2"/>
      <c r="RHG8" s="2"/>
      <c r="RHH8" s="2"/>
      <c r="RHI8" s="2"/>
      <c r="RHJ8" s="2"/>
      <c r="RHK8" s="2"/>
      <c r="RHL8" s="2"/>
      <c r="RHM8" s="2"/>
      <c r="RHN8" s="2"/>
      <c r="RHO8" s="2"/>
      <c r="RHP8" s="2"/>
      <c r="RHQ8" s="2"/>
      <c r="RHR8" s="2"/>
      <c r="RHS8" s="2"/>
      <c r="RHT8" s="2"/>
      <c r="RHU8" s="2"/>
      <c r="RHV8" s="2"/>
      <c r="RHW8" s="2"/>
      <c r="RHX8" s="2"/>
      <c r="RHY8" s="2"/>
      <c r="RHZ8" s="2"/>
      <c r="RIA8" s="2"/>
      <c r="RIB8" s="2"/>
      <c r="RIC8" s="2"/>
      <c r="RID8" s="2"/>
      <c r="RIE8" s="2"/>
      <c r="RIF8" s="2"/>
      <c r="RIG8" s="2"/>
      <c r="RIH8" s="2"/>
      <c r="RII8" s="2"/>
      <c r="RIJ8" s="2"/>
      <c r="RIK8" s="2"/>
      <c r="RIL8" s="2"/>
      <c r="RIM8" s="2"/>
      <c r="RIN8" s="2"/>
      <c r="RIO8" s="2"/>
      <c r="RIP8" s="2"/>
      <c r="RIQ8" s="2"/>
      <c r="RIR8" s="2"/>
      <c r="RIS8" s="2"/>
      <c r="RIT8" s="2"/>
      <c r="RIU8" s="2"/>
      <c r="RIV8" s="2"/>
      <c r="RIW8" s="2"/>
      <c r="RIX8" s="2"/>
      <c r="RIY8" s="2"/>
      <c r="RIZ8" s="2"/>
      <c r="RJA8" s="2"/>
      <c r="RJB8" s="2"/>
      <c r="RJC8" s="2"/>
      <c r="RJD8" s="2"/>
      <c r="RJE8" s="2"/>
      <c r="RJF8" s="2"/>
      <c r="RJG8" s="2"/>
      <c r="RJH8" s="2"/>
      <c r="RJI8" s="2"/>
      <c r="RJJ8" s="2"/>
      <c r="RJK8" s="2"/>
      <c r="RJL8" s="2"/>
      <c r="RJM8" s="2"/>
      <c r="RJN8" s="2"/>
      <c r="RJO8" s="2"/>
      <c r="RJP8" s="2"/>
      <c r="RJQ8" s="2"/>
      <c r="RJR8" s="2"/>
      <c r="RJS8" s="2"/>
      <c r="RJT8" s="2"/>
      <c r="RJU8" s="2"/>
      <c r="RJV8" s="2"/>
      <c r="RJW8" s="2"/>
      <c r="RJX8" s="2"/>
      <c r="RJY8" s="2"/>
      <c r="RJZ8" s="2"/>
      <c r="RKA8" s="2"/>
      <c r="RKB8" s="2"/>
      <c r="RKC8" s="2"/>
      <c r="RKD8" s="2"/>
      <c r="RKE8" s="2"/>
      <c r="RKF8" s="2"/>
      <c r="RKG8" s="2"/>
      <c r="RKH8" s="2"/>
      <c r="RKI8" s="2"/>
      <c r="RKJ8" s="2"/>
      <c r="RKK8" s="2"/>
      <c r="RKL8" s="2"/>
      <c r="RKM8" s="2"/>
      <c r="RKN8" s="2"/>
      <c r="RKO8" s="2"/>
      <c r="RKP8" s="2"/>
      <c r="RKQ8" s="2"/>
      <c r="RKR8" s="2"/>
      <c r="RKS8" s="2"/>
      <c r="RKT8" s="2"/>
      <c r="RKU8" s="2"/>
      <c r="RKV8" s="2"/>
      <c r="RKW8" s="2"/>
      <c r="RKX8" s="2"/>
      <c r="RKY8" s="2"/>
      <c r="RKZ8" s="2"/>
      <c r="RLA8" s="2"/>
      <c r="RLB8" s="2"/>
      <c r="RLC8" s="2"/>
      <c r="RLD8" s="2"/>
      <c r="RLE8" s="2"/>
      <c r="RLF8" s="2"/>
      <c r="RLG8" s="2"/>
      <c r="RLH8" s="2"/>
      <c r="RLI8" s="2"/>
      <c r="RLJ8" s="2"/>
      <c r="RLK8" s="2"/>
      <c r="RLL8" s="2"/>
      <c r="RLM8" s="2"/>
      <c r="RLN8" s="2"/>
      <c r="RLO8" s="2"/>
      <c r="RLP8" s="2"/>
      <c r="RLQ8" s="2"/>
      <c r="RLR8" s="2"/>
      <c r="RLS8" s="2"/>
      <c r="RLT8" s="2"/>
      <c r="RLU8" s="2"/>
      <c r="RLV8" s="2"/>
      <c r="RLW8" s="2"/>
      <c r="RLX8" s="2"/>
      <c r="RLY8" s="2"/>
      <c r="RLZ8" s="2"/>
      <c r="RMA8" s="2"/>
      <c r="RMB8" s="2"/>
      <c r="RMC8" s="2"/>
      <c r="RMD8" s="2"/>
      <c r="RME8" s="2"/>
      <c r="RMF8" s="2"/>
      <c r="RMG8" s="2"/>
      <c r="RMH8" s="2"/>
      <c r="RMI8" s="2"/>
      <c r="RMJ8" s="2"/>
      <c r="RMK8" s="2"/>
      <c r="RML8" s="2"/>
      <c r="RMM8" s="2"/>
      <c r="RMN8" s="2"/>
      <c r="RMO8" s="2"/>
      <c r="RMP8" s="2"/>
      <c r="RMQ8" s="2"/>
      <c r="RMR8" s="2"/>
      <c r="RMS8" s="2"/>
      <c r="RMT8" s="2"/>
      <c r="RMU8" s="2"/>
      <c r="RMV8" s="2"/>
      <c r="RMW8" s="2"/>
      <c r="RMX8" s="2"/>
      <c r="RMY8" s="2"/>
      <c r="RMZ8" s="2"/>
      <c r="RNA8" s="2"/>
      <c r="RNB8" s="2"/>
      <c r="RNC8" s="2"/>
      <c r="RND8" s="2"/>
      <c r="RNE8" s="2"/>
      <c r="RNF8" s="2"/>
      <c r="RNG8" s="2"/>
      <c r="RNH8" s="2"/>
      <c r="RNI8" s="2"/>
      <c r="RNJ8" s="2"/>
      <c r="RNK8" s="2"/>
      <c r="RNL8" s="2"/>
      <c r="RNM8" s="2"/>
      <c r="RNN8" s="2"/>
      <c r="RNO8" s="2"/>
      <c r="RNP8" s="2"/>
      <c r="RNQ8" s="2"/>
      <c r="RNR8" s="2"/>
      <c r="RNS8" s="2"/>
      <c r="RNT8" s="2"/>
      <c r="RNU8" s="2"/>
      <c r="RNV8" s="2"/>
      <c r="RNW8" s="2"/>
      <c r="RNX8" s="2"/>
      <c r="RNY8" s="2"/>
      <c r="RNZ8" s="2"/>
      <c r="ROA8" s="2"/>
      <c r="ROB8" s="2"/>
      <c r="ROC8" s="2"/>
      <c r="ROD8" s="2"/>
      <c r="ROE8" s="2"/>
      <c r="ROF8" s="2"/>
      <c r="ROG8" s="2"/>
      <c r="ROH8" s="2"/>
      <c r="ROI8" s="2"/>
      <c r="ROJ8" s="2"/>
      <c r="ROK8" s="2"/>
      <c r="ROL8" s="2"/>
      <c r="ROM8" s="2"/>
      <c r="RON8" s="2"/>
      <c r="ROO8" s="2"/>
      <c r="ROP8" s="2"/>
      <c r="ROQ8" s="2"/>
      <c r="ROR8" s="2"/>
      <c r="ROS8" s="2"/>
      <c r="ROT8" s="2"/>
      <c r="ROU8" s="2"/>
      <c r="ROV8" s="2"/>
      <c r="ROW8" s="2"/>
      <c r="ROX8" s="2"/>
      <c r="ROY8" s="2"/>
      <c r="ROZ8" s="2"/>
      <c r="RPA8" s="2"/>
      <c r="RPB8" s="2"/>
      <c r="RPC8" s="2"/>
      <c r="RPD8" s="2"/>
      <c r="RPE8" s="2"/>
      <c r="RPF8" s="2"/>
      <c r="RPG8" s="2"/>
      <c r="RPH8" s="2"/>
      <c r="RPI8" s="2"/>
      <c r="RPJ8" s="2"/>
      <c r="RPK8" s="2"/>
      <c r="RPL8" s="2"/>
      <c r="RPM8" s="2"/>
      <c r="RPN8" s="2"/>
      <c r="RPO8" s="2"/>
      <c r="RPP8" s="2"/>
      <c r="RPQ8" s="2"/>
      <c r="RPR8" s="2"/>
      <c r="RPS8" s="2"/>
      <c r="RPT8" s="2"/>
      <c r="RPU8" s="2"/>
      <c r="RPV8" s="2"/>
      <c r="RPW8" s="2"/>
      <c r="RPX8" s="2"/>
      <c r="RPY8" s="2"/>
      <c r="RPZ8" s="2"/>
      <c r="RQA8" s="2"/>
      <c r="RQB8" s="2"/>
      <c r="RQC8" s="2"/>
      <c r="RQD8" s="2"/>
      <c r="RQE8" s="2"/>
      <c r="RQF8" s="2"/>
      <c r="RQG8" s="2"/>
      <c r="RQH8" s="2"/>
      <c r="RQI8" s="2"/>
      <c r="RQJ8" s="2"/>
      <c r="RQK8" s="2"/>
      <c r="RQL8" s="2"/>
      <c r="RQM8" s="2"/>
      <c r="RQN8" s="2"/>
      <c r="RQO8" s="2"/>
      <c r="RQP8" s="2"/>
      <c r="RQQ8" s="2"/>
      <c r="RQR8" s="2"/>
      <c r="RQS8" s="2"/>
      <c r="RQT8" s="2"/>
      <c r="RQU8" s="2"/>
      <c r="RQV8" s="2"/>
      <c r="RQW8" s="2"/>
      <c r="RQX8" s="2"/>
      <c r="RQY8" s="2"/>
      <c r="RQZ8" s="2"/>
      <c r="RRA8" s="2"/>
      <c r="RRB8" s="2"/>
      <c r="RRC8" s="2"/>
      <c r="RRD8" s="2"/>
      <c r="RRE8" s="2"/>
      <c r="RRF8" s="2"/>
      <c r="RRG8" s="2"/>
      <c r="RRH8" s="2"/>
      <c r="RRI8" s="2"/>
      <c r="RRJ8" s="2"/>
      <c r="RRK8" s="2"/>
      <c r="RRL8" s="2"/>
      <c r="RRM8" s="2"/>
      <c r="RRN8" s="2"/>
      <c r="RRO8" s="2"/>
      <c r="RRP8" s="2"/>
      <c r="RRQ8" s="2"/>
      <c r="RRR8" s="2"/>
      <c r="RRS8" s="2"/>
      <c r="RRT8" s="2"/>
      <c r="RRU8" s="2"/>
      <c r="RRV8" s="2"/>
      <c r="RRW8" s="2"/>
      <c r="RRX8" s="2"/>
      <c r="RRY8" s="2"/>
      <c r="RRZ8" s="2"/>
      <c r="RSA8" s="2"/>
      <c r="RSB8" s="2"/>
      <c r="RSC8" s="2"/>
      <c r="RSD8" s="2"/>
      <c r="RSE8" s="2"/>
      <c r="RSF8" s="2"/>
      <c r="RSG8" s="2"/>
      <c r="RSH8" s="2"/>
      <c r="RSI8" s="2"/>
      <c r="RSJ8" s="2"/>
      <c r="RSK8" s="2"/>
      <c r="RSL8" s="2"/>
      <c r="RSM8" s="2"/>
      <c r="RSN8" s="2"/>
      <c r="RSO8" s="2"/>
      <c r="RSP8" s="2"/>
      <c r="RSQ8" s="2"/>
      <c r="RSR8" s="2"/>
      <c r="RSS8" s="2"/>
      <c r="RST8" s="2"/>
      <c r="RSU8" s="2"/>
      <c r="RSV8" s="2"/>
      <c r="RSW8" s="2"/>
      <c r="RSX8" s="2"/>
      <c r="RSY8" s="2"/>
      <c r="RSZ8" s="2"/>
      <c r="RTA8" s="2"/>
      <c r="RTB8" s="2"/>
      <c r="RTC8" s="2"/>
      <c r="RTD8" s="2"/>
      <c r="RTE8" s="2"/>
      <c r="RTF8" s="2"/>
      <c r="RTG8" s="2"/>
      <c r="RTH8" s="2"/>
      <c r="RTI8" s="2"/>
      <c r="RTJ8" s="2"/>
      <c r="RTK8" s="2"/>
      <c r="RTL8" s="2"/>
      <c r="RTM8" s="2"/>
      <c r="RTN8" s="2"/>
      <c r="RTO8" s="2"/>
      <c r="RTP8" s="2"/>
      <c r="RTQ8" s="2"/>
      <c r="RTR8" s="2"/>
      <c r="RTS8" s="2"/>
      <c r="RTT8" s="2"/>
      <c r="RTU8" s="2"/>
      <c r="RTV8" s="2"/>
      <c r="RTW8" s="2"/>
      <c r="RTX8" s="2"/>
      <c r="RTY8" s="2"/>
      <c r="RTZ8" s="2"/>
      <c r="RUA8" s="2"/>
      <c r="RUB8" s="2"/>
      <c r="RUC8" s="2"/>
      <c r="RUD8" s="2"/>
      <c r="RUE8" s="2"/>
      <c r="RUF8" s="2"/>
      <c r="RUG8" s="2"/>
      <c r="RUH8" s="2"/>
      <c r="RUI8" s="2"/>
      <c r="RUJ8" s="2"/>
      <c r="RUK8" s="2"/>
      <c r="RUL8" s="2"/>
      <c r="RUM8" s="2"/>
      <c r="RUN8" s="2"/>
      <c r="RUO8" s="2"/>
      <c r="RUP8" s="2"/>
      <c r="RUQ8" s="2"/>
      <c r="RUR8" s="2"/>
      <c r="RUS8" s="2"/>
      <c r="RUT8" s="2"/>
      <c r="RUU8" s="2"/>
      <c r="RUV8" s="2"/>
      <c r="RUW8" s="2"/>
      <c r="RUX8" s="2"/>
      <c r="RUY8" s="2"/>
      <c r="RUZ8" s="2"/>
      <c r="RVA8" s="2"/>
      <c r="RVB8" s="2"/>
      <c r="RVC8" s="2"/>
      <c r="RVD8" s="2"/>
      <c r="RVE8" s="2"/>
      <c r="RVF8" s="2"/>
      <c r="RVG8" s="2"/>
      <c r="RVH8" s="2"/>
      <c r="RVI8" s="2"/>
      <c r="RVJ8" s="2"/>
      <c r="RVK8" s="2"/>
      <c r="RVL8" s="2"/>
      <c r="RVM8" s="2"/>
      <c r="RVN8" s="2"/>
      <c r="RVO8" s="2"/>
      <c r="RVP8" s="2"/>
      <c r="RVQ8" s="2"/>
      <c r="RVR8" s="2"/>
      <c r="RVS8" s="2"/>
      <c r="RVT8" s="2"/>
      <c r="RVU8" s="2"/>
      <c r="RVV8" s="2"/>
      <c r="RVW8" s="2"/>
      <c r="RVX8" s="2"/>
      <c r="RVY8" s="2"/>
      <c r="RVZ8" s="2"/>
      <c r="RWA8" s="2"/>
      <c r="RWB8" s="2"/>
      <c r="RWC8" s="2"/>
      <c r="RWD8" s="2"/>
      <c r="RWE8" s="2"/>
      <c r="RWF8" s="2"/>
      <c r="RWG8" s="2"/>
      <c r="RWH8" s="2"/>
      <c r="RWI8" s="2"/>
      <c r="RWJ8" s="2"/>
      <c r="RWK8" s="2"/>
      <c r="RWL8" s="2"/>
      <c r="RWM8" s="2"/>
      <c r="RWN8" s="2"/>
      <c r="RWO8" s="2"/>
      <c r="RWP8" s="2"/>
      <c r="RWQ8" s="2"/>
      <c r="RWR8" s="2"/>
      <c r="RWS8" s="2"/>
      <c r="RWT8" s="2"/>
      <c r="RWU8" s="2"/>
      <c r="RWV8" s="2"/>
      <c r="RWW8" s="2"/>
      <c r="RWX8" s="2"/>
      <c r="RWY8" s="2"/>
      <c r="RWZ8" s="2"/>
      <c r="RXA8" s="2"/>
      <c r="RXB8" s="2"/>
      <c r="RXC8" s="2"/>
      <c r="RXD8" s="2"/>
      <c r="RXE8" s="2"/>
      <c r="RXF8" s="2"/>
      <c r="RXG8" s="2"/>
      <c r="RXH8" s="2"/>
      <c r="RXI8" s="2"/>
      <c r="RXJ8" s="2"/>
      <c r="RXK8" s="2"/>
      <c r="RXL8" s="2"/>
      <c r="RXM8" s="2"/>
      <c r="RXN8" s="2"/>
      <c r="RXO8" s="2"/>
      <c r="RXP8" s="2"/>
      <c r="RXQ8" s="2"/>
      <c r="RXR8" s="2"/>
      <c r="RXS8" s="2"/>
      <c r="RXT8" s="2"/>
      <c r="RXU8" s="2"/>
      <c r="RXV8" s="2"/>
      <c r="RXW8" s="2"/>
      <c r="RXX8" s="2"/>
      <c r="RXY8" s="2"/>
      <c r="RXZ8" s="2"/>
      <c r="RYA8" s="2"/>
      <c r="RYB8" s="2"/>
      <c r="RYC8" s="2"/>
      <c r="RYD8" s="2"/>
      <c r="RYE8" s="2"/>
      <c r="RYF8" s="2"/>
      <c r="RYG8" s="2"/>
      <c r="RYH8" s="2"/>
      <c r="RYI8" s="2"/>
      <c r="RYJ8" s="2"/>
      <c r="RYK8" s="2"/>
      <c r="RYL8" s="2"/>
      <c r="RYM8" s="2"/>
      <c r="RYN8" s="2"/>
      <c r="RYO8" s="2"/>
      <c r="RYP8" s="2"/>
      <c r="RYQ8" s="2"/>
      <c r="RYR8" s="2"/>
      <c r="RYS8" s="2"/>
      <c r="RYT8" s="2"/>
      <c r="RYU8" s="2"/>
      <c r="RYV8" s="2"/>
      <c r="RYW8" s="2"/>
      <c r="RYX8" s="2"/>
      <c r="RYY8" s="2"/>
      <c r="RYZ8" s="2"/>
      <c r="RZA8" s="2"/>
      <c r="RZB8" s="2"/>
      <c r="RZC8" s="2"/>
      <c r="RZD8" s="2"/>
      <c r="RZE8" s="2"/>
      <c r="RZF8" s="2"/>
      <c r="RZG8" s="2"/>
      <c r="RZH8" s="2"/>
      <c r="RZI8" s="2"/>
      <c r="RZJ8" s="2"/>
      <c r="RZK8" s="2"/>
      <c r="RZL8" s="2"/>
      <c r="RZM8" s="2"/>
      <c r="RZN8" s="2"/>
      <c r="RZO8" s="2"/>
      <c r="RZP8" s="2"/>
      <c r="RZQ8" s="2"/>
      <c r="RZR8" s="2"/>
      <c r="RZS8" s="2"/>
      <c r="RZT8" s="2"/>
      <c r="RZU8" s="2"/>
      <c r="RZV8" s="2"/>
      <c r="RZW8" s="2"/>
      <c r="RZX8" s="2"/>
      <c r="RZY8" s="2"/>
      <c r="RZZ8" s="2"/>
      <c r="SAA8" s="2"/>
      <c r="SAB8" s="2"/>
      <c r="SAC8" s="2"/>
      <c r="SAD8" s="2"/>
      <c r="SAE8" s="2"/>
      <c r="SAF8" s="2"/>
      <c r="SAG8" s="2"/>
      <c r="SAH8" s="2"/>
      <c r="SAI8" s="2"/>
      <c r="SAJ8" s="2"/>
      <c r="SAK8" s="2"/>
      <c r="SAL8" s="2"/>
      <c r="SAM8" s="2"/>
      <c r="SAN8" s="2"/>
      <c r="SAO8" s="2"/>
      <c r="SAP8" s="2"/>
      <c r="SAQ8" s="2"/>
      <c r="SAR8" s="2"/>
      <c r="SAS8" s="2"/>
      <c r="SAT8" s="2"/>
      <c r="SAU8" s="2"/>
      <c r="SAV8" s="2"/>
      <c r="SAW8" s="2"/>
      <c r="SAX8" s="2"/>
      <c r="SAY8" s="2"/>
      <c r="SAZ8" s="2"/>
      <c r="SBA8" s="2"/>
      <c r="SBB8" s="2"/>
      <c r="SBC8" s="2"/>
      <c r="SBD8" s="2"/>
      <c r="SBE8" s="2"/>
      <c r="SBF8" s="2"/>
      <c r="SBG8" s="2"/>
      <c r="SBH8" s="2"/>
      <c r="SBI8" s="2"/>
      <c r="SBJ8" s="2"/>
      <c r="SBK8" s="2"/>
      <c r="SBL8" s="2"/>
      <c r="SBM8" s="2"/>
      <c r="SBN8" s="2"/>
      <c r="SBO8" s="2"/>
      <c r="SBP8" s="2"/>
      <c r="SBQ8" s="2"/>
      <c r="SBR8" s="2"/>
      <c r="SBS8" s="2"/>
      <c r="SBT8" s="2"/>
      <c r="SBU8" s="2"/>
      <c r="SBV8" s="2"/>
      <c r="SBW8" s="2"/>
      <c r="SBX8" s="2"/>
      <c r="SBY8" s="2"/>
      <c r="SBZ8" s="2"/>
      <c r="SCA8" s="2"/>
      <c r="SCB8" s="2"/>
      <c r="SCC8" s="2"/>
      <c r="SCD8" s="2"/>
      <c r="SCE8" s="2"/>
      <c r="SCF8" s="2"/>
      <c r="SCG8" s="2"/>
      <c r="SCH8" s="2"/>
      <c r="SCI8" s="2"/>
      <c r="SCJ8" s="2"/>
      <c r="SCK8" s="2"/>
      <c r="SCL8" s="2"/>
      <c r="SCM8" s="2"/>
      <c r="SCN8" s="2"/>
      <c r="SCO8" s="2"/>
      <c r="SCP8" s="2"/>
      <c r="SCQ8" s="2"/>
      <c r="SCR8" s="2"/>
      <c r="SCS8" s="2"/>
      <c r="SCT8" s="2"/>
      <c r="SCU8" s="2"/>
      <c r="SCV8" s="2"/>
      <c r="SCW8" s="2"/>
      <c r="SCX8" s="2"/>
      <c r="SCY8" s="2"/>
      <c r="SCZ8" s="2"/>
      <c r="SDA8" s="2"/>
      <c r="SDB8" s="2"/>
      <c r="SDC8" s="2"/>
      <c r="SDD8" s="2"/>
      <c r="SDE8" s="2"/>
      <c r="SDF8" s="2"/>
      <c r="SDG8" s="2"/>
      <c r="SDH8" s="2"/>
      <c r="SDI8" s="2"/>
      <c r="SDJ8" s="2"/>
      <c r="SDK8" s="2"/>
      <c r="SDL8" s="2"/>
      <c r="SDM8" s="2"/>
      <c r="SDN8" s="2"/>
      <c r="SDO8" s="2"/>
      <c r="SDP8" s="2"/>
      <c r="SDQ8" s="2"/>
      <c r="SDR8" s="2"/>
      <c r="SDS8" s="2"/>
      <c r="SDT8" s="2"/>
      <c r="SDU8" s="2"/>
      <c r="SDV8" s="2"/>
      <c r="SDW8" s="2"/>
      <c r="SDX8" s="2"/>
      <c r="SDY8" s="2"/>
      <c r="SDZ8" s="2"/>
      <c r="SEA8" s="2"/>
      <c r="SEB8" s="2"/>
      <c r="SEC8" s="2"/>
      <c r="SED8" s="2"/>
      <c r="SEE8" s="2"/>
      <c r="SEF8" s="2"/>
      <c r="SEG8" s="2"/>
      <c r="SEH8" s="2"/>
      <c r="SEI8" s="2"/>
      <c r="SEJ8" s="2"/>
      <c r="SEK8" s="2"/>
      <c r="SEL8" s="2"/>
      <c r="SEM8" s="2"/>
      <c r="SEN8" s="2"/>
      <c r="SEO8" s="2"/>
      <c r="SEP8" s="2"/>
      <c r="SEQ8" s="2"/>
      <c r="SER8" s="2"/>
      <c r="SES8" s="2"/>
      <c r="SET8" s="2"/>
      <c r="SEU8" s="2"/>
      <c r="SEV8" s="2"/>
      <c r="SEW8" s="2"/>
      <c r="SEX8" s="2"/>
      <c r="SEY8" s="2"/>
      <c r="SEZ8" s="2"/>
      <c r="SFA8" s="2"/>
      <c r="SFB8" s="2"/>
      <c r="SFC8" s="2"/>
      <c r="SFD8" s="2"/>
      <c r="SFE8" s="2"/>
      <c r="SFF8" s="2"/>
      <c r="SFG8" s="2"/>
      <c r="SFH8" s="2"/>
      <c r="SFI8" s="2"/>
      <c r="SFJ8" s="2"/>
      <c r="SFK8" s="2"/>
      <c r="SFL8" s="2"/>
      <c r="SFM8" s="2"/>
      <c r="SFN8" s="2"/>
      <c r="SFO8" s="2"/>
      <c r="SFP8" s="2"/>
      <c r="SFQ8" s="2"/>
      <c r="SFR8" s="2"/>
      <c r="SFS8" s="2"/>
      <c r="SFT8" s="2"/>
      <c r="SFU8" s="2"/>
      <c r="SFV8" s="2"/>
      <c r="SFW8" s="2"/>
      <c r="SFX8" s="2"/>
      <c r="SFY8" s="2"/>
      <c r="SFZ8" s="2"/>
      <c r="SGA8" s="2"/>
      <c r="SGB8" s="2"/>
      <c r="SGC8" s="2"/>
      <c r="SGD8" s="2"/>
      <c r="SGE8" s="2"/>
      <c r="SGF8" s="2"/>
      <c r="SGG8" s="2"/>
      <c r="SGH8" s="2"/>
      <c r="SGI8" s="2"/>
      <c r="SGJ8" s="2"/>
      <c r="SGK8" s="2"/>
      <c r="SGL8" s="2"/>
      <c r="SGM8" s="2"/>
      <c r="SGN8" s="2"/>
      <c r="SGO8" s="2"/>
      <c r="SGP8" s="2"/>
      <c r="SGQ8" s="2"/>
      <c r="SGR8" s="2"/>
      <c r="SGS8" s="2"/>
      <c r="SGT8" s="2"/>
      <c r="SGU8" s="2"/>
      <c r="SGV8" s="2"/>
      <c r="SGW8" s="2"/>
      <c r="SGX8" s="2"/>
      <c r="SGY8" s="2"/>
      <c r="SGZ8" s="2"/>
      <c r="SHA8" s="2"/>
      <c r="SHB8" s="2"/>
      <c r="SHC8" s="2"/>
      <c r="SHD8" s="2"/>
      <c r="SHE8" s="2"/>
      <c r="SHF8" s="2"/>
      <c r="SHG8" s="2"/>
      <c r="SHH8" s="2"/>
      <c r="SHI8" s="2"/>
      <c r="SHJ8" s="2"/>
      <c r="SHK8" s="2"/>
      <c r="SHL8" s="2"/>
      <c r="SHM8" s="2"/>
      <c r="SHN8" s="2"/>
      <c r="SHO8" s="2"/>
      <c r="SHP8" s="2"/>
      <c r="SHQ8" s="2"/>
      <c r="SHR8" s="2"/>
      <c r="SHS8" s="2"/>
      <c r="SHT8" s="2"/>
      <c r="SHU8" s="2"/>
      <c r="SHV8" s="2"/>
      <c r="SHW8" s="2"/>
      <c r="SHX8" s="2"/>
      <c r="SHY8" s="2"/>
      <c r="SHZ8" s="2"/>
      <c r="SIA8" s="2"/>
      <c r="SIB8" s="2"/>
      <c r="SIC8" s="2"/>
      <c r="SID8" s="2"/>
      <c r="SIE8" s="2"/>
      <c r="SIF8" s="2"/>
      <c r="SIG8" s="2"/>
      <c r="SIH8" s="2"/>
      <c r="SII8" s="2"/>
      <c r="SIJ8" s="2"/>
      <c r="SIK8" s="2"/>
      <c r="SIL8" s="2"/>
      <c r="SIM8" s="2"/>
      <c r="SIN8" s="2"/>
      <c r="SIO8" s="2"/>
      <c r="SIP8" s="2"/>
      <c r="SIQ8" s="2"/>
      <c r="SIR8" s="2"/>
      <c r="SIS8" s="2"/>
      <c r="SIT8" s="2"/>
      <c r="SIU8" s="2"/>
      <c r="SIV8" s="2"/>
      <c r="SIW8" s="2"/>
      <c r="SIX8" s="2"/>
      <c r="SIY8" s="2"/>
      <c r="SIZ8" s="2"/>
      <c r="SJA8" s="2"/>
      <c r="SJB8" s="2"/>
      <c r="SJC8" s="2"/>
      <c r="SJD8" s="2"/>
      <c r="SJE8" s="2"/>
      <c r="SJF8" s="2"/>
      <c r="SJG8" s="2"/>
      <c r="SJH8" s="2"/>
      <c r="SJI8" s="2"/>
      <c r="SJJ8" s="2"/>
      <c r="SJK8" s="2"/>
      <c r="SJL8" s="2"/>
      <c r="SJM8" s="2"/>
      <c r="SJN8" s="2"/>
      <c r="SJO8" s="2"/>
      <c r="SJP8" s="2"/>
      <c r="SJQ8" s="2"/>
      <c r="SJR8" s="2"/>
      <c r="SJS8" s="2"/>
      <c r="SJT8" s="2"/>
      <c r="SJU8" s="2"/>
      <c r="SJV8" s="2"/>
      <c r="SJW8" s="2"/>
      <c r="SJX8" s="2"/>
      <c r="SJY8" s="2"/>
      <c r="SJZ8" s="2"/>
      <c r="SKA8" s="2"/>
      <c r="SKB8" s="2"/>
      <c r="SKC8" s="2"/>
      <c r="SKD8" s="2"/>
      <c r="SKE8" s="2"/>
      <c r="SKF8" s="2"/>
      <c r="SKG8" s="2"/>
      <c r="SKH8" s="2"/>
      <c r="SKI8" s="2"/>
      <c r="SKJ8" s="2"/>
      <c r="SKK8" s="2"/>
      <c r="SKL8" s="2"/>
      <c r="SKM8" s="2"/>
      <c r="SKN8" s="2"/>
      <c r="SKO8" s="2"/>
      <c r="SKP8" s="2"/>
      <c r="SKQ8" s="2"/>
      <c r="SKR8" s="2"/>
      <c r="SKS8" s="2"/>
      <c r="SKT8" s="2"/>
      <c r="SKU8" s="2"/>
      <c r="SKV8" s="2"/>
      <c r="SKW8" s="2"/>
      <c r="SKX8" s="2"/>
      <c r="SKY8" s="2"/>
      <c r="SKZ8" s="2"/>
      <c r="SLA8" s="2"/>
      <c r="SLB8" s="2"/>
      <c r="SLC8" s="2"/>
      <c r="SLD8" s="2"/>
      <c r="SLE8" s="2"/>
      <c r="SLF8" s="2"/>
      <c r="SLG8" s="2"/>
      <c r="SLH8" s="2"/>
      <c r="SLI8" s="2"/>
      <c r="SLJ8" s="2"/>
      <c r="SLK8" s="2"/>
      <c r="SLL8" s="2"/>
      <c r="SLM8" s="2"/>
      <c r="SLN8" s="2"/>
      <c r="SLO8" s="2"/>
      <c r="SLP8" s="2"/>
      <c r="SLQ8" s="2"/>
      <c r="SLR8" s="2"/>
      <c r="SLS8" s="2"/>
      <c r="SLT8" s="2"/>
      <c r="SLU8" s="2"/>
      <c r="SLV8" s="2"/>
      <c r="SLW8" s="2"/>
      <c r="SLX8" s="2"/>
      <c r="SLY8" s="2"/>
      <c r="SLZ8" s="2"/>
      <c r="SMA8" s="2"/>
      <c r="SMB8" s="2"/>
      <c r="SMC8" s="2"/>
      <c r="SMD8" s="2"/>
      <c r="SME8" s="2"/>
      <c r="SMF8" s="2"/>
      <c r="SMG8" s="2"/>
      <c r="SMH8" s="2"/>
      <c r="SMI8" s="2"/>
      <c r="SMJ8" s="2"/>
      <c r="SMK8" s="2"/>
      <c r="SML8" s="2"/>
      <c r="SMM8" s="2"/>
      <c r="SMN8" s="2"/>
      <c r="SMO8" s="2"/>
      <c r="SMP8" s="2"/>
      <c r="SMQ8" s="2"/>
      <c r="SMR8" s="2"/>
      <c r="SMS8" s="2"/>
      <c r="SMT8" s="2"/>
      <c r="SMU8" s="2"/>
      <c r="SMV8" s="2"/>
      <c r="SMW8" s="2"/>
      <c r="SMX8" s="2"/>
      <c r="SMY8" s="2"/>
      <c r="SMZ8" s="2"/>
      <c r="SNA8" s="2"/>
      <c r="SNB8" s="2"/>
      <c r="SNC8" s="2"/>
      <c r="SND8" s="2"/>
      <c r="SNE8" s="2"/>
      <c r="SNF8" s="2"/>
      <c r="SNG8" s="2"/>
      <c r="SNH8" s="2"/>
      <c r="SNI8" s="2"/>
      <c r="SNJ8" s="2"/>
      <c r="SNK8" s="2"/>
      <c r="SNL8" s="2"/>
      <c r="SNM8" s="2"/>
      <c r="SNN8" s="2"/>
      <c r="SNO8" s="2"/>
      <c r="SNP8" s="2"/>
      <c r="SNQ8" s="2"/>
      <c r="SNR8" s="2"/>
      <c r="SNS8" s="2"/>
      <c r="SNT8" s="2"/>
      <c r="SNU8" s="2"/>
      <c r="SNV8" s="2"/>
      <c r="SNW8" s="2"/>
      <c r="SNX8" s="2"/>
      <c r="SNY8" s="2"/>
      <c r="SNZ8" s="2"/>
      <c r="SOA8" s="2"/>
      <c r="SOB8" s="2"/>
      <c r="SOC8" s="2"/>
      <c r="SOD8" s="2"/>
      <c r="SOE8" s="2"/>
      <c r="SOF8" s="2"/>
      <c r="SOG8" s="2"/>
      <c r="SOH8" s="2"/>
      <c r="SOI8" s="2"/>
      <c r="SOJ8" s="2"/>
      <c r="SOK8" s="2"/>
      <c r="SOL8" s="2"/>
      <c r="SOM8" s="2"/>
      <c r="SON8" s="2"/>
      <c r="SOO8" s="2"/>
      <c r="SOP8" s="2"/>
      <c r="SOQ8" s="2"/>
      <c r="SOR8" s="2"/>
      <c r="SOS8" s="2"/>
      <c r="SOT8" s="2"/>
      <c r="SOU8" s="2"/>
      <c r="SOV8" s="2"/>
      <c r="SOW8" s="2"/>
      <c r="SOX8" s="2"/>
      <c r="SOY8" s="2"/>
      <c r="SOZ8" s="2"/>
      <c r="SPA8" s="2"/>
      <c r="SPB8" s="2"/>
      <c r="SPC8" s="2"/>
      <c r="SPD8" s="2"/>
      <c r="SPE8" s="2"/>
      <c r="SPF8" s="2"/>
      <c r="SPG8" s="2"/>
      <c r="SPH8" s="2"/>
      <c r="SPI8" s="2"/>
      <c r="SPJ8" s="2"/>
      <c r="SPK8" s="2"/>
      <c r="SPL8" s="2"/>
      <c r="SPM8" s="2"/>
      <c r="SPN8" s="2"/>
      <c r="SPO8" s="2"/>
      <c r="SPP8" s="2"/>
      <c r="SPQ8" s="2"/>
      <c r="SPR8" s="2"/>
      <c r="SPS8" s="2"/>
      <c r="SPT8" s="2"/>
      <c r="SPU8" s="2"/>
      <c r="SPV8" s="2"/>
      <c r="SPW8" s="2"/>
      <c r="SPX8" s="2"/>
      <c r="SPY8" s="2"/>
      <c r="SPZ8" s="2"/>
      <c r="SQA8" s="2"/>
      <c r="SQB8" s="2"/>
      <c r="SQC8" s="2"/>
      <c r="SQD8" s="2"/>
      <c r="SQE8" s="2"/>
      <c r="SQF8" s="2"/>
      <c r="SQG8" s="2"/>
      <c r="SQH8" s="2"/>
      <c r="SQI8" s="2"/>
      <c r="SQJ8" s="2"/>
      <c r="SQK8" s="2"/>
      <c r="SQL8" s="2"/>
      <c r="SQM8" s="2"/>
      <c r="SQN8" s="2"/>
      <c r="SQO8" s="2"/>
      <c r="SQP8" s="2"/>
      <c r="SQQ8" s="2"/>
      <c r="SQR8" s="2"/>
      <c r="SQS8" s="2"/>
      <c r="SQT8" s="2"/>
      <c r="SQU8" s="2"/>
      <c r="SQV8" s="2"/>
      <c r="SQW8" s="2"/>
      <c r="SQX8" s="2"/>
      <c r="SQY8" s="2"/>
      <c r="SQZ8" s="2"/>
      <c r="SRA8" s="2"/>
      <c r="SRB8" s="2"/>
      <c r="SRC8" s="2"/>
      <c r="SRD8" s="2"/>
      <c r="SRE8" s="2"/>
      <c r="SRF8" s="2"/>
      <c r="SRG8" s="2"/>
      <c r="SRH8" s="2"/>
      <c r="SRI8" s="2"/>
      <c r="SRJ8" s="2"/>
      <c r="SRK8" s="2"/>
      <c r="SRL8" s="2"/>
      <c r="SRM8" s="2"/>
      <c r="SRN8" s="2"/>
      <c r="SRO8" s="2"/>
      <c r="SRP8" s="2"/>
      <c r="SRQ8" s="2"/>
      <c r="SRR8" s="2"/>
      <c r="SRS8" s="2"/>
      <c r="SRT8" s="2"/>
      <c r="SRU8" s="2"/>
      <c r="SRV8" s="2"/>
      <c r="SRW8" s="2"/>
      <c r="SRX8" s="2"/>
      <c r="SRY8" s="2"/>
      <c r="SRZ8" s="2"/>
      <c r="SSA8" s="2"/>
      <c r="SSB8" s="2"/>
      <c r="SSC8" s="2"/>
      <c r="SSD8" s="2"/>
      <c r="SSE8" s="2"/>
      <c r="SSF8" s="2"/>
      <c r="SSG8" s="2"/>
      <c r="SSH8" s="2"/>
      <c r="SSI8" s="2"/>
      <c r="SSJ8" s="2"/>
      <c r="SSK8" s="2"/>
      <c r="SSL8" s="2"/>
      <c r="SSM8" s="2"/>
      <c r="SSN8" s="2"/>
      <c r="SSO8" s="2"/>
      <c r="SSP8" s="2"/>
      <c r="SSQ8" s="2"/>
      <c r="SSR8" s="2"/>
      <c r="SSS8" s="2"/>
      <c r="SST8" s="2"/>
      <c r="SSU8" s="2"/>
      <c r="SSV8" s="2"/>
      <c r="SSW8" s="2"/>
      <c r="SSX8" s="2"/>
      <c r="SSY8" s="2"/>
      <c r="SSZ8" s="2"/>
      <c r="STA8" s="2"/>
      <c r="STB8" s="2"/>
      <c r="STC8" s="2"/>
      <c r="STD8" s="2"/>
      <c r="STE8" s="2"/>
      <c r="STF8" s="2"/>
      <c r="STG8" s="2"/>
      <c r="STH8" s="2"/>
      <c r="STI8" s="2"/>
      <c r="STJ8" s="2"/>
      <c r="STK8" s="2"/>
      <c r="STL8" s="2"/>
      <c r="STM8" s="2"/>
      <c r="STN8" s="2"/>
      <c r="STO8" s="2"/>
      <c r="STP8" s="2"/>
      <c r="STQ8" s="2"/>
      <c r="STR8" s="2"/>
      <c r="STS8" s="2"/>
      <c r="STT8" s="2"/>
      <c r="STU8" s="2"/>
      <c r="STV8" s="2"/>
      <c r="STW8" s="2"/>
      <c r="STX8" s="2"/>
      <c r="STY8" s="2"/>
      <c r="STZ8" s="2"/>
      <c r="SUA8" s="2"/>
      <c r="SUB8" s="2"/>
      <c r="SUC8" s="2"/>
      <c r="SUD8" s="2"/>
      <c r="SUE8" s="2"/>
      <c r="SUF8" s="2"/>
      <c r="SUG8" s="2"/>
      <c r="SUH8" s="2"/>
      <c r="SUI8" s="2"/>
      <c r="SUJ8" s="2"/>
      <c r="SUK8" s="2"/>
      <c r="SUL8" s="2"/>
      <c r="SUM8" s="2"/>
      <c r="SUN8" s="2"/>
      <c r="SUO8" s="2"/>
      <c r="SUP8" s="2"/>
      <c r="SUQ8" s="2"/>
      <c r="SUR8" s="2"/>
      <c r="SUS8" s="2"/>
      <c r="SUT8" s="2"/>
      <c r="SUU8" s="2"/>
      <c r="SUV8" s="2"/>
      <c r="SUW8" s="2"/>
      <c r="SUX8" s="2"/>
      <c r="SUY8" s="2"/>
      <c r="SUZ8" s="2"/>
      <c r="SVA8" s="2"/>
      <c r="SVB8" s="2"/>
      <c r="SVC8" s="2"/>
      <c r="SVD8" s="2"/>
      <c r="SVE8" s="2"/>
      <c r="SVF8" s="2"/>
      <c r="SVG8" s="2"/>
      <c r="SVH8" s="2"/>
      <c r="SVI8" s="2"/>
      <c r="SVJ8" s="2"/>
      <c r="SVK8" s="2"/>
      <c r="SVL8" s="2"/>
      <c r="SVM8" s="2"/>
      <c r="SVN8" s="2"/>
      <c r="SVO8" s="2"/>
      <c r="SVP8" s="2"/>
      <c r="SVQ8" s="2"/>
      <c r="SVR8" s="2"/>
      <c r="SVS8" s="2"/>
      <c r="SVT8" s="2"/>
      <c r="SVU8" s="2"/>
      <c r="SVV8" s="2"/>
      <c r="SVW8" s="2"/>
      <c r="SVX8" s="2"/>
      <c r="SVY8" s="2"/>
      <c r="SVZ8" s="2"/>
      <c r="SWA8" s="2"/>
      <c r="SWB8" s="2"/>
      <c r="SWC8" s="2"/>
      <c r="SWD8" s="2"/>
      <c r="SWE8" s="2"/>
      <c r="SWF8" s="2"/>
      <c r="SWG8" s="2"/>
      <c r="SWH8" s="2"/>
      <c r="SWI8" s="2"/>
      <c r="SWJ8" s="2"/>
      <c r="SWK8" s="2"/>
      <c r="SWL8" s="2"/>
      <c r="SWM8" s="2"/>
      <c r="SWN8" s="2"/>
      <c r="SWO8" s="2"/>
      <c r="SWP8" s="2"/>
      <c r="SWQ8" s="2"/>
      <c r="SWR8" s="2"/>
      <c r="SWS8" s="2"/>
      <c r="SWT8" s="2"/>
      <c r="SWU8" s="2"/>
      <c r="SWV8" s="2"/>
      <c r="SWW8" s="2"/>
      <c r="SWX8" s="2"/>
      <c r="SWY8" s="2"/>
      <c r="SWZ8" s="2"/>
      <c r="SXA8" s="2"/>
      <c r="SXB8" s="2"/>
      <c r="SXC8" s="2"/>
      <c r="SXD8" s="2"/>
      <c r="SXE8" s="2"/>
      <c r="SXF8" s="2"/>
      <c r="SXG8" s="2"/>
      <c r="SXH8" s="2"/>
      <c r="SXI8" s="2"/>
      <c r="SXJ8" s="2"/>
      <c r="SXK8" s="2"/>
      <c r="SXL8" s="2"/>
      <c r="SXM8" s="2"/>
      <c r="SXN8" s="2"/>
      <c r="SXO8" s="2"/>
      <c r="SXP8" s="2"/>
      <c r="SXQ8" s="2"/>
      <c r="SXR8" s="2"/>
      <c r="SXS8" s="2"/>
      <c r="SXT8" s="2"/>
      <c r="SXU8" s="2"/>
      <c r="SXV8" s="2"/>
      <c r="SXW8" s="2"/>
      <c r="SXX8" s="2"/>
      <c r="SXY8" s="2"/>
      <c r="SXZ8" s="2"/>
      <c r="SYA8" s="2"/>
      <c r="SYB8" s="2"/>
      <c r="SYC8" s="2"/>
      <c r="SYD8" s="2"/>
      <c r="SYE8" s="2"/>
      <c r="SYF8" s="2"/>
      <c r="SYG8" s="2"/>
      <c r="SYH8" s="2"/>
      <c r="SYI8" s="2"/>
      <c r="SYJ8" s="2"/>
      <c r="SYK8" s="2"/>
      <c r="SYL8" s="2"/>
      <c r="SYM8" s="2"/>
      <c r="SYN8" s="2"/>
      <c r="SYO8" s="2"/>
      <c r="SYP8" s="2"/>
      <c r="SYQ8" s="2"/>
      <c r="SYR8" s="2"/>
      <c r="SYS8" s="2"/>
      <c r="SYT8" s="2"/>
      <c r="SYU8" s="2"/>
      <c r="SYV8" s="2"/>
      <c r="SYW8" s="2"/>
      <c r="SYX8" s="2"/>
      <c r="SYY8" s="2"/>
      <c r="SYZ8" s="2"/>
      <c r="SZA8" s="2"/>
      <c r="SZB8" s="2"/>
      <c r="SZC8" s="2"/>
      <c r="SZD8" s="2"/>
      <c r="SZE8" s="2"/>
      <c r="SZF8" s="2"/>
      <c r="SZG8" s="2"/>
      <c r="SZH8" s="2"/>
      <c r="SZI8" s="2"/>
      <c r="SZJ8" s="2"/>
      <c r="SZK8" s="2"/>
      <c r="SZL8" s="2"/>
      <c r="SZM8" s="2"/>
      <c r="SZN8" s="2"/>
      <c r="SZO8" s="2"/>
      <c r="SZP8" s="2"/>
      <c r="SZQ8" s="2"/>
      <c r="SZR8" s="2"/>
      <c r="SZS8" s="2"/>
      <c r="SZT8" s="2"/>
      <c r="SZU8" s="2"/>
      <c r="SZV8" s="2"/>
      <c r="SZW8" s="2"/>
      <c r="SZX8" s="2"/>
      <c r="SZY8" s="2"/>
      <c r="SZZ8" s="2"/>
      <c r="TAA8" s="2"/>
      <c r="TAB8" s="2"/>
      <c r="TAC8" s="2"/>
      <c r="TAD8" s="2"/>
      <c r="TAE8" s="2"/>
      <c r="TAF8" s="2"/>
      <c r="TAG8" s="2"/>
      <c r="TAH8" s="2"/>
      <c r="TAI8" s="2"/>
      <c r="TAJ8" s="2"/>
      <c r="TAK8" s="2"/>
      <c r="TAL8" s="2"/>
      <c r="TAM8" s="2"/>
      <c r="TAN8" s="2"/>
      <c r="TAO8" s="2"/>
      <c r="TAP8" s="2"/>
      <c r="TAQ8" s="2"/>
      <c r="TAR8" s="2"/>
      <c r="TAS8" s="2"/>
      <c r="TAT8" s="2"/>
      <c r="TAU8" s="2"/>
      <c r="TAV8" s="2"/>
      <c r="TAW8" s="2"/>
      <c r="TAX8" s="2"/>
      <c r="TAY8" s="2"/>
      <c r="TAZ8" s="2"/>
      <c r="TBA8" s="2"/>
      <c r="TBB8" s="2"/>
      <c r="TBC8" s="2"/>
      <c r="TBD8" s="2"/>
      <c r="TBE8" s="2"/>
      <c r="TBF8" s="2"/>
      <c r="TBG8" s="2"/>
      <c r="TBH8" s="2"/>
      <c r="TBI8" s="2"/>
      <c r="TBJ8" s="2"/>
      <c r="TBK8" s="2"/>
      <c r="TBL8" s="2"/>
      <c r="TBM8" s="2"/>
      <c r="TBN8" s="2"/>
      <c r="TBO8" s="2"/>
      <c r="TBP8" s="2"/>
      <c r="TBQ8" s="2"/>
      <c r="TBR8" s="2"/>
      <c r="TBS8" s="2"/>
      <c r="TBT8" s="2"/>
      <c r="TBU8" s="2"/>
      <c r="TBV8" s="2"/>
      <c r="TBW8" s="2"/>
      <c r="TBX8" s="2"/>
      <c r="TBY8" s="2"/>
      <c r="TBZ8" s="2"/>
      <c r="TCA8" s="2"/>
      <c r="TCB8" s="2"/>
      <c r="TCC8" s="2"/>
      <c r="TCD8" s="2"/>
      <c r="TCE8" s="2"/>
      <c r="TCF8" s="2"/>
      <c r="TCG8" s="2"/>
      <c r="TCH8" s="2"/>
      <c r="TCI8" s="2"/>
      <c r="TCJ8" s="2"/>
      <c r="TCK8" s="2"/>
      <c r="TCL8" s="2"/>
      <c r="TCM8" s="2"/>
      <c r="TCN8" s="2"/>
      <c r="TCO8" s="2"/>
      <c r="TCP8" s="2"/>
      <c r="TCQ8" s="2"/>
      <c r="TCR8" s="2"/>
      <c r="TCS8" s="2"/>
      <c r="TCT8" s="2"/>
      <c r="TCU8" s="2"/>
      <c r="TCV8" s="2"/>
      <c r="TCW8" s="2"/>
      <c r="TCX8" s="2"/>
      <c r="TCY8" s="2"/>
      <c r="TCZ8" s="2"/>
      <c r="TDA8" s="2"/>
      <c r="TDB8" s="2"/>
      <c r="TDC8" s="2"/>
      <c r="TDD8" s="2"/>
      <c r="TDE8" s="2"/>
      <c r="TDF8" s="2"/>
      <c r="TDG8" s="2"/>
      <c r="TDH8" s="2"/>
      <c r="TDI8" s="2"/>
      <c r="TDJ8" s="2"/>
      <c r="TDK8" s="2"/>
      <c r="TDL8" s="2"/>
      <c r="TDM8" s="2"/>
      <c r="TDN8" s="2"/>
      <c r="TDO8" s="2"/>
      <c r="TDP8" s="2"/>
      <c r="TDQ8" s="2"/>
      <c r="TDR8" s="2"/>
      <c r="TDS8" s="2"/>
      <c r="TDT8" s="2"/>
      <c r="TDU8" s="2"/>
      <c r="TDV8" s="2"/>
      <c r="TDW8" s="2"/>
      <c r="TDX8" s="2"/>
      <c r="TDY8" s="2"/>
      <c r="TDZ8" s="2"/>
      <c r="TEA8" s="2"/>
      <c r="TEB8" s="2"/>
      <c r="TEC8" s="2"/>
      <c r="TED8" s="2"/>
      <c r="TEE8" s="2"/>
      <c r="TEF8" s="2"/>
      <c r="TEG8" s="2"/>
      <c r="TEH8" s="2"/>
      <c r="TEI8" s="2"/>
      <c r="TEJ8" s="2"/>
      <c r="TEK8" s="2"/>
      <c r="TEL8" s="2"/>
      <c r="TEM8" s="2"/>
      <c r="TEN8" s="2"/>
      <c r="TEO8" s="2"/>
      <c r="TEP8" s="2"/>
      <c r="TEQ8" s="2"/>
      <c r="TER8" s="2"/>
      <c r="TES8" s="2"/>
      <c r="TET8" s="2"/>
      <c r="TEU8" s="2"/>
      <c r="TEV8" s="2"/>
      <c r="TEW8" s="2"/>
      <c r="TEX8" s="2"/>
      <c r="TEY8" s="2"/>
      <c r="TEZ8" s="2"/>
      <c r="TFA8" s="2"/>
      <c r="TFB8" s="2"/>
      <c r="TFC8" s="2"/>
      <c r="TFD8" s="2"/>
      <c r="TFE8" s="2"/>
      <c r="TFF8" s="2"/>
      <c r="TFG8" s="2"/>
      <c r="TFH8" s="2"/>
      <c r="TFI8" s="2"/>
      <c r="TFJ8" s="2"/>
      <c r="TFK8" s="2"/>
      <c r="TFL8" s="2"/>
      <c r="TFM8" s="2"/>
      <c r="TFN8" s="2"/>
      <c r="TFO8" s="2"/>
      <c r="TFP8" s="2"/>
      <c r="TFQ8" s="2"/>
      <c r="TFR8" s="2"/>
      <c r="TFS8" s="2"/>
      <c r="TFT8" s="2"/>
      <c r="TFU8" s="2"/>
      <c r="TFV8" s="2"/>
      <c r="TFW8" s="2"/>
      <c r="TFX8" s="2"/>
      <c r="TFY8" s="2"/>
      <c r="TFZ8" s="2"/>
      <c r="TGA8" s="2"/>
      <c r="TGB8" s="2"/>
      <c r="TGC8" s="2"/>
      <c r="TGD8" s="2"/>
      <c r="TGE8" s="2"/>
      <c r="TGF8" s="2"/>
      <c r="TGG8" s="2"/>
      <c r="TGH8" s="2"/>
      <c r="TGI8" s="2"/>
      <c r="TGJ8" s="2"/>
      <c r="TGK8" s="2"/>
      <c r="TGL8" s="2"/>
      <c r="TGM8" s="2"/>
      <c r="TGN8" s="2"/>
      <c r="TGO8" s="2"/>
      <c r="TGP8" s="2"/>
      <c r="TGQ8" s="2"/>
      <c r="TGR8" s="2"/>
      <c r="TGS8" s="2"/>
      <c r="TGT8" s="2"/>
      <c r="TGU8" s="2"/>
      <c r="TGV8" s="2"/>
      <c r="TGW8" s="2"/>
      <c r="TGX8" s="2"/>
      <c r="TGY8" s="2"/>
      <c r="TGZ8" s="2"/>
      <c r="THA8" s="2"/>
      <c r="THB8" s="2"/>
      <c r="THC8" s="2"/>
      <c r="THD8" s="2"/>
      <c r="THE8" s="2"/>
      <c r="THF8" s="2"/>
      <c r="THG8" s="2"/>
      <c r="THH8" s="2"/>
      <c r="THI8" s="2"/>
      <c r="THJ8" s="2"/>
      <c r="THK8" s="2"/>
      <c r="THL8" s="2"/>
      <c r="THM8" s="2"/>
      <c r="THN8" s="2"/>
      <c r="THO8" s="2"/>
      <c r="THP8" s="2"/>
      <c r="THQ8" s="2"/>
      <c r="THR8" s="2"/>
      <c r="THS8" s="2"/>
      <c r="THT8" s="2"/>
      <c r="THU8" s="2"/>
      <c r="THV8" s="2"/>
      <c r="THW8" s="2"/>
      <c r="THX8" s="2"/>
      <c r="THY8" s="2"/>
      <c r="THZ8" s="2"/>
      <c r="TIA8" s="2"/>
      <c r="TIB8" s="2"/>
      <c r="TIC8" s="2"/>
      <c r="TID8" s="2"/>
      <c r="TIE8" s="2"/>
      <c r="TIF8" s="2"/>
      <c r="TIG8" s="2"/>
      <c r="TIH8" s="2"/>
      <c r="TII8" s="2"/>
      <c r="TIJ8" s="2"/>
      <c r="TIK8" s="2"/>
      <c r="TIL8" s="2"/>
      <c r="TIM8" s="2"/>
      <c r="TIN8" s="2"/>
      <c r="TIO8" s="2"/>
      <c r="TIP8" s="2"/>
      <c r="TIQ8" s="2"/>
      <c r="TIR8" s="2"/>
      <c r="TIS8" s="2"/>
      <c r="TIT8" s="2"/>
      <c r="TIU8" s="2"/>
      <c r="TIV8" s="2"/>
      <c r="TIW8" s="2"/>
      <c r="TIX8" s="2"/>
      <c r="TIY8" s="2"/>
      <c r="TIZ8" s="2"/>
      <c r="TJA8" s="2"/>
      <c r="TJB8" s="2"/>
      <c r="TJC8" s="2"/>
      <c r="TJD8" s="2"/>
      <c r="TJE8" s="2"/>
      <c r="TJF8" s="2"/>
      <c r="TJG8" s="2"/>
      <c r="TJH8" s="2"/>
      <c r="TJI8" s="2"/>
      <c r="TJJ8" s="2"/>
      <c r="TJK8" s="2"/>
      <c r="TJL8" s="2"/>
      <c r="TJM8" s="2"/>
      <c r="TJN8" s="2"/>
      <c r="TJO8" s="2"/>
      <c r="TJP8" s="2"/>
      <c r="TJQ8" s="2"/>
      <c r="TJR8" s="2"/>
      <c r="TJS8" s="2"/>
      <c r="TJT8" s="2"/>
      <c r="TJU8" s="2"/>
      <c r="TJV8" s="2"/>
      <c r="TJW8" s="2"/>
      <c r="TJX8" s="2"/>
      <c r="TJY8" s="2"/>
      <c r="TJZ8" s="2"/>
      <c r="TKA8" s="2"/>
      <c r="TKB8" s="2"/>
      <c r="TKC8" s="2"/>
      <c r="TKD8" s="2"/>
      <c r="TKE8" s="2"/>
      <c r="TKF8" s="2"/>
      <c r="TKG8" s="2"/>
      <c r="TKH8" s="2"/>
      <c r="TKI8" s="2"/>
      <c r="TKJ8" s="2"/>
      <c r="TKK8" s="2"/>
      <c r="TKL8" s="2"/>
      <c r="TKM8" s="2"/>
      <c r="TKN8" s="2"/>
      <c r="TKO8" s="2"/>
      <c r="TKP8" s="2"/>
      <c r="TKQ8" s="2"/>
      <c r="TKR8" s="2"/>
      <c r="TKS8" s="2"/>
      <c r="TKT8" s="2"/>
      <c r="TKU8" s="2"/>
      <c r="TKV8" s="2"/>
      <c r="TKW8" s="2"/>
      <c r="TKX8" s="2"/>
      <c r="TKY8" s="2"/>
      <c r="TKZ8" s="2"/>
      <c r="TLA8" s="2"/>
      <c r="TLB8" s="2"/>
      <c r="TLC8" s="2"/>
      <c r="TLD8" s="2"/>
      <c r="TLE8" s="2"/>
      <c r="TLF8" s="2"/>
      <c r="TLG8" s="2"/>
      <c r="TLH8" s="2"/>
      <c r="TLI8" s="2"/>
      <c r="TLJ8" s="2"/>
      <c r="TLK8" s="2"/>
      <c r="TLL8" s="2"/>
      <c r="TLM8" s="2"/>
      <c r="TLN8" s="2"/>
      <c r="TLO8" s="2"/>
      <c r="TLP8" s="2"/>
      <c r="TLQ8" s="2"/>
      <c r="TLR8" s="2"/>
      <c r="TLS8" s="2"/>
      <c r="TLT8" s="2"/>
      <c r="TLU8" s="2"/>
      <c r="TLV8" s="2"/>
      <c r="TLW8" s="2"/>
      <c r="TLX8" s="2"/>
      <c r="TLY8" s="2"/>
      <c r="TLZ8" s="2"/>
      <c r="TMA8" s="2"/>
      <c r="TMB8" s="2"/>
      <c r="TMC8" s="2"/>
      <c r="TMD8" s="2"/>
      <c r="TME8" s="2"/>
      <c r="TMF8" s="2"/>
      <c r="TMG8" s="2"/>
      <c r="TMH8" s="2"/>
      <c r="TMI8" s="2"/>
      <c r="TMJ8" s="2"/>
      <c r="TMK8" s="2"/>
      <c r="TML8" s="2"/>
      <c r="TMM8" s="2"/>
      <c r="TMN8" s="2"/>
      <c r="TMO8" s="2"/>
      <c r="TMP8" s="2"/>
      <c r="TMQ8" s="2"/>
      <c r="TMR8" s="2"/>
      <c r="TMS8" s="2"/>
      <c r="TMT8" s="2"/>
      <c r="TMU8" s="2"/>
      <c r="TMV8" s="2"/>
      <c r="TMW8" s="2"/>
      <c r="TMX8" s="2"/>
      <c r="TMY8" s="2"/>
      <c r="TMZ8" s="2"/>
      <c r="TNA8" s="2"/>
      <c r="TNB8" s="2"/>
      <c r="TNC8" s="2"/>
      <c r="TND8" s="2"/>
      <c r="TNE8" s="2"/>
      <c r="TNF8" s="2"/>
      <c r="TNG8" s="2"/>
      <c r="TNH8" s="2"/>
      <c r="TNI8" s="2"/>
      <c r="TNJ8" s="2"/>
      <c r="TNK8" s="2"/>
      <c r="TNL8" s="2"/>
      <c r="TNM8" s="2"/>
      <c r="TNN8" s="2"/>
      <c r="TNO8" s="2"/>
      <c r="TNP8" s="2"/>
      <c r="TNQ8" s="2"/>
      <c r="TNR8" s="2"/>
      <c r="TNS8" s="2"/>
      <c r="TNT8" s="2"/>
      <c r="TNU8" s="2"/>
      <c r="TNV8" s="2"/>
      <c r="TNW8" s="2"/>
      <c r="TNX8" s="2"/>
      <c r="TNY8" s="2"/>
      <c r="TNZ8" s="2"/>
      <c r="TOA8" s="2"/>
      <c r="TOB8" s="2"/>
      <c r="TOC8" s="2"/>
      <c r="TOD8" s="2"/>
      <c r="TOE8" s="2"/>
      <c r="TOF8" s="2"/>
      <c r="TOG8" s="2"/>
      <c r="TOH8" s="2"/>
      <c r="TOI8" s="2"/>
      <c r="TOJ8" s="2"/>
      <c r="TOK8" s="2"/>
      <c r="TOL8" s="2"/>
      <c r="TOM8" s="2"/>
      <c r="TON8" s="2"/>
      <c r="TOO8" s="2"/>
      <c r="TOP8" s="2"/>
      <c r="TOQ8" s="2"/>
      <c r="TOR8" s="2"/>
      <c r="TOS8" s="2"/>
      <c r="TOT8" s="2"/>
      <c r="TOU8" s="2"/>
      <c r="TOV8" s="2"/>
      <c r="TOW8" s="2"/>
      <c r="TOX8" s="2"/>
      <c r="TOY8" s="2"/>
      <c r="TOZ8" s="2"/>
      <c r="TPA8" s="2"/>
      <c r="TPB8" s="2"/>
      <c r="TPC8" s="2"/>
      <c r="TPD8" s="2"/>
      <c r="TPE8" s="2"/>
      <c r="TPF8" s="2"/>
      <c r="TPG8" s="2"/>
      <c r="TPH8" s="2"/>
      <c r="TPI8" s="2"/>
      <c r="TPJ8" s="2"/>
      <c r="TPK8" s="2"/>
      <c r="TPL8" s="2"/>
      <c r="TPM8" s="2"/>
      <c r="TPN8" s="2"/>
      <c r="TPO8" s="2"/>
      <c r="TPP8" s="2"/>
      <c r="TPQ8" s="2"/>
      <c r="TPR8" s="2"/>
      <c r="TPS8" s="2"/>
      <c r="TPT8" s="2"/>
      <c r="TPU8" s="2"/>
      <c r="TPV8" s="2"/>
      <c r="TPW8" s="2"/>
      <c r="TPX8" s="2"/>
      <c r="TPY8" s="2"/>
      <c r="TPZ8" s="2"/>
      <c r="TQA8" s="2"/>
      <c r="TQB8" s="2"/>
      <c r="TQC8" s="2"/>
      <c r="TQD8" s="2"/>
      <c r="TQE8" s="2"/>
      <c r="TQF8" s="2"/>
      <c r="TQG8" s="2"/>
      <c r="TQH8" s="2"/>
      <c r="TQI8" s="2"/>
      <c r="TQJ8" s="2"/>
      <c r="TQK8" s="2"/>
      <c r="TQL8" s="2"/>
      <c r="TQM8" s="2"/>
      <c r="TQN8" s="2"/>
      <c r="TQO8" s="2"/>
      <c r="TQP8" s="2"/>
      <c r="TQQ8" s="2"/>
      <c r="TQR8" s="2"/>
      <c r="TQS8" s="2"/>
      <c r="TQT8" s="2"/>
      <c r="TQU8" s="2"/>
      <c r="TQV8" s="2"/>
      <c r="TQW8" s="2"/>
      <c r="TQX8" s="2"/>
      <c r="TQY8" s="2"/>
      <c r="TQZ8" s="2"/>
      <c r="TRA8" s="2"/>
      <c r="TRB8" s="2"/>
      <c r="TRC8" s="2"/>
      <c r="TRD8" s="2"/>
      <c r="TRE8" s="2"/>
      <c r="TRF8" s="2"/>
      <c r="TRG8" s="2"/>
      <c r="TRH8" s="2"/>
      <c r="TRI8" s="2"/>
      <c r="TRJ8" s="2"/>
      <c r="TRK8" s="2"/>
      <c r="TRL8" s="2"/>
      <c r="TRM8" s="2"/>
      <c r="TRN8" s="2"/>
      <c r="TRO8" s="2"/>
      <c r="TRP8" s="2"/>
      <c r="TRQ8" s="2"/>
      <c r="TRR8" s="2"/>
      <c r="TRS8" s="2"/>
      <c r="TRT8" s="2"/>
      <c r="TRU8" s="2"/>
      <c r="TRV8" s="2"/>
      <c r="TRW8" s="2"/>
      <c r="TRX8" s="2"/>
      <c r="TRY8" s="2"/>
      <c r="TRZ8" s="2"/>
      <c r="TSA8" s="2"/>
      <c r="TSB8" s="2"/>
      <c r="TSC8" s="2"/>
      <c r="TSD8" s="2"/>
      <c r="TSE8" s="2"/>
      <c r="TSF8" s="2"/>
      <c r="TSG8" s="2"/>
      <c r="TSH8" s="2"/>
      <c r="TSI8" s="2"/>
      <c r="TSJ8" s="2"/>
      <c r="TSK8" s="2"/>
      <c r="TSL8" s="2"/>
      <c r="TSM8" s="2"/>
      <c r="TSN8" s="2"/>
      <c r="TSO8" s="2"/>
      <c r="TSP8" s="2"/>
      <c r="TSQ8" s="2"/>
      <c r="TSR8" s="2"/>
      <c r="TSS8" s="2"/>
      <c r="TST8" s="2"/>
      <c r="TSU8" s="2"/>
      <c r="TSV8" s="2"/>
      <c r="TSW8" s="2"/>
      <c r="TSX8" s="2"/>
      <c r="TSY8" s="2"/>
      <c r="TSZ8" s="2"/>
      <c r="TTA8" s="2"/>
      <c r="TTB8" s="2"/>
      <c r="TTC8" s="2"/>
      <c r="TTD8" s="2"/>
      <c r="TTE8" s="2"/>
      <c r="TTF8" s="2"/>
      <c r="TTG8" s="2"/>
      <c r="TTH8" s="2"/>
      <c r="TTI8" s="2"/>
      <c r="TTJ8" s="2"/>
      <c r="TTK8" s="2"/>
      <c r="TTL8" s="2"/>
      <c r="TTM8" s="2"/>
      <c r="TTN8" s="2"/>
      <c r="TTO8" s="2"/>
      <c r="TTP8" s="2"/>
      <c r="TTQ8" s="2"/>
      <c r="TTR8" s="2"/>
      <c r="TTS8" s="2"/>
      <c r="TTT8" s="2"/>
      <c r="TTU8" s="2"/>
      <c r="TTV8" s="2"/>
      <c r="TTW8" s="2"/>
      <c r="TTX8" s="2"/>
      <c r="TTY8" s="2"/>
      <c r="TTZ8" s="2"/>
      <c r="TUA8" s="2"/>
      <c r="TUB8" s="2"/>
      <c r="TUC8" s="2"/>
      <c r="TUD8" s="2"/>
      <c r="TUE8" s="2"/>
      <c r="TUF8" s="2"/>
      <c r="TUG8" s="2"/>
      <c r="TUH8" s="2"/>
      <c r="TUI8" s="2"/>
      <c r="TUJ8" s="2"/>
      <c r="TUK8" s="2"/>
      <c r="TUL8" s="2"/>
      <c r="TUM8" s="2"/>
      <c r="TUN8" s="2"/>
      <c r="TUO8" s="2"/>
      <c r="TUP8" s="2"/>
      <c r="TUQ8" s="2"/>
      <c r="TUR8" s="2"/>
      <c r="TUS8" s="2"/>
      <c r="TUT8" s="2"/>
      <c r="TUU8" s="2"/>
      <c r="TUV8" s="2"/>
      <c r="TUW8" s="2"/>
      <c r="TUX8" s="2"/>
      <c r="TUY8" s="2"/>
      <c r="TUZ8" s="2"/>
      <c r="TVA8" s="2"/>
      <c r="TVB8" s="2"/>
      <c r="TVC8" s="2"/>
      <c r="TVD8" s="2"/>
      <c r="TVE8" s="2"/>
      <c r="TVF8" s="2"/>
      <c r="TVG8" s="2"/>
      <c r="TVH8" s="2"/>
      <c r="TVI8" s="2"/>
      <c r="TVJ8" s="2"/>
      <c r="TVK8" s="2"/>
      <c r="TVL8" s="2"/>
      <c r="TVM8" s="2"/>
      <c r="TVN8" s="2"/>
      <c r="TVO8" s="2"/>
      <c r="TVP8" s="2"/>
      <c r="TVQ8" s="2"/>
      <c r="TVR8" s="2"/>
      <c r="TVS8" s="2"/>
      <c r="TVT8" s="2"/>
      <c r="TVU8" s="2"/>
      <c r="TVV8" s="2"/>
      <c r="TVW8" s="2"/>
      <c r="TVX8" s="2"/>
      <c r="TVY8" s="2"/>
      <c r="TVZ8" s="2"/>
      <c r="TWA8" s="2"/>
      <c r="TWB8" s="2"/>
      <c r="TWC8" s="2"/>
      <c r="TWD8" s="2"/>
      <c r="TWE8" s="2"/>
      <c r="TWF8" s="2"/>
      <c r="TWG8" s="2"/>
      <c r="TWH8" s="2"/>
      <c r="TWI8" s="2"/>
      <c r="TWJ8" s="2"/>
      <c r="TWK8" s="2"/>
      <c r="TWL8" s="2"/>
      <c r="TWM8" s="2"/>
      <c r="TWN8" s="2"/>
      <c r="TWO8" s="2"/>
      <c r="TWP8" s="2"/>
      <c r="TWQ8" s="2"/>
      <c r="TWR8" s="2"/>
      <c r="TWS8" s="2"/>
      <c r="TWT8" s="2"/>
      <c r="TWU8" s="2"/>
      <c r="TWV8" s="2"/>
      <c r="TWW8" s="2"/>
      <c r="TWX8" s="2"/>
      <c r="TWY8" s="2"/>
      <c r="TWZ8" s="2"/>
      <c r="TXA8" s="2"/>
      <c r="TXB8" s="2"/>
      <c r="TXC8" s="2"/>
      <c r="TXD8" s="2"/>
      <c r="TXE8" s="2"/>
      <c r="TXF8" s="2"/>
      <c r="TXG8" s="2"/>
      <c r="TXH8" s="2"/>
      <c r="TXI8" s="2"/>
      <c r="TXJ8" s="2"/>
      <c r="TXK8" s="2"/>
      <c r="TXL8" s="2"/>
      <c r="TXM8" s="2"/>
      <c r="TXN8" s="2"/>
      <c r="TXO8" s="2"/>
      <c r="TXP8" s="2"/>
      <c r="TXQ8" s="2"/>
      <c r="TXR8" s="2"/>
      <c r="TXS8" s="2"/>
      <c r="TXT8" s="2"/>
      <c r="TXU8" s="2"/>
      <c r="TXV8" s="2"/>
      <c r="TXW8" s="2"/>
      <c r="TXX8" s="2"/>
      <c r="TXY8" s="2"/>
      <c r="TXZ8" s="2"/>
      <c r="TYA8" s="2"/>
      <c r="TYB8" s="2"/>
      <c r="TYC8" s="2"/>
      <c r="TYD8" s="2"/>
      <c r="TYE8" s="2"/>
      <c r="TYF8" s="2"/>
      <c r="TYG8" s="2"/>
      <c r="TYH8" s="2"/>
      <c r="TYI8" s="2"/>
      <c r="TYJ8" s="2"/>
      <c r="TYK8" s="2"/>
      <c r="TYL8" s="2"/>
      <c r="TYM8" s="2"/>
      <c r="TYN8" s="2"/>
      <c r="TYO8" s="2"/>
      <c r="TYP8" s="2"/>
      <c r="TYQ8" s="2"/>
      <c r="TYR8" s="2"/>
      <c r="TYS8" s="2"/>
      <c r="TYT8" s="2"/>
      <c r="TYU8" s="2"/>
      <c r="TYV8" s="2"/>
      <c r="TYW8" s="2"/>
      <c r="TYX8" s="2"/>
      <c r="TYY8" s="2"/>
      <c r="TYZ8" s="2"/>
      <c r="TZA8" s="2"/>
      <c r="TZB8" s="2"/>
      <c r="TZC8" s="2"/>
      <c r="TZD8" s="2"/>
      <c r="TZE8" s="2"/>
      <c r="TZF8" s="2"/>
      <c r="TZG8" s="2"/>
      <c r="TZH8" s="2"/>
      <c r="TZI8" s="2"/>
      <c r="TZJ8" s="2"/>
      <c r="TZK8" s="2"/>
      <c r="TZL8" s="2"/>
      <c r="TZM8" s="2"/>
      <c r="TZN8" s="2"/>
      <c r="TZO8" s="2"/>
      <c r="TZP8" s="2"/>
      <c r="TZQ8" s="2"/>
      <c r="TZR8" s="2"/>
      <c r="TZS8" s="2"/>
      <c r="TZT8" s="2"/>
      <c r="TZU8" s="2"/>
      <c r="TZV8" s="2"/>
      <c r="TZW8" s="2"/>
      <c r="TZX8" s="2"/>
      <c r="TZY8" s="2"/>
      <c r="TZZ8" s="2"/>
      <c r="UAA8" s="2"/>
      <c r="UAB8" s="2"/>
      <c r="UAC8" s="2"/>
      <c r="UAD8" s="2"/>
      <c r="UAE8" s="2"/>
      <c r="UAF8" s="2"/>
      <c r="UAG8" s="2"/>
      <c r="UAH8" s="2"/>
      <c r="UAI8" s="2"/>
      <c r="UAJ8" s="2"/>
      <c r="UAK8" s="2"/>
      <c r="UAL8" s="2"/>
      <c r="UAM8" s="2"/>
      <c r="UAN8" s="2"/>
      <c r="UAO8" s="2"/>
      <c r="UAP8" s="2"/>
      <c r="UAQ8" s="2"/>
      <c r="UAR8" s="2"/>
      <c r="UAS8" s="2"/>
      <c r="UAT8" s="2"/>
      <c r="UAU8" s="2"/>
      <c r="UAV8" s="2"/>
      <c r="UAW8" s="2"/>
      <c r="UAX8" s="2"/>
      <c r="UAY8" s="2"/>
      <c r="UAZ8" s="2"/>
      <c r="UBA8" s="2"/>
      <c r="UBB8" s="2"/>
      <c r="UBC8" s="2"/>
      <c r="UBD8" s="2"/>
      <c r="UBE8" s="2"/>
      <c r="UBF8" s="2"/>
      <c r="UBG8" s="2"/>
      <c r="UBH8" s="2"/>
      <c r="UBI8" s="2"/>
      <c r="UBJ8" s="2"/>
      <c r="UBK8" s="2"/>
      <c r="UBL8" s="2"/>
      <c r="UBM8" s="2"/>
      <c r="UBN8" s="2"/>
      <c r="UBO8" s="2"/>
      <c r="UBP8" s="2"/>
      <c r="UBQ8" s="2"/>
      <c r="UBR8" s="2"/>
      <c r="UBS8" s="2"/>
      <c r="UBT8" s="2"/>
      <c r="UBU8" s="2"/>
      <c r="UBV8" s="2"/>
      <c r="UBW8" s="2"/>
      <c r="UBX8" s="2"/>
      <c r="UBY8" s="2"/>
      <c r="UBZ8" s="2"/>
      <c r="UCA8" s="2"/>
      <c r="UCB8" s="2"/>
      <c r="UCC8" s="2"/>
      <c r="UCD8" s="2"/>
      <c r="UCE8" s="2"/>
      <c r="UCF8" s="2"/>
      <c r="UCG8" s="2"/>
      <c r="UCH8" s="2"/>
      <c r="UCI8" s="2"/>
      <c r="UCJ8" s="2"/>
      <c r="UCK8" s="2"/>
      <c r="UCL8" s="2"/>
      <c r="UCM8" s="2"/>
      <c r="UCN8" s="2"/>
      <c r="UCO8" s="2"/>
      <c r="UCP8" s="2"/>
      <c r="UCQ8" s="2"/>
      <c r="UCR8" s="2"/>
      <c r="UCS8" s="2"/>
      <c r="UCT8" s="2"/>
      <c r="UCU8" s="2"/>
      <c r="UCV8" s="2"/>
      <c r="UCW8" s="2"/>
      <c r="UCX8" s="2"/>
      <c r="UCY8" s="2"/>
      <c r="UCZ8" s="2"/>
      <c r="UDA8" s="2"/>
      <c r="UDB8" s="2"/>
      <c r="UDC8" s="2"/>
      <c r="UDD8" s="2"/>
      <c r="UDE8" s="2"/>
      <c r="UDF8" s="2"/>
      <c r="UDG8" s="2"/>
      <c r="UDH8" s="2"/>
      <c r="UDI8" s="2"/>
      <c r="UDJ8" s="2"/>
      <c r="UDK8" s="2"/>
      <c r="UDL8" s="2"/>
      <c r="UDM8" s="2"/>
      <c r="UDN8" s="2"/>
      <c r="UDO8" s="2"/>
      <c r="UDP8" s="2"/>
      <c r="UDQ8" s="2"/>
      <c r="UDR8" s="2"/>
      <c r="UDS8" s="2"/>
      <c r="UDT8" s="2"/>
      <c r="UDU8" s="2"/>
      <c r="UDV8" s="2"/>
      <c r="UDW8" s="2"/>
      <c r="UDX8" s="2"/>
      <c r="UDY8" s="2"/>
      <c r="UDZ8" s="2"/>
      <c r="UEA8" s="2"/>
      <c r="UEB8" s="2"/>
      <c r="UEC8" s="2"/>
      <c r="UED8" s="2"/>
      <c r="UEE8" s="2"/>
      <c r="UEF8" s="2"/>
      <c r="UEG8" s="2"/>
      <c r="UEH8" s="2"/>
      <c r="UEI8" s="2"/>
      <c r="UEJ8" s="2"/>
      <c r="UEK8" s="2"/>
      <c r="UEL8" s="2"/>
      <c r="UEM8" s="2"/>
      <c r="UEN8" s="2"/>
      <c r="UEO8" s="2"/>
      <c r="UEP8" s="2"/>
      <c r="UEQ8" s="2"/>
      <c r="UER8" s="2"/>
      <c r="UES8" s="2"/>
      <c r="UET8" s="2"/>
      <c r="UEU8" s="2"/>
      <c r="UEV8" s="2"/>
      <c r="UEW8" s="2"/>
      <c r="UEX8" s="2"/>
      <c r="UEY8" s="2"/>
      <c r="UEZ8" s="2"/>
      <c r="UFA8" s="2"/>
      <c r="UFB8" s="2"/>
      <c r="UFC8" s="2"/>
      <c r="UFD8" s="2"/>
      <c r="UFE8" s="2"/>
      <c r="UFF8" s="2"/>
      <c r="UFG8" s="2"/>
      <c r="UFH8" s="2"/>
      <c r="UFI8" s="2"/>
      <c r="UFJ8" s="2"/>
      <c r="UFK8" s="2"/>
      <c r="UFL8" s="2"/>
      <c r="UFM8" s="2"/>
      <c r="UFN8" s="2"/>
      <c r="UFO8" s="2"/>
      <c r="UFP8" s="2"/>
      <c r="UFQ8" s="2"/>
      <c r="UFR8" s="2"/>
      <c r="UFS8" s="2"/>
      <c r="UFT8" s="2"/>
      <c r="UFU8" s="2"/>
      <c r="UFV8" s="2"/>
      <c r="UFW8" s="2"/>
      <c r="UFX8" s="2"/>
      <c r="UFY8" s="2"/>
      <c r="UFZ8" s="2"/>
      <c r="UGA8" s="2"/>
      <c r="UGB8" s="2"/>
      <c r="UGC8" s="2"/>
      <c r="UGD8" s="2"/>
      <c r="UGE8" s="2"/>
      <c r="UGF8" s="2"/>
      <c r="UGG8" s="2"/>
      <c r="UGH8" s="2"/>
      <c r="UGI8" s="2"/>
      <c r="UGJ8" s="2"/>
      <c r="UGK8" s="2"/>
      <c r="UGL8" s="2"/>
      <c r="UGM8" s="2"/>
      <c r="UGN8" s="2"/>
      <c r="UGO8" s="2"/>
      <c r="UGP8" s="2"/>
      <c r="UGQ8" s="2"/>
      <c r="UGR8" s="2"/>
      <c r="UGS8" s="2"/>
      <c r="UGT8" s="2"/>
      <c r="UGU8" s="2"/>
      <c r="UGV8" s="2"/>
      <c r="UGW8" s="2"/>
      <c r="UGX8" s="2"/>
      <c r="UGY8" s="2"/>
      <c r="UGZ8" s="2"/>
      <c r="UHA8" s="2"/>
      <c r="UHB8" s="2"/>
      <c r="UHC8" s="2"/>
      <c r="UHD8" s="2"/>
      <c r="UHE8" s="2"/>
      <c r="UHF8" s="2"/>
      <c r="UHG8" s="2"/>
      <c r="UHH8" s="2"/>
      <c r="UHI8" s="2"/>
      <c r="UHJ8" s="2"/>
      <c r="UHK8" s="2"/>
      <c r="UHL8" s="2"/>
      <c r="UHM8" s="2"/>
      <c r="UHN8" s="2"/>
      <c r="UHO8" s="2"/>
      <c r="UHP8" s="2"/>
      <c r="UHQ8" s="2"/>
      <c r="UHR8" s="2"/>
      <c r="UHS8" s="2"/>
      <c r="UHT8" s="2"/>
      <c r="UHU8" s="2"/>
      <c r="UHV8" s="2"/>
      <c r="UHW8" s="2"/>
      <c r="UHX8" s="2"/>
      <c r="UHY8" s="2"/>
      <c r="UHZ8" s="2"/>
      <c r="UIA8" s="2"/>
      <c r="UIB8" s="2"/>
      <c r="UIC8" s="2"/>
      <c r="UID8" s="2"/>
      <c r="UIE8" s="2"/>
      <c r="UIF8" s="2"/>
      <c r="UIG8" s="2"/>
      <c r="UIH8" s="2"/>
      <c r="UII8" s="2"/>
      <c r="UIJ8" s="2"/>
      <c r="UIK8" s="2"/>
      <c r="UIL8" s="2"/>
      <c r="UIM8" s="2"/>
      <c r="UIN8" s="2"/>
      <c r="UIO8" s="2"/>
      <c r="UIP8" s="2"/>
      <c r="UIQ8" s="2"/>
      <c r="UIR8" s="2"/>
      <c r="UIS8" s="2"/>
      <c r="UIT8" s="2"/>
      <c r="UIU8" s="2"/>
      <c r="UIV8" s="2"/>
      <c r="UIW8" s="2"/>
      <c r="UIX8" s="2"/>
      <c r="UIY8" s="2"/>
      <c r="UIZ8" s="2"/>
      <c r="UJA8" s="2"/>
      <c r="UJB8" s="2"/>
      <c r="UJC8" s="2"/>
      <c r="UJD8" s="2"/>
      <c r="UJE8" s="2"/>
      <c r="UJF8" s="2"/>
      <c r="UJG8" s="2"/>
      <c r="UJH8" s="2"/>
      <c r="UJI8" s="2"/>
      <c r="UJJ8" s="2"/>
      <c r="UJK8" s="2"/>
      <c r="UJL8" s="2"/>
      <c r="UJM8" s="2"/>
      <c r="UJN8" s="2"/>
      <c r="UJO8" s="2"/>
      <c r="UJP8" s="2"/>
      <c r="UJQ8" s="2"/>
      <c r="UJR8" s="2"/>
      <c r="UJS8" s="2"/>
      <c r="UJT8" s="2"/>
      <c r="UJU8" s="2"/>
      <c r="UJV8" s="2"/>
      <c r="UJW8" s="2"/>
      <c r="UJX8" s="2"/>
      <c r="UJY8" s="2"/>
      <c r="UJZ8" s="2"/>
      <c r="UKA8" s="2"/>
      <c r="UKB8" s="2"/>
      <c r="UKC8" s="2"/>
      <c r="UKD8" s="2"/>
      <c r="UKE8" s="2"/>
      <c r="UKF8" s="2"/>
      <c r="UKG8" s="2"/>
      <c r="UKH8" s="2"/>
      <c r="UKI8" s="2"/>
      <c r="UKJ8" s="2"/>
      <c r="UKK8" s="2"/>
      <c r="UKL8" s="2"/>
      <c r="UKM8" s="2"/>
      <c r="UKN8" s="2"/>
      <c r="UKO8" s="2"/>
      <c r="UKP8" s="2"/>
      <c r="UKQ8" s="2"/>
      <c r="UKR8" s="2"/>
      <c r="UKS8" s="2"/>
      <c r="UKT8" s="2"/>
      <c r="UKU8" s="2"/>
      <c r="UKV8" s="2"/>
      <c r="UKW8" s="2"/>
      <c r="UKX8" s="2"/>
      <c r="UKY8" s="2"/>
      <c r="UKZ8" s="2"/>
      <c r="ULA8" s="2"/>
      <c r="ULB8" s="2"/>
      <c r="ULC8" s="2"/>
      <c r="ULD8" s="2"/>
      <c r="ULE8" s="2"/>
      <c r="ULF8" s="2"/>
      <c r="ULG8" s="2"/>
      <c r="ULH8" s="2"/>
      <c r="ULI8" s="2"/>
      <c r="ULJ8" s="2"/>
      <c r="ULK8" s="2"/>
      <c r="ULL8" s="2"/>
      <c r="ULM8" s="2"/>
      <c r="ULN8" s="2"/>
      <c r="ULO8" s="2"/>
      <c r="ULP8" s="2"/>
      <c r="ULQ8" s="2"/>
      <c r="ULR8" s="2"/>
      <c r="ULS8" s="2"/>
      <c r="ULT8" s="2"/>
      <c r="ULU8" s="2"/>
      <c r="ULV8" s="2"/>
      <c r="ULW8" s="2"/>
      <c r="ULX8" s="2"/>
      <c r="ULY8" s="2"/>
      <c r="ULZ8" s="2"/>
      <c r="UMA8" s="2"/>
      <c r="UMB8" s="2"/>
      <c r="UMC8" s="2"/>
      <c r="UMD8" s="2"/>
      <c r="UME8" s="2"/>
      <c r="UMF8" s="2"/>
      <c r="UMG8" s="2"/>
      <c r="UMH8" s="2"/>
      <c r="UMI8" s="2"/>
      <c r="UMJ8" s="2"/>
      <c r="UMK8" s="2"/>
      <c r="UML8" s="2"/>
      <c r="UMM8" s="2"/>
      <c r="UMN8" s="2"/>
      <c r="UMO8" s="2"/>
      <c r="UMP8" s="2"/>
      <c r="UMQ8" s="2"/>
      <c r="UMR8" s="2"/>
      <c r="UMS8" s="2"/>
      <c r="UMT8" s="2"/>
      <c r="UMU8" s="2"/>
      <c r="UMV8" s="2"/>
      <c r="UMW8" s="2"/>
      <c r="UMX8" s="2"/>
      <c r="UMY8" s="2"/>
      <c r="UMZ8" s="2"/>
      <c r="UNA8" s="2"/>
      <c r="UNB8" s="2"/>
      <c r="UNC8" s="2"/>
      <c r="UND8" s="2"/>
      <c r="UNE8" s="2"/>
      <c r="UNF8" s="2"/>
      <c r="UNG8" s="2"/>
      <c r="UNH8" s="2"/>
      <c r="UNI8" s="2"/>
      <c r="UNJ8" s="2"/>
      <c r="UNK8" s="2"/>
      <c r="UNL8" s="2"/>
      <c r="UNM8" s="2"/>
      <c r="UNN8" s="2"/>
      <c r="UNO8" s="2"/>
      <c r="UNP8" s="2"/>
      <c r="UNQ8" s="2"/>
      <c r="UNR8" s="2"/>
      <c r="UNS8" s="2"/>
      <c r="UNT8" s="2"/>
      <c r="UNU8" s="2"/>
      <c r="UNV8" s="2"/>
      <c r="UNW8" s="2"/>
      <c r="UNX8" s="2"/>
      <c r="UNY8" s="2"/>
      <c r="UNZ8" s="2"/>
      <c r="UOA8" s="2"/>
      <c r="UOB8" s="2"/>
      <c r="UOC8" s="2"/>
      <c r="UOD8" s="2"/>
      <c r="UOE8" s="2"/>
      <c r="UOF8" s="2"/>
      <c r="UOG8" s="2"/>
      <c r="UOH8" s="2"/>
      <c r="UOI8" s="2"/>
      <c r="UOJ8" s="2"/>
      <c r="UOK8" s="2"/>
      <c r="UOL8" s="2"/>
      <c r="UOM8" s="2"/>
      <c r="UON8" s="2"/>
      <c r="UOO8" s="2"/>
      <c r="UOP8" s="2"/>
      <c r="UOQ8" s="2"/>
      <c r="UOR8" s="2"/>
      <c r="UOS8" s="2"/>
      <c r="UOT8" s="2"/>
      <c r="UOU8" s="2"/>
      <c r="UOV8" s="2"/>
      <c r="UOW8" s="2"/>
      <c r="UOX8" s="2"/>
      <c r="UOY8" s="2"/>
      <c r="UOZ8" s="2"/>
      <c r="UPA8" s="2"/>
      <c r="UPB8" s="2"/>
      <c r="UPC8" s="2"/>
      <c r="UPD8" s="2"/>
      <c r="UPE8" s="2"/>
      <c r="UPF8" s="2"/>
      <c r="UPG8" s="2"/>
      <c r="UPH8" s="2"/>
      <c r="UPI8" s="2"/>
      <c r="UPJ8" s="2"/>
      <c r="UPK8" s="2"/>
      <c r="UPL8" s="2"/>
      <c r="UPM8" s="2"/>
      <c r="UPN8" s="2"/>
      <c r="UPO8" s="2"/>
      <c r="UPP8" s="2"/>
      <c r="UPQ8" s="2"/>
      <c r="UPR8" s="2"/>
      <c r="UPS8" s="2"/>
      <c r="UPT8" s="2"/>
      <c r="UPU8" s="2"/>
      <c r="UPV8" s="2"/>
      <c r="UPW8" s="2"/>
      <c r="UPX8" s="2"/>
      <c r="UPY8" s="2"/>
      <c r="UPZ8" s="2"/>
      <c r="UQA8" s="2"/>
      <c r="UQB8" s="2"/>
      <c r="UQC8" s="2"/>
      <c r="UQD8" s="2"/>
      <c r="UQE8" s="2"/>
      <c r="UQF8" s="2"/>
      <c r="UQG8" s="2"/>
      <c r="UQH8" s="2"/>
      <c r="UQI8" s="2"/>
      <c r="UQJ8" s="2"/>
      <c r="UQK8" s="2"/>
      <c r="UQL8" s="2"/>
      <c r="UQM8" s="2"/>
      <c r="UQN8" s="2"/>
      <c r="UQO8" s="2"/>
      <c r="UQP8" s="2"/>
      <c r="UQQ8" s="2"/>
      <c r="UQR8" s="2"/>
      <c r="UQS8" s="2"/>
      <c r="UQT8" s="2"/>
      <c r="UQU8" s="2"/>
      <c r="UQV8" s="2"/>
      <c r="UQW8" s="2"/>
      <c r="UQX8" s="2"/>
      <c r="UQY8" s="2"/>
      <c r="UQZ8" s="2"/>
      <c r="URA8" s="2"/>
      <c r="URB8" s="2"/>
      <c r="URC8" s="2"/>
      <c r="URD8" s="2"/>
      <c r="URE8" s="2"/>
      <c r="URF8" s="2"/>
      <c r="URG8" s="2"/>
      <c r="URH8" s="2"/>
      <c r="URI8" s="2"/>
      <c r="URJ8" s="2"/>
      <c r="URK8" s="2"/>
      <c r="URL8" s="2"/>
      <c r="URM8" s="2"/>
      <c r="URN8" s="2"/>
      <c r="URO8" s="2"/>
      <c r="URP8" s="2"/>
      <c r="URQ8" s="2"/>
      <c r="URR8" s="2"/>
      <c r="URS8" s="2"/>
      <c r="URT8" s="2"/>
      <c r="URU8" s="2"/>
      <c r="URV8" s="2"/>
      <c r="URW8" s="2"/>
      <c r="URX8" s="2"/>
      <c r="URY8" s="2"/>
      <c r="URZ8" s="2"/>
      <c r="USA8" s="2"/>
      <c r="USB8" s="2"/>
      <c r="USC8" s="2"/>
      <c r="USD8" s="2"/>
      <c r="USE8" s="2"/>
      <c r="USF8" s="2"/>
      <c r="USG8" s="2"/>
      <c r="USH8" s="2"/>
      <c r="USI8" s="2"/>
      <c r="USJ8" s="2"/>
      <c r="USK8" s="2"/>
      <c r="USL8" s="2"/>
      <c r="USM8" s="2"/>
      <c r="USN8" s="2"/>
      <c r="USO8" s="2"/>
      <c r="USP8" s="2"/>
      <c r="USQ8" s="2"/>
      <c r="USR8" s="2"/>
      <c r="USS8" s="2"/>
      <c r="UST8" s="2"/>
      <c r="USU8" s="2"/>
      <c r="USV8" s="2"/>
      <c r="USW8" s="2"/>
      <c r="USX8" s="2"/>
      <c r="USY8" s="2"/>
      <c r="USZ8" s="2"/>
      <c r="UTA8" s="2"/>
      <c r="UTB8" s="2"/>
      <c r="UTC8" s="2"/>
      <c r="UTD8" s="2"/>
      <c r="UTE8" s="2"/>
      <c r="UTF8" s="2"/>
      <c r="UTG8" s="2"/>
      <c r="UTH8" s="2"/>
      <c r="UTI8" s="2"/>
      <c r="UTJ8" s="2"/>
      <c r="UTK8" s="2"/>
      <c r="UTL8" s="2"/>
      <c r="UTM8" s="2"/>
      <c r="UTN8" s="2"/>
      <c r="UTO8" s="2"/>
      <c r="UTP8" s="2"/>
      <c r="UTQ8" s="2"/>
      <c r="UTR8" s="2"/>
      <c r="UTS8" s="2"/>
      <c r="UTT8" s="2"/>
      <c r="UTU8" s="2"/>
      <c r="UTV8" s="2"/>
      <c r="UTW8" s="2"/>
      <c r="UTX8" s="2"/>
      <c r="UTY8" s="2"/>
      <c r="UTZ8" s="2"/>
      <c r="UUA8" s="2"/>
      <c r="UUB8" s="2"/>
      <c r="UUC8" s="2"/>
      <c r="UUD8" s="2"/>
      <c r="UUE8" s="2"/>
      <c r="UUF8" s="2"/>
      <c r="UUG8" s="2"/>
      <c r="UUH8" s="2"/>
      <c r="UUI8" s="2"/>
      <c r="UUJ8" s="2"/>
      <c r="UUK8" s="2"/>
      <c r="UUL8" s="2"/>
      <c r="UUM8" s="2"/>
      <c r="UUN8" s="2"/>
      <c r="UUO8" s="2"/>
      <c r="UUP8" s="2"/>
      <c r="UUQ8" s="2"/>
      <c r="UUR8" s="2"/>
      <c r="UUS8" s="2"/>
      <c r="UUT8" s="2"/>
      <c r="UUU8" s="2"/>
      <c r="UUV8" s="2"/>
      <c r="UUW8" s="2"/>
      <c r="UUX8" s="2"/>
      <c r="UUY8" s="2"/>
      <c r="UUZ8" s="2"/>
      <c r="UVA8" s="2"/>
      <c r="UVB8" s="2"/>
      <c r="UVC8" s="2"/>
      <c r="UVD8" s="2"/>
      <c r="UVE8" s="2"/>
      <c r="UVF8" s="2"/>
      <c r="UVG8" s="2"/>
      <c r="UVH8" s="2"/>
      <c r="UVI8" s="2"/>
      <c r="UVJ8" s="2"/>
      <c r="UVK8" s="2"/>
      <c r="UVL8" s="2"/>
      <c r="UVM8" s="2"/>
      <c r="UVN8" s="2"/>
      <c r="UVO8" s="2"/>
      <c r="UVP8" s="2"/>
      <c r="UVQ8" s="2"/>
      <c r="UVR8" s="2"/>
      <c r="UVS8" s="2"/>
      <c r="UVT8" s="2"/>
      <c r="UVU8" s="2"/>
      <c r="UVV8" s="2"/>
      <c r="UVW8" s="2"/>
      <c r="UVX8" s="2"/>
      <c r="UVY8" s="2"/>
      <c r="UVZ8" s="2"/>
      <c r="UWA8" s="2"/>
      <c r="UWB8" s="2"/>
      <c r="UWC8" s="2"/>
      <c r="UWD8" s="2"/>
      <c r="UWE8" s="2"/>
      <c r="UWF8" s="2"/>
      <c r="UWG8" s="2"/>
      <c r="UWH8" s="2"/>
      <c r="UWI8" s="2"/>
      <c r="UWJ8" s="2"/>
      <c r="UWK8" s="2"/>
      <c r="UWL8" s="2"/>
      <c r="UWM8" s="2"/>
      <c r="UWN8" s="2"/>
      <c r="UWO8" s="2"/>
      <c r="UWP8" s="2"/>
      <c r="UWQ8" s="2"/>
      <c r="UWR8" s="2"/>
      <c r="UWS8" s="2"/>
      <c r="UWT8" s="2"/>
      <c r="UWU8" s="2"/>
      <c r="UWV8" s="2"/>
      <c r="UWW8" s="2"/>
      <c r="UWX8" s="2"/>
      <c r="UWY8" s="2"/>
      <c r="UWZ8" s="2"/>
      <c r="UXA8" s="2"/>
      <c r="UXB8" s="2"/>
      <c r="UXC8" s="2"/>
      <c r="UXD8" s="2"/>
      <c r="UXE8" s="2"/>
      <c r="UXF8" s="2"/>
      <c r="UXG8" s="2"/>
      <c r="UXH8" s="2"/>
      <c r="UXI8" s="2"/>
      <c r="UXJ8" s="2"/>
      <c r="UXK8" s="2"/>
      <c r="UXL8" s="2"/>
      <c r="UXM8" s="2"/>
      <c r="UXN8" s="2"/>
      <c r="UXO8" s="2"/>
      <c r="UXP8" s="2"/>
      <c r="UXQ8" s="2"/>
      <c r="UXR8" s="2"/>
      <c r="UXS8" s="2"/>
      <c r="UXT8" s="2"/>
      <c r="UXU8" s="2"/>
      <c r="UXV8" s="2"/>
      <c r="UXW8" s="2"/>
      <c r="UXX8" s="2"/>
      <c r="UXY8" s="2"/>
      <c r="UXZ8" s="2"/>
      <c r="UYA8" s="2"/>
      <c r="UYB8" s="2"/>
      <c r="UYC8" s="2"/>
      <c r="UYD8" s="2"/>
      <c r="UYE8" s="2"/>
      <c r="UYF8" s="2"/>
      <c r="UYG8" s="2"/>
      <c r="UYH8" s="2"/>
      <c r="UYI8" s="2"/>
      <c r="UYJ8" s="2"/>
      <c r="UYK8" s="2"/>
      <c r="UYL8" s="2"/>
      <c r="UYM8" s="2"/>
      <c r="UYN8" s="2"/>
      <c r="UYO8" s="2"/>
      <c r="UYP8" s="2"/>
      <c r="UYQ8" s="2"/>
      <c r="UYR8" s="2"/>
      <c r="UYS8" s="2"/>
      <c r="UYT8" s="2"/>
      <c r="UYU8" s="2"/>
      <c r="UYV8" s="2"/>
      <c r="UYW8" s="2"/>
      <c r="UYX8" s="2"/>
      <c r="UYY8" s="2"/>
      <c r="UYZ8" s="2"/>
      <c r="UZA8" s="2"/>
      <c r="UZB8" s="2"/>
      <c r="UZC8" s="2"/>
      <c r="UZD8" s="2"/>
      <c r="UZE8" s="2"/>
      <c r="UZF8" s="2"/>
      <c r="UZG8" s="2"/>
      <c r="UZH8" s="2"/>
      <c r="UZI8" s="2"/>
      <c r="UZJ8" s="2"/>
      <c r="UZK8" s="2"/>
      <c r="UZL8" s="2"/>
      <c r="UZM8" s="2"/>
      <c r="UZN8" s="2"/>
      <c r="UZO8" s="2"/>
      <c r="UZP8" s="2"/>
      <c r="UZQ8" s="2"/>
      <c r="UZR8" s="2"/>
      <c r="UZS8" s="2"/>
      <c r="UZT8" s="2"/>
      <c r="UZU8" s="2"/>
      <c r="UZV8" s="2"/>
      <c r="UZW8" s="2"/>
      <c r="UZX8" s="2"/>
      <c r="UZY8" s="2"/>
      <c r="UZZ8" s="2"/>
      <c r="VAA8" s="2"/>
      <c r="VAB8" s="2"/>
      <c r="VAC8" s="2"/>
      <c r="VAD8" s="2"/>
      <c r="VAE8" s="2"/>
      <c r="VAF8" s="2"/>
      <c r="VAG8" s="2"/>
      <c r="VAH8" s="2"/>
      <c r="VAI8" s="2"/>
      <c r="VAJ8" s="2"/>
      <c r="VAK8" s="2"/>
      <c r="VAL8" s="2"/>
      <c r="VAM8" s="2"/>
      <c r="VAN8" s="2"/>
      <c r="VAO8" s="2"/>
      <c r="VAP8" s="2"/>
      <c r="VAQ8" s="2"/>
      <c r="VAR8" s="2"/>
      <c r="VAS8" s="2"/>
      <c r="VAT8" s="2"/>
      <c r="VAU8" s="2"/>
      <c r="VAV8" s="2"/>
      <c r="VAW8" s="2"/>
      <c r="VAX8" s="2"/>
      <c r="VAY8" s="2"/>
      <c r="VAZ8" s="2"/>
      <c r="VBA8" s="2"/>
      <c r="VBB8" s="2"/>
      <c r="VBC8" s="2"/>
      <c r="VBD8" s="2"/>
      <c r="VBE8" s="2"/>
      <c r="VBF8" s="2"/>
      <c r="VBG8" s="2"/>
      <c r="VBH8" s="2"/>
      <c r="VBI8" s="2"/>
      <c r="VBJ8" s="2"/>
      <c r="VBK8" s="2"/>
      <c r="VBL8" s="2"/>
      <c r="VBM8" s="2"/>
      <c r="VBN8" s="2"/>
      <c r="VBO8" s="2"/>
      <c r="VBP8" s="2"/>
      <c r="VBQ8" s="2"/>
      <c r="VBR8" s="2"/>
      <c r="VBS8" s="2"/>
      <c r="VBT8" s="2"/>
      <c r="VBU8" s="2"/>
      <c r="VBV8" s="2"/>
      <c r="VBW8" s="2"/>
      <c r="VBX8" s="2"/>
      <c r="VBY8" s="2"/>
      <c r="VBZ8" s="2"/>
      <c r="VCA8" s="2"/>
      <c r="VCB8" s="2"/>
      <c r="VCC8" s="2"/>
      <c r="VCD8" s="2"/>
      <c r="VCE8" s="2"/>
      <c r="VCF8" s="2"/>
      <c r="VCG8" s="2"/>
      <c r="VCH8" s="2"/>
      <c r="VCI8" s="2"/>
      <c r="VCJ8" s="2"/>
      <c r="VCK8" s="2"/>
      <c r="VCL8" s="2"/>
      <c r="VCM8" s="2"/>
      <c r="VCN8" s="2"/>
      <c r="VCO8" s="2"/>
      <c r="VCP8" s="2"/>
      <c r="VCQ8" s="2"/>
      <c r="VCR8" s="2"/>
      <c r="VCS8" s="2"/>
      <c r="VCT8" s="2"/>
      <c r="VCU8" s="2"/>
      <c r="VCV8" s="2"/>
      <c r="VCW8" s="2"/>
      <c r="VCX8" s="2"/>
      <c r="VCY8" s="2"/>
      <c r="VCZ8" s="2"/>
      <c r="VDA8" s="2"/>
      <c r="VDB8" s="2"/>
      <c r="VDC8" s="2"/>
      <c r="VDD8" s="2"/>
      <c r="VDE8" s="2"/>
      <c r="VDF8" s="2"/>
      <c r="VDG8" s="2"/>
      <c r="VDH8" s="2"/>
      <c r="VDI8" s="2"/>
      <c r="VDJ8" s="2"/>
      <c r="VDK8" s="2"/>
      <c r="VDL8" s="2"/>
      <c r="VDM8" s="2"/>
      <c r="VDN8" s="2"/>
      <c r="VDO8" s="2"/>
      <c r="VDP8" s="2"/>
      <c r="VDQ8" s="2"/>
      <c r="VDR8" s="2"/>
      <c r="VDS8" s="2"/>
      <c r="VDT8" s="2"/>
      <c r="VDU8" s="2"/>
      <c r="VDV8" s="2"/>
      <c r="VDW8" s="2"/>
      <c r="VDX8" s="2"/>
      <c r="VDY8" s="2"/>
      <c r="VDZ8" s="2"/>
      <c r="VEA8" s="2"/>
      <c r="VEB8" s="2"/>
      <c r="VEC8" s="2"/>
      <c r="VED8" s="2"/>
      <c r="VEE8" s="2"/>
      <c r="VEF8" s="2"/>
      <c r="VEG8" s="2"/>
      <c r="VEH8" s="2"/>
      <c r="VEI8" s="2"/>
      <c r="VEJ8" s="2"/>
      <c r="VEK8" s="2"/>
      <c r="VEL8" s="2"/>
      <c r="VEM8" s="2"/>
      <c r="VEN8" s="2"/>
      <c r="VEO8" s="2"/>
      <c r="VEP8" s="2"/>
      <c r="VEQ8" s="2"/>
      <c r="VER8" s="2"/>
      <c r="VES8" s="2"/>
      <c r="VET8" s="2"/>
      <c r="VEU8" s="2"/>
      <c r="VEV8" s="2"/>
      <c r="VEW8" s="2"/>
      <c r="VEX8" s="2"/>
      <c r="VEY8" s="2"/>
      <c r="VEZ8" s="2"/>
      <c r="VFA8" s="2"/>
      <c r="VFB8" s="2"/>
      <c r="VFC8" s="2"/>
      <c r="VFD8" s="2"/>
      <c r="VFE8" s="2"/>
      <c r="VFF8" s="2"/>
      <c r="VFG8" s="2"/>
      <c r="VFH8" s="2"/>
      <c r="VFI8" s="2"/>
      <c r="VFJ8" s="2"/>
      <c r="VFK8" s="2"/>
      <c r="VFL8" s="2"/>
      <c r="VFM8" s="2"/>
      <c r="VFN8" s="2"/>
      <c r="VFO8" s="2"/>
      <c r="VFP8" s="2"/>
      <c r="VFQ8" s="2"/>
      <c r="VFR8" s="2"/>
      <c r="VFS8" s="2"/>
      <c r="VFT8" s="2"/>
      <c r="VFU8" s="2"/>
      <c r="VFV8" s="2"/>
      <c r="VFW8" s="2"/>
      <c r="VFX8" s="2"/>
      <c r="VFY8" s="2"/>
      <c r="VFZ8" s="2"/>
      <c r="VGA8" s="2"/>
      <c r="VGB8" s="2"/>
      <c r="VGC8" s="2"/>
      <c r="VGD8" s="2"/>
      <c r="VGE8" s="2"/>
      <c r="VGF8" s="2"/>
      <c r="VGG8" s="2"/>
      <c r="VGH8" s="2"/>
      <c r="VGI8" s="2"/>
      <c r="VGJ8" s="2"/>
      <c r="VGK8" s="2"/>
      <c r="VGL8" s="2"/>
      <c r="VGM8" s="2"/>
      <c r="VGN8" s="2"/>
      <c r="VGO8" s="2"/>
      <c r="VGP8" s="2"/>
      <c r="VGQ8" s="2"/>
      <c r="VGR8" s="2"/>
      <c r="VGS8" s="2"/>
      <c r="VGT8" s="2"/>
      <c r="VGU8" s="2"/>
      <c r="VGV8" s="2"/>
      <c r="VGW8" s="2"/>
      <c r="VGX8" s="2"/>
      <c r="VGY8" s="2"/>
      <c r="VGZ8" s="2"/>
      <c r="VHA8" s="2"/>
      <c r="VHB8" s="2"/>
      <c r="VHC8" s="2"/>
      <c r="VHD8" s="2"/>
      <c r="VHE8" s="2"/>
      <c r="VHF8" s="2"/>
      <c r="VHG8" s="2"/>
      <c r="VHH8" s="2"/>
      <c r="VHI8" s="2"/>
      <c r="VHJ8" s="2"/>
      <c r="VHK8" s="2"/>
      <c r="VHL8" s="2"/>
      <c r="VHM8" s="2"/>
      <c r="VHN8" s="2"/>
      <c r="VHO8" s="2"/>
      <c r="VHP8" s="2"/>
      <c r="VHQ8" s="2"/>
      <c r="VHR8" s="2"/>
      <c r="VHS8" s="2"/>
      <c r="VHT8" s="2"/>
      <c r="VHU8" s="2"/>
      <c r="VHV8" s="2"/>
      <c r="VHW8" s="2"/>
      <c r="VHX8" s="2"/>
      <c r="VHY8" s="2"/>
      <c r="VHZ8" s="2"/>
      <c r="VIA8" s="2"/>
      <c r="VIB8" s="2"/>
      <c r="VIC8" s="2"/>
      <c r="VID8" s="2"/>
      <c r="VIE8" s="2"/>
      <c r="VIF8" s="2"/>
      <c r="VIG8" s="2"/>
      <c r="VIH8" s="2"/>
      <c r="VII8" s="2"/>
      <c r="VIJ8" s="2"/>
      <c r="VIK8" s="2"/>
      <c r="VIL8" s="2"/>
      <c r="VIM8" s="2"/>
      <c r="VIN8" s="2"/>
      <c r="VIO8" s="2"/>
      <c r="VIP8" s="2"/>
      <c r="VIQ8" s="2"/>
      <c r="VIR8" s="2"/>
      <c r="VIS8" s="2"/>
      <c r="VIT8" s="2"/>
      <c r="VIU8" s="2"/>
      <c r="VIV8" s="2"/>
      <c r="VIW8" s="2"/>
      <c r="VIX8" s="2"/>
      <c r="VIY8" s="2"/>
      <c r="VIZ8" s="2"/>
      <c r="VJA8" s="2"/>
      <c r="VJB8" s="2"/>
      <c r="VJC8" s="2"/>
      <c r="VJD8" s="2"/>
      <c r="VJE8" s="2"/>
      <c r="VJF8" s="2"/>
      <c r="VJG8" s="2"/>
      <c r="VJH8" s="2"/>
      <c r="VJI8" s="2"/>
      <c r="VJJ8" s="2"/>
      <c r="VJK8" s="2"/>
      <c r="VJL8" s="2"/>
      <c r="VJM8" s="2"/>
      <c r="VJN8" s="2"/>
      <c r="VJO8" s="2"/>
      <c r="VJP8" s="2"/>
      <c r="VJQ8" s="2"/>
      <c r="VJR8" s="2"/>
      <c r="VJS8" s="2"/>
      <c r="VJT8" s="2"/>
      <c r="VJU8" s="2"/>
      <c r="VJV8" s="2"/>
      <c r="VJW8" s="2"/>
      <c r="VJX8" s="2"/>
      <c r="VJY8" s="2"/>
      <c r="VJZ8" s="2"/>
      <c r="VKA8" s="2"/>
      <c r="VKB8" s="2"/>
      <c r="VKC8" s="2"/>
      <c r="VKD8" s="2"/>
      <c r="VKE8" s="2"/>
      <c r="VKF8" s="2"/>
      <c r="VKG8" s="2"/>
      <c r="VKH8" s="2"/>
      <c r="VKI8" s="2"/>
      <c r="VKJ8" s="2"/>
      <c r="VKK8" s="2"/>
      <c r="VKL8" s="2"/>
      <c r="VKM8" s="2"/>
      <c r="VKN8" s="2"/>
      <c r="VKO8" s="2"/>
      <c r="VKP8" s="2"/>
      <c r="VKQ8" s="2"/>
      <c r="VKR8" s="2"/>
      <c r="VKS8" s="2"/>
      <c r="VKT8" s="2"/>
      <c r="VKU8" s="2"/>
      <c r="VKV8" s="2"/>
      <c r="VKW8" s="2"/>
      <c r="VKX8" s="2"/>
      <c r="VKY8" s="2"/>
      <c r="VKZ8" s="2"/>
      <c r="VLA8" s="2"/>
      <c r="VLB8" s="2"/>
      <c r="VLC8" s="2"/>
      <c r="VLD8" s="2"/>
      <c r="VLE8" s="2"/>
      <c r="VLF8" s="2"/>
      <c r="VLG8" s="2"/>
      <c r="VLH8" s="2"/>
      <c r="VLI8" s="2"/>
      <c r="VLJ8" s="2"/>
      <c r="VLK8" s="2"/>
      <c r="VLL8" s="2"/>
      <c r="VLM8" s="2"/>
      <c r="VLN8" s="2"/>
      <c r="VLO8" s="2"/>
      <c r="VLP8" s="2"/>
      <c r="VLQ8" s="2"/>
      <c r="VLR8" s="2"/>
      <c r="VLS8" s="2"/>
      <c r="VLT8" s="2"/>
      <c r="VLU8" s="2"/>
      <c r="VLV8" s="2"/>
      <c r="VLW8" s="2"/>
      <c r="VLX8" s="2"/>
      <c r="VLY8" s="2"/>
      <c r="VLZ8" s="2"/>
      <c r="VMA8" s="2"/>
      <c r="VMB8" s="2"/>
      <c r="VMC8" s="2"/>
      <c r="VMD8" s="2"/>
      <c r="VME8" s="2"/>
      <c r="VMF8" s="2"/>
      <c r="VMG8" s="2"/>
      <c r="VMH8" s="2"/>
      <c r="VMI8" s="2"/>
      <c r="VMJ8" s="2"/>
      <c r="VMK8" s="2"/>
      <c r="VML8" s="2"/>
      <c r="VMM8" s="2"/>
      <c r="VMN8" s="2"/>
      <c r="VMO8" s="2"/>
      <c r="VMP8" s="2"/>
      <c r="VMQ8" s="2"/>
      <c r="VMR8" s="2"/>
      <c r="VMS8" s="2"/>
      <c r="VMT8" s="2"/>
      <c r="VMU8" s="2"/>
      <c r="VMV8" s="2"/>
      <c r="VMW8" s="2"/>
      <c r="VMX8" s="2"/>
      <c r="VMY8" s="2"/>
      <c r="VMZ8" s="2"/>
      <c r="VNA8" s="2"/>
      <c r="VNB8" s="2"/>
      <c r="VNC8" s="2"/>
      <c r="VND8" s="2"/>
      <c r="VNE8" s="2"/>
      <c r="VNF8" s="2"/>
      <c r="VNG8" s="2"/>
      <c r="VNH8" s="2"/>
      <c r="VNI8" s="2"/>
      <c r="VNJ8" s="2"/>
      <c r="VNK8" s="2"/>
      <c r="VNL8" s="2"/>
      <c r="VNM8" s="2"/>
      <c r="VNN8" s="2"/>
      <c r="VNO8" s="2"/>
      <c r="VNP8" s="2"/>
      <c r="VNQ8" s="2"/>
      <c r="VNR8" s="2"/>
      <c r="VNS8" s="2"/>
      <c r="VNT8" s="2"/>
      <c r="VNU8" s="2"/>
      <c r="VNV8" s="2"/>
      <c r="VNW8" s="2"/>
      <c r="VNX8" s="2"/>
      <c r="VNY8" s="2"/>
      <c r="VNZ8" s="2"/>
      <c r="VOA8" s="2"/>
      <c r="VOB8" s="2"/>
      <c r="VOC8" s="2"/>
      <c r="VOD8" s="2"/>
      <c r="VOE8" s="2"/>
      <c r="VOF8" s="2"/>
      <c r="VOG8" s="2"/>
      <c r="VOH8" s="2"/>
      <c r="VOI8" s="2"/>
      <c r="VOJ8" s="2"/>
      <c r="VOK8" s="2"/>
      <c r="VOL8" s="2"/>
      <c r="VOM8" s="2"/>
      <c r="VON8" s="2"/>
      <c r="VOO8" s="2"/>
      <c r="VOP8" s="2"/>
      <c r="VOQ8" s="2"/>
      <c r="VOR8" s="2"/>
      <c r="VOS8" s="2"/>
      <c r="VOT8" s="2"/>
      <c r="VOU8" s="2"/>
      <c r="VOV8" s="2"/>
      <c r="VOW8" s="2"/>
      <c r="VOX8" s="2"/>
      <c r="VOY8" s="2"/>
      <c r="VOZ8" s="2"/>
      <c r="VPA8" s="2"/>
      <c r="VPB8" s="2"/>
      <c r="VPC8" s="2"/>
      <c r="VPD8" s="2"/>
      <c r="VPE8" s="2"/>
      <c r="VPF8" s="2"/>
      <c r="VPG8" s="2"/>
      <c r="VPH8" s="2"/>
      <c r="VPI8" s="2"/>
      <c r="VPJ8" s="2"/>
      <c r="VPK8" s="2"/>
      <c r="VPL8" s="2"/>
      <c r="VPM8" s="2"/>
      <c r="VPN8" s="2"/>
      <c r="VPO8" s="2"/>
      <c r="VPP8" s="2"/>
      <c r="VPQ8" s="2"/>
      <c r="VPR8" s="2"/>
      <c r="VPS8" s="2"/>
      <c r="VPT8" s="2"/>
      <c r="VPU8" s="2"/>
      <c r="VPV8" s="2"/>
      <c r="VPW8" s="2"/>
      <c r="VPX8" s="2"/>
      <c r="VPY8" s="2"/>
      <c r="VPZ8" s="2"/>
      <c r="VQA8" s="2"/>
      <c r="VQB8" s="2"/>
      <c r="VQC8" s="2"/>
      <c r="VQD8" s="2"/>
      <c r="VQE8" s="2"/>
      <c r="VQF8" s="2"/>
      <c r="VQG8" s="2"/>
      <c r="VQH8" s="2"/>
      <c r="VQI8" s="2"/>
      <c r="VQJ8" s="2"/>
      <c r="VQK8" s="2"/>
      <c r="VQL8" s="2"/>
      <c r="VQM8" s="2"/>
      <c r="VQN8" s="2"/>
      <c r="VQO8" s="2"/>
      <c r="VQP8" s="2"/>
      <c r="VQQ8" s="2"/>
      <c r="VQR8" s="2"/>
      <c r="VQS8" s="2"/>
      <c r="VQT8" s="2"/>
      <c r="VQU8" s="2"/>
      <c r="VQV8" s="2"/>
      <c r="VQW8" s="2"/>
      <c r="VQX8" s="2"/>
      <c r="VQY8" s="2"/>
      <c r="VQZ8" s="2"/>
      <c r="VRA8" s="2"/>
      <c r="VRB8" s="2"/>
      <c r="VRC8" s="2"/>
      <c r="VRD8" s="2"/>
      <c r="VRE8" s="2"/>
      <c r="VRF8" s="2"/>
      <c r="VRG8" s="2"/>
      <c r="VRH8" s="2"/>
      <c r="VRI8" s="2"/>
      <c r="VRJ8" s="2"/>
      <c r="VRK8" s="2"/>
      <c r="VRL8" s="2"/>
      <c r="VRM8" s="2"/>
      <c r="VRN8" s="2"/>
      <c r="VRO8" s="2"/>
      <c r="VRP8" s="2"/>
      <c r="VRQ8" s="2"/>
      <c r="VRR8" s="2"/>
      <c r="VRS8" s="2"/>
      <c r="VRT8" s="2"/>
      <c r="VRU8" s="2"/>
      <c r="VRV8" s="2"/>
      <c r="VRW8" s="2"/>
      <c r="VRX8" s="2"/>
      <c r="VRY8" s="2"/>
      <c r="VRZ8" s="2"/>
      <c r="VSA8" s="2"/>
      <c r="VSB8" s="2"/>
      <c r="VSC8" s="2"/>
      <c r="VSD8" s="2"/>
      <c r="VSE8" s="2"/>
      <c r="VSF8" s="2"/>
      <c r="VSG8" s="2"/>
      <c r="VSH8" s="2"/>
      <c r="VSI8" s="2"/>
      <c r="VSJ8" s="2"/>
      <c r="VSK8" s="2"/>
      <c r="VSL8" s="2"/>
      <c r="VSM8" s="2"/>
      <c r="VSN8" s="2"/>
      <c r="VSO8" s="2"/>
      <c r="VSP8" s="2"/>
      <c r="VSQ8" s="2"/>
      <c r="VSR8" s="2"/>
      <c r="VSS8" s="2"/>
      <c r="VST8" s="2"/>
      <c r="VSU8" s="2"/>
      <c r="VSV8" s="2"/>
      <c r="VSW8" s="2"/>
      <c r="VSX8" s="2"/>
      <c r="VSY8" s="2"/>
      <c r="VSZ8" s="2"/>
      <c r="VTA8" s="2"/>
      <c r="VTB8" s="2"/>
      <c r="VTC8" s="2"/>
      <c r="VTD8" s="2"/>
      <c r="VTE8" s="2"/>
      <c r="VTF8" s="2"/>
      <c r="VTG8" s="2"/>
      <c r="VTH8" s="2"/>
      <c r="VTI8" s="2"/>
      <c r="VTJ8" s="2"/>
      <c r="VTK8" s="2"/>
      <c r="VTL8" s="2"/>
      <c r="VTM8" s="2"/>
      <c r="VTN8" s="2"/>
      <c r="VTO8" s="2"/>
      <c r="VTP8" s="2"/>
      <c r="VTQ8" s="2"/>
      <c r="VTR8" s="2"/>
      <c r="VTS8" s="2"/>
      <c r="VTT8" s="2"/>
      <c r="VTU8" s="2"/>
      <c r="VTV8" s="2"/>
      <c r="VTW8" s="2"/>
      <c r="VTX8" s="2"/>
      <c r="VTY8" s="2"/>
      <c r="VTZ8" s="2"/>
      <c r="VUA8" s="2"/>
      <c r="VUB8" s="2"/>
      <c r="VUC8" s="2"/>
      <c r="VUD8" s="2"/>
      <c r="VUE8" s="2"/>
      <c r="VUF8" s="2"/>
      <c r="VUG8" s="2"/>
      <c r="VUH8" s="2"/>
      <c r="VUI8" s="2"/>
      <c r="VUJ8" s="2"/>
      <c r="VUK8" s="2"/>
      <c r="VUL8" s="2"/>
      <c r="VUM8" s="2"/>
      <c r="VUN8" s="2"/>
      <c r="VUO8" s="2"/>
      <c r="VUP8" s="2"/>
      <c r="VUQ8" s="2"/>
      <c r="VUR8" s="2"/>
      <c r="VUS8" s="2"/>
      <c r="VUT8" s="2"/>
      <c r="VUU8" s="2"/>
      <c r="VUV8" s="2"/>
      <c r="VUW8" s="2"/>
      <c r="VUX8" s="2"/>
      <c r="VUY8" s="2"/>
      <c r="VUZ8" s="2"/>
      <c r="VVA8" s="2"/>
      <c r="VVB8" s="2"/>
      <c r="VVC8" s="2"/>
      <c r="VVD8" s="2"/>
      <c r="VVE8" s="2"/>
      <c r="VVF8" s="2"/>
      <c r="VVG8" s="2"/>
      <c r="VVH8" s="2"/>
      <c r="VVI8" s="2"/>
      <c r="VVJ8" s="2"/>
      <c r="VVK8" s="2"/>
      <c r="VVL8" s="2"/>
      <c r="VVM8" s="2"/>
      <c r="VVN8" s="2"/>
      <c r="VVO8" s="2"/>
      <c r="VVP8" s="2"/>
      <c r="VVQ8" s="2"/>
      <c r="VVR8" s="2"/>
      <c r="VVS8" s="2"/>
      <c r="VVT8" s="2"/>
      <c r="VVU8" s="2"/>
      <c r="VVV8" s="2"/>
      <c r="VVW8" s="2"/>
      <c r="VVX8" s="2"/>
      <c r="VVY8" s="2"/>
      <c r="VVZ8" s="2"/>
      <c r="VWA8" s="2"/>
      <c r="VWB8" s="2"/>
      <c r="VWC8" s="2"/>
      <c r="VWD8" s="2"/>
      <c r="VWE8" s="2"/>
      <c r="VWF8" s="2"/>
      <c r="VWG8" s="2"/>
      <c r="VWH8" s="2"/>
      <c r="VWI8" s="2"/>
      <c r="VWJ8" s="2"/>
      <c r="VWK8" s="2"/>
      <c r="VWL8" s="2"/>
      <c r="VWM8" s="2"/>
      <c r="VWN8" s="2"/>
      <c r="VWO8" s="2"/>
      <c r="VWP8" s="2"/>
      <c r="VWQ8" s="2"/>
      <c r="VWR8" s="2"/>
      <c r="VWS8" s="2"/>
      <c r="VWT8" s="2"/>
      <c r="VWU8" s="2"/>
      <c r="VWV8" s="2"/>
      <c r="VWW8" s="2"/>
      <c r="VWX8" s="2"/>
      <c r="VWY8" s="2"/>
      <c r="VWZ8" s="2"/>
      <c r="VXA8" s="2"/>
      <c r="VXB8" s="2"/>
      <c r="VXC8" s="2"/>
      <c r="VXD8" s="2"/>
      <c r="VXE8" s="2"/>
      <c r="VXF8" s="2"/>
      <c r="VXG8" s="2"/>
      <c r="VXH8" s="2"/>
      <c r="VXI8" s="2"/>
      <c r="VXJ8" s="2"/>
      <c r="VXK8" s="2"/>
      <c r="VXL8" s="2"/>
      <c r="VXM8" s="2"/>
      <c r="VXN8" s="2"/>
      <c r="VXO8" s="2"/>
      <c r="VXP8" s="2"/>
      <c r="VXQ8" s="2"/>
      <c r="VXR8" s="2"/>
      <c r="VXS8" s="2"/>
      <c r="VXT8" s="2"/>
      <c r="VXU8" s="2"/>
      <c r="VXV8" s="2"/>
      <c r="VXW8" s="2"/>
      <c r="VXX8" s="2"/>
      <c r="VXY8" s="2"/>
      <c r="VXZ8" s="2"/>
      <c r="VYA8" s="2"/>
      <c r="VYB8" s="2"/>
      <c r="VYC8" s="2"/>
      <c r="VYD8" s="2"/>
      <c r="VYE8" s="2"/>
      <c r="VYF8" s="2"/>
      <c r="VYG8" s="2"/>
      <c r="VYH8" s="2"/>
      <c r="VYI8" s="2"/>
      <c r="VYJ8" s="2"/>
      <c r="VYK8" s="2"/>
      <c r="VYL8" s="2"/>
      <c r="VYM8" s="2"/>
      <c r="VYN8" s="2"/>
      <c r="VYO8" s="2"/>
      <c r="VYP8" s="2"/>
      <c r="VYQ8" s="2"/>
      <c r="VYR8" s="2"/>
      <c r="VYS8" s="2"/>
      <c r="VYT8" s="2"/>
      <c r="VYU8" s="2"/>
      <c r="VYV8" s="2"/>
      <c r="VYW8" s="2"/>
      <c r="VYX8" s="2"/>
      <c r="VYY8" s="2"/>
      <c r="VYZ8" s="2"/>
      <c r="VZA8" s="2"/>
      <c r="VZB8" s="2"/>
      <c r="VZC8" s="2"/>
      <c r="VZD8" s="2"/>
      <c r="VZE8" s="2"/>
      <c r="VZF8" s="2"/>
      <c r="VZG8" s="2"/>
      <c r="VZH8" s="2"/>
      <c r="VZI8" s="2"/>
      <c r="VZJ8" s="2"/>
      <c r="VZK8" s="2"/>
      <c r="VZL8" s="2"/>
      <c r="VZM8" s="2"/>
      <c r="VZN8" s="2"/>
      <c r="VZO8" s="2"/>
      <c r="VZP8" s="2"/>
      <c r="VZQ8" s="2"/>
      <c r="VZR8" s="2"/>
      <c r="VZS8" s="2"/>
      <c r="VZT8" s="2"/>
      <c r="VZU8" s="2"/>
      <c r="VZV8" s="2"/>
      <c r="VZW8" s="2"/>
      <c r="VZX8" s="2"/>
      <c r="VZY8" s="2"/>
      <c r="VZZ8" s="2"/>
      <c r="WAA8" s="2"/>
      <c r="WAB8" s="2"/>
      <c r="WAC8" s="2"/>
      <c r="WAD8" s="2"/>
      <c r="WAE8" s="2"/>
      <c r="WAF8" s="2"/>
      <c r="WAG8" s="2"/>
      <c r="WAH8" s="2"/>
      <c r="WAI8" s="2"/>
      <c r="WAJ8" s="2"/>
      <c r="WAK8" s="2"/>
      <c r="WAL8" s="2"/>
      <c r="WAM8" s="2"/>
      <c r="WAN8" s="2"/>
      <c r="WAO8" s="2"/>
      <c r="WAP8" s="2"/>
      <c r="WAQ8" s="2"/>
      <c r="WAR8" s="2"/>
      <c r="WAS8" s="2"/>
      <c r="WAT8" s="2"/>
      <c r="WAU8" s="2"/>
      <c r="WAV8" s="2"/>
      <c r="WAW8" s="2"/>
      <c r="WAX8" s="2"/>
      <c r="WAY8" s="2"/>
      <c r="WAZ8" s="2"/>
      <c r="WBA8" s="2"/>
      <c r="WBB8" s="2"/>
      <c r="WBC8" s="2"/>
      <c r="WBD8" s="2"/>
      <c r="WBE8" s="2"/>
      <c r="WBF8" s="2"/>
      <c r="WBG8" s="2"/>
      <c r="WBH8" s="2"/>
      <c r="WBI8" s="2"/>
      <c r="WBJ8" s="2"/>
      <c r="WBK8" s="2"/>
      <c r="WBL8" s="2"/>
      <c r="WBM8" s="2"/>
      <c r="WBN8" s="2"/>
      <c r="WBO8" s="2"/>
      <c r="WBP8" s="2"/>
      <c r="WBQ8" s="2"/>
      <c r="WBR8" s="2"/>
      <c r="WBS8" s="2"/>
      <c r="WBT8" s="2"/>
      <c r="WBU8" s="2"/>
      <c r="WBV8" s="2"/>
      <c r="WBW8" s="2"/>
      <c r="WBX8" s="2"/>
      <c r="WBY8" s="2"/>
      <c r="WBZ8" s="2"/>
      <c r="WCA8" s="2"/>
      <c r="WCB8" s="2"/>
      <c r="WCC8" s="2"/>
      <c r="WCD8" s="2"/>
      <c r="WCE8" s="2"/>
      <c r="WCF8" s="2"/>
      <c r="WCG8" s="2"/>
      <c r="WCH8" s="2"/>
      <c r="WCI8" s="2"/>
      <c r="WCJ8" s="2"/>
      <c r="WCK8" s="2"/>
      <c r="WCL8" s="2"/>
      <c r="WCM8" s="2"/>
      <c r="WCN8" s="2"/>
      <c r="WCO8" s="2"/>
      <c r="WCP8" s="2"/>
      <c r="WCQ8" s="2"/>
      <c r="WCR8" s="2"/>
      <c r="WCS8" s="2"/>
      <c r="WCT8" s="2"/>
      <c r="WCU8" s="2"/>
      <c r="WCV8" s="2"/>
      <c r="WCW8" s="2"/>
      <c r="WCX8" s="2"/>
      <c r="WCY8" s="2"/>
      <c r="WCZ8" s="2"/>
      <c r="WDA8" s="2"/>
      <c r="WDB8" s="2"/>
      <c r="WDC8" s="2"/>
      <c r="WDD8" s="2"/>
      <c r="WDE8" s="2"/>
      <c r="WDF8" s="2"/>
      <c r="WDG8" s="2"/>
      <c r="WDH8" s="2"/>
      <c r="WDI8" s="2"/>
      <c r="WDJ8" s="2"/>
      <c r="WDK8" s="2"/>
      <c r="WDL8" s="2"/>
      <c r="WDM8" s="2"/>
      <c r="WDN8" s="2"/>
      <c r="WDO8" s="2"/>
      <c r="WDP8" s="2"/>
      <c r="WDQ8" s="2"/>
      <c r="WDR8" s="2"/>
      <c r="WDS8" s="2"/>
      <c r="WDT8" s="2"/>
      <c r="WDU8" s="2"/>
      <c r="WDV8" s="2"/>
      <c r="WDW8" s="2"/>
      <c r="WDX8" s="2"/>
      <c r="WDY8" s="2"/>
      <c r="WDZ8" s="2"/>
      <c r="WEA8" s="2"/>
      <c r="WEB8" s="2"/>
      <c r="WEC8" s="2"/>
      <c r="WED8" s="2"/>
      <c r="WEE8" s="2"/>
      <c r="WEF8" s="2"/>
      <c r="WEG8" s="2"/>
      <c r="WEH8" s="2"/>
      <c r="WEI8" s="2"/>
      <c r="WEJ8" s="2"/>
      <c r="WEK8" s="2"/>
      <c r="WEL8" s="2"/>
      <c r="WEM8" s="2"/>
      <c r="WEN8" s="2"/>
      <c r="WEO8" s="2"/>
      <c r="WEP8" s="2"/>
      <c r="WEQ8" s="2"/>
      <c r="WER8" s="2"/>
      <c r="WES8" s="2"/>
      <c r="WET8" s="2"/>
      <c r="WEU8" s="2"/>
      <c r="WEV8" s="2"/>
      <c r="WEW8" s="2"/>
      <c r="WEX8" s="2"/>
      <c r="WEY8" s="2"/>
      <c r="WEZ8" s="2"/>
      <c r="WFA8" s="2"/>
      <c r="WFB8" s="2"/>
      <c r="WFC8" s="2"/>
      <c r="WFD8" s="2"/>
      <c r="WFE8" s="2"/>
      <c r="WFF8" s="2"/>
      <c r="WFG8" s="2"/>
      <c r="WFH8" s="2"/>
      <c r="WFI8" s="2"/>
      <c r="WFJ8" s="2"/>
      <c r="WFK8" s="2"/>
      <c r="WFL8" s="2"/>
      <c r="WFM8" s="2"/>
      <c r="WFN8" s="2"/>
      <c r="WFO8" s="2"/>
      <c r="WFP8" s="2"/>
      <c r="WFQ8" s="2"/>
      <c r="WFR8" s="2"/>
      <c r="WFS8" s="2"/>
      <c r="WFT8" s="2"/>
      <c r="WFU8" s="2"/>
      <c r="WFV8" s="2"/>
      <c r="WFW8" s="2"/>
      <c r="WFX8" s="2"/>
      <c r="WFY8" s="2"/>
      <c r="WFZ8" s="2"/>
      <c r="WGA8" s="2"/>
      <c r="WGB8" s="2"/>
      <c r="WGC8" s="2"/>
      <c r="WGD8" s="2"/>
      <c r="WGE8" s="2"/>
      <c r="WGF8" s="2"/>
      <c r="WGG8" s="2"/>
      <c r="WGH8" s="2"/>
      <c r="WGI8" s="2"/>
      <c r="WGJ8" s="2"/>
      <c r="WGK8" s="2"/>
      <c r="WGL8" s="2"/>
      <c r="WGM8" s="2"/>
      <c r="WGN8" s="2"/>
      <c r="WGO8" s="2"/>
      <c r="WGP8" s="2"/>
      <c r="WGQ8" s="2"/>
      <c r="WGR8" s="2"/>
      <c r="WGS8" s="2"/>
      <c r="WGT8" s="2"/>
      <c r="WGU8" s="2"/>
      <c r="WGV8" s="2"/>
      <c r="WGW8" s="2"/>
      <c r="WGX8" s="2"/>
      <c r="WGY8" s="2"/>
      <c r="WGZ8" s="2"/>
      <c r="WHA8" s="2"/>
      <c r="WHB8" s="2"/>
      <c r="WHC8" s="2"/>
      <c r="WHD8" s="2"/>
      <c r="WHE8" s="2"/>
      <c r="WHF8" s="2"/>
      <c r="WHG8" s="2"/>
      <c r="WHH8" s="2"/>
      <c r="WHI8" s="2"/>
      <c r="WHJ8" s="2"/>
      <c r="WHK8" s="2"/>
      <c r="WHL8" s="2"/>
      <c r="WHM8" s="2"/>
      <c r="WHN8" s="2"/>
      <c r="WHO8" s="2"/>
      <c r="WHP8" s="2"/>
      <c r="WHQ8" s="2"/>
      <c r="WHR8" s="2"/>
      <c r="WHS8" s="2"/>
      <c r="WHT8" s="2"/>
      <c r="WHU8" s="2"/>
      <c r="WHV8" s="2"/>
      <c r="WHW8" s="2"/>
      <c r="WHX8" s="2"/>
      <c r="WHY8" s="2"/>
      <c r="WHZ8" s="2"/>
      <c r="WIA8" s="2"/>
      <c r="WIB8" s="2"/>
      <c r="WIC8" s="2"/>
      <c r="WID8" s="2"/>
      <c r="WIE8" s="2"/>
      <c r="WIF8" s="2"/>
      <c r="WIG8" s="2"/>
      <c r="WIH8" s="2"/>
      <c r="WII8" s="2"/>
      <c r="WIJ8" s="2"/>
      <c r="WIK8" s="2"/>
      <c r="WIL8" s="2"/>
      <c r="WIM8" s="2"/>
      <c r="WIN8" s="2"/>
      <c r="WIO8" s="2"/>
      <c r="WIP8" s="2"/>
      <c r="WIQ8" s="2"/>
      <c r="WIR8" s="2"/>
      <c r="WIS8" s="2"/>
      <c r="WIT8" s="2"/>
      <c r="WIU8" s="2"/>
      <c r="WIV8" s="2"/>
      <c r="WIW8" s="2"/>
      <c r="WIX8" s="2"/>
      <c r="WIY8" s="2"/>
      <c r="WIZ8" s="2"/>
      <c r="WJA8" s="2"/>
      <c r="WJB8" s="2"/>
      <c r="WJC8" s="2"/>
      <c r="WJD8" s="2"/>
      <c r="WJE8" s="2"/>
      <c r="WJF8" s="2"/>
      <c r="WJG8" s="2"/>
      <c r="WJH8" s="2"/>
      <c r="WJI8" s="2"/>
      <c r="WJJ8" s="2"/>
      <c r="WJK8" s="2"/>
      <c r="WJL8" s="2"/>
      <c r="WJM8" s="2"/>
      <c r="WJN8" s="2"/>
      <c r="WJO8" s="2"/>
      <c r="WJP8" s="2"/>
      <c r="WJQ8" s="2"/>
      <c r="WJR8" s="2"/>
      <c r="WJS8" s="2"/>
      <c r="WJT8" s="2"/>
      <c r="WJU8" s="2"/>
      <c r="WJV8" s="2"/>
      <c r="WJW8" s="2"/>
      <c r="WJX8" s="2"/>
      <c r="WJY8" s="2"/>
      <c r="WJZ8" s="2"/>
      <c r="WKA8" s="2"/>
      <c r="WKB8" s="2"/>
      <c r="WKC8" s="2"/>
      <c r="WKD8" s="2"/>
      <c r="WKE8" s="2"/>
      <c r="WKF8" s="2"/>
      <c r="WKG8" s="2"/>
      <c r="WKH8" s="2"/>
      <c r="WKI8" s="2"/>
      <c r="WKJ8" s="2"/>
      <c r="WKK8" s="2"/>
      <c r="WKL8" s="2"/>
      <c r="WKM8" s="2"/>
      <c r="WKN8" s="2"/>
      <c r="WKO8" s="2"/>
      <c r="WKP8" s="2"/>
      <c r="WKQ8" s="2"/>
      <c r="WKR8" s="2"/>
      <c r="WKS8" s="2"/>
      <c r="WKT8" s="2"/>
      <c r="WKU8" s="2"/>
      <c r="WKV8" s="2"/>
      <c r="WKW8" s="2"/>
      <c r="WKX8" s="2"/>
      <c r="WKY8" s="2"/>
      <c r="WKZ8" s="2"/>
      <c r="WLA8" s="2"/>
      <c r="WLB8" s="2"/>
      <c r="WLC8" s="2"/>
      <c r="WLD8" s="2"/>
      <c r="WLE8" s="2"/>
      <c r="WLF8" s="2"/>
      <c r="WLG8" s="2"/>
      <c r="WLH8" s="2"/>
      <c r="WLI8" s="2"/>
      <c r="WLJ8" s="2"/>
      <c r="WLK8" s="2"/>
      <c r="WLL8" s="2"/>
      <c r="WLM8" s="2"/>
      <c r="WLN8" s="2"/>
      <c r="WLO8" s="2"/>
      <c r="WLP8" s="2"/>
      <c r="WLQ8" s="2"/>
      <c r="WLR8" s="2"/>
      <c r="WLS8" s="2"/>
      <c r="WLT8" s="2"/>
      <c r="WLU8" s="2"/>
      <c r="WLV8" s="2"/>
      <c r="WLW8" s="2"/>
      <c r="WLX8" s="2"/>
      <c r="WLY8" s="2"/>
      <c r="WLZ8" s="2"/>
      <c r="WMA8" s="2"/>
      <c r="WMB8" s="2"/>
      <c r="WMC8" s="2"/>
      <c r="WMD8" s="2"/>
      <c r="WME8" s="2"/>
      <c r="WMF8" s="2"/>
      <c r="WMG8" s="2"/>
      <c r="WMH8" s="2"/>
      <c r="WMI8" s="2"/>
      <c r="WMJ8" s="2"/>
      <c r="WMK8" s="2"/>
      <c r="WML8" s="2"/>
      <c r="WMM8" s="2"/>
      <c r="WMN8" s="2"/>
      <c r="WMO8" s="2"/>
      <c r="WMP8" s="2"/>
      <c r="WMQ8" s="2"/>
      <c r="WMR8" s="2"/>
      <c r="WMS8" s="2"/>
      <c r="WMT8" s="2"/>
      <c r="WMU8" s="2"/>
      <c r="WMV8" s="2"/>
      <c r="WMW8" s="2"/>
      <c r="WMX8" s="2"/>
      <c r="WMY8" s="2"/>
      <c r="WMZ8" s="2"/>
      <c r="WNA8" s="2"/>
      <c r="WNB8" s="2"/>
      <c r="WNC8" s="2"/>
      <c r="WND8" s="2"/>
      <c r="WNE8" s="2"/>
      <c r="WNF8" s="2"/>
      <c r="WNG8" s="2"/>
      <c r="WNH8" s="2"/>
      <c r="WNI8" s="2"/>
      <c r="WNJ8" s="2"/>
      <c r="WNK8" s="2"/>
      <c r="WNL8" s="2"/>
      <c r="WNM8" s="2"/>
      <c r="WNN8" s="2"/>
      <c r="WNO8" s="2"/>
      <c r="WNP8" s="2"/>
      <c r="WNQ8" s="2"/>
      <c r="WNR8" s="2"/>
      <c r="WNS8" s="2"/>
      <c r="WNT8" s="2"/>
      <c r="WNU8" s="2"/>
      <c r="WNV8" s="2"/>
      <c r="WNW8" s="2"/>
      <c r="WNX8" s="2"/>
      <c r="WNY8" s="2"/>
      <c r="WNZ8" s="2"/>
      <c r="WOA8" s="2"/>
      <c r="WOB8" s="2"/>
      <c r="WOC8" s="2"/>
      <c r="WOD8" s="2"/>
      <c r="WOE8" s="2"/>
      <c r="WOF8" s="2"/>
      <c r="WOG8" s="2"/>
      <c r="WOH8" s="2"/>
      <c r="WOI8" s="2"/>
      <c r="WOJ8" s="2"/>
      <c r="WOK8" s="2"/>
      <c r="WOL8" s="2"/>
      <c r="WOM8" s="2"/>
      <c r="WON8" s="2"/>
      <c r="WOO8" s="2"/>
      <c r="WOP8" s="2"/>
      <c r="WOQ8" s="2"/>
      <c r="WOR8" s="2"/>
      <c r="WOS8" s="2"/>
      <c r="WOT8" s="2"/>
      <c r="WOU8" s="2"/>
      <c r="WOV8" s="2"/>
      <c r="WOW8" s="2"/>
      <c r="WOX8" s="2"/>
      <c r="WOY8" s="2"/>
      <c r="WOZ8" s="2"/>
      <c r="WPA8" s="2"/>
      <c r="WPB8" s="2"/>
      <c r="WPC8" s="2"/>
      <c r="WPD8" s="2"/>
      <c r="WPE8" s="2"/>
      <c r="WPF8" s="2"/>
      <c r="WPG8" s="2"/>
      <c r="WPH8" s="2"/>
      <c r="WPI8" s="2"/>
      <c r="WPJ8" s="2"/>
      <c r="WPK8" s="2"/>
      <c r="WPL8" s="2"/>
      <c r="WPM8" s="2"/>
      <c r="WPN8" s="2"/>
      <c r="WPO8" s="2"/>
      <c r="WPP8" s="2"/>
      <c r="WPQ8" s="2"/>
      <c r="WPR8" s="2"/>
      <c r="WPS8" s="2"/>
      <c r="WPT8" s="2"/>
      <c r="WPU8" s="2"/>
      <c r="WPV8" s="2"/>
      <c r="WPW8" s="2"/>
      <c r="WPX8" s="2"/>
      <c r="WPY8" s="2"/>
      <c r="WPZ8" s="2"/>
      <c r="WQA8" s="2"/>
      <c r="WQB8" s="2"/>
      <c r="WQC8" s="2"/>
      <c r="WQD8" s="2"/>
      <c r="WQE8" s="2"/>
      <c r="WQF8" s="2"/>
      <c r="WQG8" s="2"/>
      <c r="WQH8" s="2"/>
      <c r="WQI8" s="2"/>
      <c r="WQJ8" s="2"/>
      <c r="WQK8" s="2"/>
      <c r="WQL8" s="2"/>
      <c r="WQM8" s="2"/>
      <c r="WQN8" s="2"/>
      <c r="WQO8" s="2"/>
      <c r="WQP8" s="2"/>
      <c r="WQQ8" s="2"/>
      <c r="WQR8" s="2"/>
      <c r="WQS8" s="2"/>
      <c r="WQT8" s="2"/>
      <c r="WQU8" s="2"/>
      <c r="WQV8" s="2"/>
      <c r="WQW8" s="2"/>
      <c r="WQX8" s="2"/>
      <c r="WQY8" s="2"/>
      <c r="WQZ8" s="2"/>
      <c r="WRA8" s="2"/>
      <c r="WRB8" s="2"/>
      <c r="WRC8" s="2"/>
      <c r="WRD8" s="2"/>
      <c r="WRE8" s="2"/>
      <c r="WRF8" s="2"/>
      <c r="WRG8" s="2"/>
      <c r="WRH8" s="2"/>
      <c r="WRI8" s="2"/>
      <c r="WRJ8" s="2"/>
      <c r="WRK8" s="2"/>
      <c r="WRL8" s="2"/>
      <c r="WRM8" s="2"/>
      <c r="WRN8" s="2"/>
      <c r="WRO8" s="2"/>
      <c r="WRP8" s="2"/>
      <c r="WRQ8" s="2"/>
      <c r="WRR8" s="2"/>
      <c r="WRS8" s="2"/>
      <c r="WRT8" s="2"/>
      <c r="WRU8" s="2"/>
      <c r="WRV8" s="2"/>
      <c r="WRW8" s="2"/>
      <c r="WRX8" s="2"/>
      <c r="WRY8" s="2"/>
      <c r="WRZ8" s="2"/>
      <c r="WSA8" s="2"/>
      <c r="WSB8" s="2"/>
      <c r="WSC8" s="2"/>
      <c r="WSD8" s="2"/>
      <c r="WSE8" s="2"/>
      <c r="WSF8" s="2"/>
      <c r="WSG8" s="2"/>
      <c r="WSH8" s="2"/>
      <c r="WSI8" s="2"/>
      <c r="WSJ8" s="2"/>
      <c r="WSK8" s="2"/>
      <c r="WSL8" s="2"/>
      <c r="WSM8" s="2"/>
      <c r="WSN8" s="2"/>
      <c r="WSO8" s="2"/>
      <c r="WSP8" s="2"/>
      <c r="WSQ8" s="2"/>
      <c r="WSR8" s="2"/>
      <c r="WSS8" s="2"/>
      <c r="WST8" s="2"/>
      <c r="WSU8" s="2"/>
      <c r="WSV8" s="2"/>
      <c r="WSW8" s="2"/>
      <c r="WSX8" s="2"/>
      <c r="WSY8" s="2"/>
      <c r="WSZ8" s="2"/>
      <c r="WTA8" s="2"/>
      <c r="WTB8" s="2"/>
      <c r="WTC8" s="2"/>
      <c r="WTD8" s="2"/>
      <c r="WTE8" s="2"/>
      <c r="WTF8" s="2"/>
      <c r="WTG8" s="2"/>
      <c r="WTH8" s="2"/>
      <c r="WTI8" s="2"/>
      <c r="WTJ8" s="2"/>
      <c r="WTK8" s="2"/>
      <c r="WTL8" s="2"/>
      <c r="WTM8" s="2"/>
      <c r="WTN8" s="2"/>
      <c r="WTO8" s="2"/>
      <c r="WTP8" s="2"/>
      <c r="WTQ8" s="2"/>
      <c r="WTR8" s="2"/>
      <c r="WTS8" s="2"/>
      <c r="WTT8" s="2"/>
      <c r="WTU8" s="2"/>
      <c r="WTV8" s="2"/>
      <c r="WTW8" s="2"/>
      <c r="WTX8" s="2"/>
      <c r="WTY8" s="2"/>
      <c r="WTZ8" s="2"/>
      <c r="WUA8" s="2"/>
      <c r="WUB8" s="2"/>
      <c r="WUC8" s="2"/>
      <c r="WUD8" s="2"/>
      <c r="WUE8" s="2"/>
      <c r="WUF8" s="2"/>
      <c r="WUG8" s="2"/>
      <c r="WUH8" s="2"/>
      <c r="WUI8" s="2"/>
      <c r="WUJ8" s="2"/>
      <c r="WUK8" s="2"/>
      <c r="WUL8" s="2"/>
      <c r="WUM8" s="2"/>
      <c r="WUN8" s="2"/>
      <c r="WUO8" s="2"/>
      <c r="WUP8" s="2"/>
      <c r="WUQ8" s="2"/>
      <c r="WUR8" s="2"/>
      <c r="WUS8" s="2"/>
      <c r="WUT8" s="2"/>
      <c r="WUU8" s="2"/>
      <c r="WUV8" s="2"/>
      <c r="WUW8" s="2"/>
      <c r="WUX8" s="2"/>
      <c r="WUY8" s="2"/>
      <c r="WUZ8" s="2"/>
      <c r="WVA8" s="2"/>
      <c r="WVB8" s="2"/>
      <c r="WVC8" s="2"/>
      <c r="WVD8" s="2"/>
      <c r="WVE8" s="2"/>
      <c r="WVF8" s="2"/>
      <c r="WVG8" s="2"/>
      <c r="WVH8" s="2"/>
      <c r="WVI8" s="2"/>
      <c r="WVJ8" s="2"/>
      <c r="WVK8" s="2"/>
      <c r="WVL8" s="2"/>
      <c r="WVM8" s="2"/>
      <c r="WVN8" s="2"/>
      <c r="WVO8" s="2"/>
      <c r="WVP8" s="2"/>
      <c r="WVQ8" s="2"/>
      <c r="WVR8" s="2"/>
      <c r="WVS8" s="2"/>
      <c r="WVT8" s="2"/>
      <c r="WVU8" s="2"/>
      <c r="WVV8" s="2"/>
      <c r="WVW8" s="2"/>
      <c r="WVX8" s="2"/>
      <c r="WVY8" s="2"/>
      <c r="WVZ8" s="2"/>
      <c r="WWA8" s="2"/>
      <c r="WWB8" s="2"/>
      <c r="WWC8" s="2"/>
      <c r="WWD8" s="2"/>
      <c r="WWE8" s="2"/>
      <c r="WWF8" s="2"/>
      <c r="WWG8" s="2"/>
      <c r="WWH8" s="2"/>
      <c r="WWI8" s="2"/>
      <c r="WWJ8" s="2"/>
      <c r="WWK8" s="2"/>
      <c r="WWL8" s="2"/>
      <c r="WWM8" s="2"/>
      <c r="WWN8" s="2"/>
      <c r="WWO8" s="2"/>
      <c r="WWP8" s="2"/>
      <c r="WWQ8" s="2"/>
      <c r="WWR8" s="2"/>
      <c r="WWS8" s="2"/>
      <c r="WWT8" s="2"/>
      <c r="WWU8" s="2"/>
      <c r="WWV8" s="2"/>
      <c r="WWW8" s="2"/>
      <c r="WWX8" s="2"/>
      <c r="WWY8" s="2"/>
      <c r="WWZ8" s="2"/>
      <c r="WXA8" s="2"/>
      <c r="WXB8" s="2"/>
      <c r="WXC8" s="2"/>
      <c r="WXD8" s="2"/>
      <c r="WXE8" s="2"/>
      <c r="WXF8" s="2"/>
      <c r="WXG8" s="2"/>
      <c r="WXH8" s="2"/>
      <c r="WXI8" s="2"/>
      <c r="WXJ8" s="2"/>
      <c r="WXK8" s="2"/>
      <c r="WXL8" s="2"/>
      <c r="WXM8" s="2"/>
      <c r="WXN8" s="2"/>
      <c r="WXO8" s="2"/>
      <c r="WXP8" s="2"/>
      <c r="WXQ8" s="2"/>
      <c r="WXR8" s="2"/>
      <c r="WXS8" s="2"/>
      <c r="WXT8" s="2"/>
      <c r="WXU8" s="2"/>
      <c r="WXV8" s="2"/>
      <c r="WXW8" s="2"/>
      <c r="WXX8" s="2"/>
      <c r="WXY8" s="2"/>
      <c r="WXZ8" s="2"/>
      <c r="WYA8" s="2"/>
      <c r="WYB8" s="2"/>
      <c r="WYC8" s="2"/>
      <c r="WYD8" s="2"/>
      <c r="WYE8" s="2"/>
      <c r="WYF8" s="2"/>
      <c r="WYG8" s="2"/>
      <c r="WYH8" s="2"/>
      <c r="WYI8" s="2"/>
      <c r="WYJ8" s="2"/>
      <c r="WYK8" s="2"/>
      <c r="WYL8" s="2"/>
      <c r="WYM8" s="2"/>
      <c r="WYN8" s="2"/>
      <c r="WYO8" s="2"/>
      <c r="WYP8" s="2"/>
      <c r="WYQ8" s="2"/>
      <c r="WYR8" s="2"/>
      <c r="WYS8" s="2"/>
      <c r="WYT8" s="2"/>
      <c r="WYU8" s="2"/>
      <c r="WYV8" s="2"/>
      <c r="WYW8" s="2"/>
      <c r="WYX8" s="2"/>
      <c r="WYY8" s="2"/>
      <c r="WYZ8" s="2"/>
      <c r="WZA8" s="2"/>
      <c r="WZB8" s="2"/>
      <c r="WZC8" s="2"/>
      <c r="WZD8" s="2"/>
      <c r="WZE8" s="2"/>
      <c r="WZF8" s="2"/>
      <c r="WZG8" s="2"/>
      <c r="WZH8" s="2"/>
      <c r="WZI8" s="2"/>
      <c r="WZJ8" s="2"/>
      <c r="WZK8" s="2"/>
      <c r="WZL8" s="2"/>
      <c r="WZM8" s="2"/>
      <c r="WZN8" s="2"/>
      <c r="WZO8" s="2"/>
      <c r="WZP8" s="2"/>
      <c r="WZQ8" s="2"/>
      <c r="WZR8" s="2"/>
      <c r="WZS8" s="2"/>
      <c r="WZT8" s="2"/>
      <c r="WZU8" s="2"/>
      <c r="WZV8" s="2"/>
      <c r="WZW8" s="2"/>
      <c r="WZX8" s="2"/>
      <c r="WZY8" s="2"/>
      <c r="WZZ8" s="2"/>
      <c r="XAA8" s="2"/>
      <c r="XAB8" s="2"/>
      <c r="XAC8" s="2"/>
      <c r="XAD8" s="2"/>
      <c r="XAE8" s="2"/>
      <c r="XAF8" s="2"/>
      <c r="XAG8" s="2"/>
      <c r="XAH8" s="2"/>
      <c r="XAI8" s="2"/>
      <c r="XAJ8" s="2"/>
      <c r="XAK8" s="2"/>
      <c r="XAL8" s="2"/>
      <c r="XAM8" s="2"/>
      <c r="XAN8" s="2"/>
      <c r="XAO8" s="2"/>
      <c r="XAP8" s="2"/>
      <c r="XAQ8" s="2"/>
      <c r="XAR8" s="2"/>
      <c r="XAS8" s="2"/>
      <c r="XAT8" s="2"/>
      <c r="XAU8" s="2"/>
      <c r="XAV8" s="2"/>
      <c r="XAW8" s="2"/>
      <c r="XAX8" s="2"/>
      <c r="XAY8" s="2"/>
      <c r="XAZ8" s="2"/>
      <c r="XBA8" s="2"/>
      <c r="XBB8" s="2"/>
      <c r="XBC8" s="2"/>
      <c r="XBD8" s="2"/>
      <c r="XBE8" s="2"/>
      <c r="XBF8" s="2"/>
      <c r="XBG8" s="2"/>
      <c r="XBH8" s="2"/>
      <c r="XBI8" s="2"/>
      <c r="XBJ8" s="2"/>
      <c r="XBK8" s="2"/>
      <c r="XBL8" s="2"/>
      <c r="XBM8" s="2"/>
      <c r="XBN8" s="2"/>
      <c r="XBO8" s="2"/>
      <c r="XBP8" s="2"/>
      <c r="XBQ8" s="2"/>
      <c r="XBR8" s="2"/>
      <c r="XBS8" s="2"/>
      <c r="XBT8" s="2"/>
      <c r="XBU8" s="2"/>
      <c r="XBV8" s="2"/>
      <c r="XBW8" s="2"/>
      <c r="XBX8" s="2"/>
      <c r="XBY8" s="2"/>
      <c r="XBZ8" s="2"/>
      <c r="XCA8" s="2"/>
      <c r="XCB8" s="2"/>
      <c r="XCC8" s="2"/>
      <c r="XCD8" s="2"/>
      <c r="XCE8" s="2"/>
      <c r="XCF8" s="2"/>
      <c r="XCG8" s="2"/>
      <c r="XCH8" s="2"/>
      <c r="XCI8" s="2"/>
      <c r="XCJ8" s="2"/>
      <c r="XCK8" s="2"/>
      <c r="XCL8" s="2"/>
      <c r="XCM8" s="2"/>
      <c r="XCN8" s="2"/>
      <c r="XCO8" s="2"/>
      <c r="XCP8" s="2"/>
      <c r="XCQ8" s="2"/>
      <c r="XCR8" s="2"/>
      <c r="XCS8" s="2"/>
      <c r="XCT8" s="2"/>
      <c r="XCU8" s="2"/>
      <c r="XCV8" s="2"/>
      <c r="XCW8" s="2"/>
      <c r="XCX8" s="2"/>
      <c r="XCY8" s="2"/>
      <c r="XCZ8" s="2"/>
      <c r="XDA8" s="2"/>
      <c r="XDB8" s="2"/>
      <c r="XDC8" s="2"/>
      <c r="XDD8" s="2"/>
      <c r="XDE8" s="2"/>
      <c r="XDF8" s="2"/>
      <c r="XDG8" s="2"/>
      <c r="XDH8" s="2"/>
      <c r="XDI8" s="2"/>
      <c r="XDJ8" s="2"/>
      <c r="XDK8" s="2"/>
      <c r="XDL8" s="2"/>
      <c r="XDM8" s="2"/>
      <c r="XDN8" s="2"/>
      <c r="XDO8" s="2"/>
      <c r="XDP8" s="2"/>
      <c r="XDQ8" s="2"/>
      <c r="XDR8" s="2"/>
      <c r="XDS8" s="2"/>
      <c r="XDT8" s="2"/>
      <c r="XDU8" s="2"/>
      <c r="XDV8" s="2"/>
      <c r="XDW8" s="2"/>
      <c r="XDX8" s="2"/>
      <c r="XDY8" s="2"/>
      <c r="XDZ8" s="2"/>
      <c r="XEA8" s="2"/>
      <c r="XEB8" s="2"/>
      <c r="XEC8" s="2"/>
    </row>
    <row r="9" spans="1:16384" customFormat="1" ht="15.95" customHeight="1" x14ac:dyDescent="0.25">
      <c r="A9" s="19" t="s">
        <v>158</v>
      </c>
      <c r="B9" s="19" t="s">
        <v>159</v>
      </c>
      <c r="C9" s="33">
        <v>1</v>
      </c>
      <c r="D9" s="33">
        <v>1</v>
      </c>
      <c r="E9" s="33">
        <v>1</v>
      </c>
      <c r="F9" s="33">
        <v>4</v>
      </c>
      <c r="G9" s="33">
        <v>1</v>
      </c>
      <c r="H9" s="33" cm="1">
        <f t="array" ref="H9">G9*_xlfn.IFS(Настройки!$B$2="M",'Печатные изд.'!C9,Настройки!$B$2="L",'Печатные изд.'!D9,Настройки!$B$2="XL",'Печатные изд.'!E9)</f>
        <v>1</v>
      </c>
      <c r="I9" s="41">
        <f t="shared" si="0"/>
        <v>4</v>
      </c>
      <c r="J9" s="33" t="s">
        <v>509</v>
      </c>
      <c r="K9" s="41" cm="1">
        <f t="array" ref="K9">_xlfn.IFS(J9="Высоконагруженная",Настройки!$B$6,J9="Средне-нагруженная",Настройки!$B$7,J9="Ненагруженная",Настройки!$B$8,J9="Гибкая",Настройки!$B$9)</f>
        <v>1.21</v>
      </c>
      <c r="L9" s="41" cm="1">
        <f t="array" ref="L9">_xlfn.IFS(J9="Высоконагруженная",Настройки!$C$6,J9="Средне-нагруженная",Настройки!$C$7,J9="Ненагруженная",Настройки!$C$8,J9="Гибкая",Настройки!$C$9)/1000</f>
        <v>5</v>
      </c>
      <c r="M9" s="51">
        <f t="shared" si="1"/>
        <v>4.84</v>
      </c>
      <c r="N9" s="51">
        <f t="shared" si="2"/>
        <v>0</v>
      </c>
      <c r="O9" s="51">
        <f t="shared" si="3"/>
        <v>0</v>
      </c>
      <c r="P9" s="51">
        <f t="shared" si="4"/>
        <v>0</v>
      </c>
      <c r="Q9" s="52">
        <f t="shared" si="5"/>
        <v>24.2</v>
      </c>
      <c r="R9" s="43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  <c r="CEP9" s="2"/>
      <c r="CEQ9" s="2"/>
      <c r="CER9" s="2"/>
      <c r="CES9" s="2"/>
      <c r="CET9" s="2"/>
      <c r="CEU9" s="2"/>
      <c r="CEV9" s="2"/>
      <c r="CEW9" s="2"/>
      <c r="CEX9" s="2"/>
      <c r="CEY9" s="2"/>
      <c r="CEZ9" s="2"/>
      <c r="CFA9" s="2"/>
      <c r="CFB9" s="2"/>
      <c r="CFC9" s="2"/>
      <c r="CFD9" s="2"/>
      <c r="CFE9" s="2"/>
      <c r="CFF9" s="2"/>
      <c r="CFG9" s="2"/>
      <c r="CFH9" s="2"/>
      <c r="CFI9" s="2"/>
      <c r="CFJ9" s="2"/>
      <c r="CFK9" s="2"/>
      <c r="CFL9" s="2"/>
      <c r="CFM9" s="2"/>
      <c r="CFN9" s="2"/>
      <c r="CFO9" s="2"/>
      <c r="CFP9" s="2"/>
      <c r="CFQ9" s="2"/>
      <c r="CFR9" s="2"/>
      <c r="CFS9" s="2"/>
      <c r="CFT9" s="2"/>
      <c r="CFU9" s="2"/>
      <c r="CFV9" s="2"/>
      <c r="CFW9" s="2"/>
      <c r="CFX9" s="2"/>
      <c r="CFY9" s="2"/>
      <c r="CFZ9" s="2"/>
      <c r="CGA9" s="2"/>
      <c r="CGB9" s="2"/>
      <c r="CGC9" s="2"/>
      <c r="CGD9" s="2"/>
      <c r="CGE9" s="2"/>
      <c r="CGF9" s="2"/>
      <c r="CGG9" s="2"/>
      <c r="CGH9" s="2"/>
      <c r="CGI9" s="2"/>
      <c r="CGJ9" s="2"/>
      <c r="CGK9" s="2"/>
      <c r="CGL9" s="2"/>
      <c r="CGM9" s="2"/>
      <c r="CGN9" s="2"/>
      <c r="CGO9" s="2"/>
      <c r="CGP9" s="2"/>
      <c r="CGQ9" s="2"/>
      <c r="CGR9" s="2"/>
      <c r="CGS9" s="2"/>
      <c r="CGT9" s="2"/>
      <c r="CGU9" s="2"/>
      <c r="CGV9" s="2"/>
      <c r="CGW9" s="2"/>
      <c r="CGX9" s="2"/>
      <c r="CGY9" s="2"/>
      <c r="CGZ9" s="2"/>
      <c r="CHA9" s="2"/>
      <c r="CHB9" s="2"/>
      <c r="CHC9" s="2"/>
      <c r="CHD9" s="2"/>
      <c r="CHE9" s="2"/>
      <c r="CHF9" s="2"/>
      <c r="CHG9" s="2"/>
      <c r="CHH9" s="2"/>
      <c r="CHI9" s="2"/>
      <c r="CHJ9" s="2"/>
      <c r="CHK9" s="2"/>
      <c r="CHL9" s="2"/>
      <c r="CHM9" s="2"/>
      <c r="CHN9" s="2"/>
      <c r="CHO9" s="2"/>
      <c r="CHP9" s="2"/>
      <c r="CHQ9" s="2"/>
      <c r="CHR9" s="2"/>
      <c r="CHS9" s="2"/>
      <c r="CHT9" s="2"/>
      <c r="CHU9" s="2"/>
      <c r="CHV9" s="2"/>
      <c r="CHW9" s="2"/>
      <c r="CHX9" s="2"/>
      <c r="CHY9" s="2"/>
      <c r="CHZ9" s="2"/>
      <c r="CIA9" s="2"/>
      <c r="CIB9" s="2"/>
      <c r="CIC9" s="2"/>
      <c r="CID9" s="2"/>
      <c r="CIE9" s="2"/>
      <c r="CIF9" s="2"/>
      <c r="CIG9" s="2"/>
      <c r="CIH9" s="2"/>
      <c r="CII9" s="2"/>
      <c r="CIJ9" s="2"/>
      <c r="CIK9" s="2"/>
      <c r="CIL9" s="2"/>
      <c r="CIM9" s="2"/>
      <c r="CIN9" s="2"/>
      <c r="CIO9" s="2"/>
      <c r="CIP9" s="2"/>
      <c r="CIQ9" s="2"/>
      <c r="CIR9" s="2"/>
      <c r="CIS9" s="2"/>
      <c r="CIT9" s="2"/>
      <c r="CIU9" s="2"/>
      <c r="CIV9" s="2"/>
      <c r="CIW9" s="2"/>
      <c r="CIX9" s="2"/>
      <c r="CIY9" s="2"/>
      <c r="CIZ9" s="2"/>
      <c r="CJA9" s="2"/>
      <c r="CJB9" s="2"/>
      <c r="CJC9" s="2"/>
      <c r="CJD9" s="2"/>
      <c r="CJE9" s="2"/>
      <c r="CJF9" s="2"/>
      <c r="CJG9" s="2"/>
      <c r="CJH9" s="2"/>
      <c r="CJI9" s="2"/>
      <c r="CJJ9" s="2"/>
      <c r="CJK9" s="2"/>
      <c r="CJL9" s="2"/>
      <c r="CJM9" s="2"/>
      <c r="CJN9" s="2"/>
      <c r="CJO9" s="2"/>
      <c r="CJP9" s="2"/>
      <c r="CJQ9" s="2"/>
      <c r="CJR9" s="2"/>
      <c r="CJS9" s="2"/>
      <c r="CJT9" s="2"/>
      <c r="CJU9" s="2"/>
      <c r="CJV9" s="2"/>
      <c r="CJW9" s="2"/>
      <c r="CJX9" s="2"/>
      <c r="CJY9" s="2"/>
      <c r="CJZ9" s="2"/>
      <c r="CKA9" s="2"/>
      <c r="CKB9" s="2"/>
      <c r="CKC9" s="2"/>
      <c r="CKD9" s="2"/>
      <c r="CKE9" s="2"/>
      <c r="CKF9" s="2"/>
      <c r="CKG9" s="2"/>
      <c r="CKH9" s="2"/>
      <c r="CKI9" s="2"/>
      <c r="CKJ9" s="2"/>
      <c r="CKK9" s="2"/>
      <c r="CKL9" s="2"/>
      <c r="CKM9" s="2"/>
      <c r="CKN9" s="2"/>
      <c r="CKO9" s="2"/>
      <c r="CKP9" s="2"/>
      <c r="CKQ9" s="2"/>
      <c r="CKR9" s="2"/>
      <c r="CKS9" s="2"/>
      <c r="CKT9" s="2"/>
      <c r="CKU9" s="2"/>
      <c r="CKV9" s="2"/>
      <c r="CKW9" s="2"/>
      <c r="CKX9" s="2"/>
      <c r="CKY9" s="2"/>
      <c r="CKZ9" s="2"/>
      <c r="CLA9" s="2"/>
      <c r="CLB9" s="2"/>
      <c r="CLC9" s="2"/>
      <c r="CLD9" s="2"/>
      <c r="CLE9" s="2"/>
      <c r="CLF9" s="2"/>
      <c r="CLG9" s="2"/>
      <c r="CLH9" s="2"/>
      <c r="CLI9" s="2"/>
      <c r="CLJ9" s="2"/>
      <c r="CLK9" s="2"/>
      <c r="CLL9" s="2"/>
      <c r="CLM9" s="2"/>
      <c r="CLN9" s="2"/>
      <c r="CLO9" s="2"/>
      <c r="CLP9" s="2"/>
      <c r="CLQ9" s="2"/>
      <c r="CLR9" s="2"/>
      <c r="CLS9" s="2"/>
      <c r="CLT9" s="2"/>
      <c r="CLU9" s="2"/>
      <c r="CLV9" s="2"/>
      <c r="CLW9" s="2"/>
      <c r="CLX9" s="2"/>
      <c r="CLY9" s="2"/>
      <c r="CLZ9" s="2"/>
      <c r="CMA9" s="2"/>
      <c r="CMB9" s="2"/>
      <c r="CMC9" s="2"/>
      <c r="CMD9" s="2"/>
      <c r="CME9" s="2"/>
      <c r="CMF9" s="2"/>
      <c r="CMG9" s="2"/>
      <c r="CMH9" s="2"/>
      <c r="CMI9" s="2"/>
      <c r="CMJ9" s="2"/>
      <c r="CMK9" s="2"/>
      <c r="CML9" s="2"/>
      <c r="CMM9" s="2"/>
      <c r="CMN9" s="2"/>
      <c r="CMO9" s="2"/>
      <c r="CMP9" s="2"/>
      <c r="CMQ9" s="2"/>
      <c r="CMR9" s="2"/>
      <c r="CMS9" s="2"/>
      <c r="CMT9" s="2"/>
      <c r="CMU9" s="2"/>
      <c r="CMV9" s="2"/>
      <c r="CMW9" s="2"/>
      <c r="CMX9" s="2"/>
      <c r="CMY9" s="2"/>
      <c r="CMZ9" s="2"/>
      <c r="CNA9" s="2"/>
      <c r="CNB9" s="2"/>
      <c r="CNC9" s="2"/>
      <c r="CND9" s="2"/>
      <c r="CNE9" s="2"/>
      <c r="CNF9" s="2"/>
      <c r="CNG9" s="2"/>
      <c r="CNH9" s="2"/>
      <c r="CNI9" s="2"/>
      <c r="CNJ9" s="2"/>
      <c r="CNK9" s="2"/>
      <c r="CNL9" s="2"/>
      <c r="CNM9" s="2"/>
      <c r="CNN9" s="2"/>
      <c r="CNO9" s="2"/>
      <c r="CNP9" s="2"/>
      <c r="CNQ9" s="2"/>
      <c r="CNR9" s="2"/>
      <c r="CNS9" s="2"/>
      <c r="CNT9" s="2"/>
      <c r="CNU9" s="2"/>
      <c r="CNV9" s="2"/>
      <c r="CNW9" s="2"/>
      <c r="CNX9" s="2"/>
      <c r="CNY9" s="2"/>
      <c r="CNZ9" s="2"/>
      <c r="COA9" s="2"/>
      <c r="COB9" s="2"/>
      <c r="COC9" s="2"/>
      <c r="COD9" s="2"/>
      <c r="COE9" s="2"/>
      <c r="COF9" s="2"/>
      <c r="COG9" s="2"/>
      <c r="COH9" s="2"/>
      <c r="COI9" s="2"/>
      <c r="COJ9" s="2"/>
      <c r="COK9" s="2"/>
      <c r="COL9" s="2"/>
      <c r="COM9" s="2"/>
      <c r="CON9" s="2"/>
      <c r="COO9" s="2"/>
      <c r="COP9" s="2"/>
      <c r="COQ9" s="2"/>
      <c r="COR9" s="2"/>
      <c r="COS9" s="2"/>
      <c r="COT9" s="2"/>
      <c r="COU9" s="2"/>
      <c r="COV9" s="2"/>
      <c r="COW9" s="2"/>
      <c r="COX9" s="2"/>
      <c r="COY9" s="2"/>
      <c r="COZ9" s="2"/>
      <c r="CPA9" s="2"/>
      <c r="CPB9" s="2"/>
      <c r="CPC9" s="2"/>
      <c r="CPD9" s="2"/>
      <c r="CPE9" s="2"/>
      <c r="CPF9" s="2"/>
      <c r="CPG9" s="2"/>
      <c r="CPH9" s="2"/>
      <c r="CPI9" s="2"/>
      <c r="CPJ9" s="2"/>
      <c r="CPK9" s="2"/>
      <c r="CPL9" s="2"/>
      <c r="CPM9" s="2"/>
      <c r="CPN9" s="2"/>
      <c r="CPO9" s="2"/>
      <c r="CPP9" s="2"/>
      <c r="CPQ9" s="2"/>
      <c r="CPR9" s="2"/>
      <c r="CPS9" s="2"/>
      <c r="CPT9" s="2"/>
      <c r="CPU9" s="2"/>
      <c r="CPV9" s="2"/>
      <c r="CPW9" s="2"/>
      <c r="CPX9" s="2"/>
      <c r="CPY9" s="2"/>
      <c r="CPZ9" s="2"/>
      <c r="CQA9" s="2"/>
      <c r="CQB9" s="2"/>
      <c r="CQC9" s="2"/>
      <c r="CQD9" s="2"/>
      <c r="CQE9" s="2"/>
      <c r="CQF9" s="2"/>
      <c r="CQG9" s="2"/>
      <c r="CQH9" s="2"/>
      <c r="CQI9" s="2"/>
      <c r="CQJ9" s="2"/>
      <c r="CQK9" s="2"/>
      <c r="CQL9" s="2"/>
      <c r="CQM9" s="2"/>
      <c r="CQN9" s="2"/>
      <c r="CQO9" s="2"/>
      <c r="CQP9" s="2"/>
      <c r="CQQ9" s="2"/>
      <c r="CQR9" s="2"/>
      <c r="CQS9" s="2"/>
      <c r="CQT9" s="2"/>
      <c r="CQU9" s="2"/>
      <c r="CQV9" s="2"/>
      <c r="CQW9" s="2"/>
      <c r="CQX9" s="2"/>
      <c r="CQY9" s="2"/>
      <c r="CQZ9" s="2"/>
      <c r="CRA9" s="2"/>
      <c r="CRB9" s="2"/>
      <c r="CRC9" s="2"/>
      <c r="CRD9" s="2"/>
      <c r="CRE9" s="2"/>
      <c r="CRF9" s="2"/>
      <c r="CRG9" s="2"/>
      <c r="CRH9" s="2"/>
      <c r="CRI9" s="2"/>
      <c r="CRJ9" s="2"/>
      <c r="CRK9" s="2"/>
      <c r="CRL9" s="2"/>
      <c r="CRM9" s="2"/>
      <c r="CRN9" s="2"/>
      <c r="CRO9" s="2"/>
      <c r="CRP9" s="2"/>
      <c r="CRQ9" s="2"/>
      <c r="CRR9" s="2"/>
      <c r="CRS9" s="2"/>
      <c r="CRT9" s="2"/>
      <c r="CRU9" s="2"/>
      <c r="CRV9" s="2"/>
      <c r="CRW9" s="2"/>
      <c r="CRX9" s="2"/>
      <c r="CRY9" s="2"/>
      <c r="CRZ9" s="2"/>
      <c r="CSA9" s="2"/>
      <c r="CSB9" s="2"/>
      <c r="CSC9" s="2"/>
      <c r="CSD9" s="2"/>
      <c r="CSE9" s="2"/>
      <c r="CSF9" s="2"/>
      <c r="CSG9" s="2"/>
      <c r="CSH9" s="2"/>
      <c r="CSI9" s="2"/>
      <c r="CSJ9" s="2"/>
      <c r="CSK9" s="2"/>
      <c r="CSL9" s="2"/>
      <c r="CSM9" s="2"/>
      <c r="CSN9" s="2"/>
      <c r="CSO9" s="2"/>
      <c r="CSP9" s="2"/>
      <c r="CSQ9" s="2"/>
      <c r="CSR9" s="2"/>
      <c r="CSS9" s="2"/>
      <c r="CST9" s="2"/>
      <c r="CSU9" s="2"/>
      <c r="CSV9" s="2"/>
      <c r="CSW9" s="2"/>
      <c r="CSX9" s="2"/>
      <c r="CSY9" s="2"/>
      <c r="CSZ9" s="2"/>
      <c r="CTA9" s="2"/>
      <c r="CTB9" s="2"/>
      <c r="CTC9" s="2"/>
      <c r="CTD9" s="2"/>
      <c r="CTE9" s="2"/>
      <c r="CTF9" s="2"/>
      <c r="CTG9" s="2"/>
      <c r="CTH9" s="2"/>
      <c r="CTI9" s="2"/>
      <c r="CTJ9" s="2"/>
      <c r="CTK9" s="2"/>
      <c r="CTL9" s="2"/>
      <c r="CTM9" s="2"/>
      <c r="CTN9" s="2"/>
      <c r="CTO9" s="2"/>
      <c r="CTP9" s="2"/>
      <c r="CTQ9" s="2"/>
      <c r="CTR9" s="2"/>
      <c r="CTS9" s="2"/>
      <c r="CTT9" s="2"/>
      <c r="CTU9" s="2"/>
      <c r="CTV9" s="2"/>
      <c r="CTW9" s="2"/>
      <c r="CTX9" s="2"/>
      <c r="CTY9" s="2"/>
      <c r="CTZ9" s="2"/>
      <c r="CUA9" s="2"/>
      <c r="CUB9" s="2"/>
      <c r="CUC9" s="2"/>
      <c r="CUD9" s="2"/>
      <c r="CUE9" s="2"/>
      <c r="CUF9" s="2"/>
      <c r="CUG9" s="2"/>
      <c r="CUH9" s="2"/>
      <c r="CUI9" s="2"/>
      <c r="CUJ9" s="2"/>
      <c r="CUK9" s="2"/>
      <c r="CUL9" s="2"/>
      <c r="CUM9" s="2"/>
      <c r="CUN9" s="2"/>
      <c r="CUO9" s="2"/>
      <c r="CUP9" s="2"/>
      <c r="CUQ9" s="2"/>
      <c r="CUR9" s="2"/>
      <c r="CUS9" s="2"/>
      <c r="CUT9" s="2"/>
      <c r="CUU9" s="2"/>
      <c r="CUV9" s="2"/>
      <c r="CUW9" s="2"/>
      <c r="CUX9" s="2"/>
      <c r="CUY9" s="2"/>
      <c r="CUZ9" s="2"/>
      <c r="CVA9" s="2"/>
      <c r="CVB9" s="2"/>
      <c r="CVC9" s="2"/>
      <c r="CVD9" s="2"/>
      <c r="CVE9" s="2"/>
      <c r="CVF9" s="2"/>
      <c r="CVG9" s="2"/>
      <c r="CVH9" s="2"/>
      <c r="CVI9" s="2"/>
      <c r="CVJ9" s="2"/>
      <c r="CVK9" s="2"/>
      <c r="CVL9" s="2"/>
      <c r="CVM9" s="2"/>
      <c r="CVN9" s="2"/>
      <c r="CVO9" s="2"/>
      <c r="CVP9" s="2"/>
      <c r="CVQ9" s="2"/>
      <c r="CVR9" s="2"/>
      <c r="CVS9" s="2"/>
      <c r="CVT9" s="2"/>
      <c r="CVU9" s="2"/>
      <c r="CVV9" s="2"/>
      <c r="CVW9" s="2"/>
      <c r="CVX9" s="2"/>
      <c r="CVY9" s="2"/>
      <c r="CVZ9" s="2"/>
      <c r="CWA9" s="2"/>
      <c r="CWB9" s="2"/>
      <c r="CWC9" s="2"/>
      <c r="CWD9" s="2"/>
      <c r="CWE9" s="2"/>
      <c r="CWF9" s="2"/>
      <c r="CWG9" s="2"/>
      <c r="CWH9" s="2"/>
      <c r="CWI9" s="2"/>
      <c r="CWJ9" s="2"/>
      <c r="CWK9" s="2"/>
      <c r="CWL9" s="2"/>
      <c r="CWM9" s="2"/>
      <c r="CWN9" s="2"/>
      <c r="CWO9" s="2"/>
      <c r="CWP9" s="2"/>
      <c r="CWQ9" s="2"/>
      <c r="CWR9" s="2"/>
      <c r="CWS9" s="2"/>
      <c r="CWT9" s="2"/>
      <c r="CWU9" s="2"/>
      <c r="CWV9" s="2"/>
      <c r="CWW9" s="2"/>
      <c r="CWX9" s="2"/>
      <c r="CWY9" s="2"/>
      <c r="CWZ9" s="2"/>
      <c r="CXA9" s="2"/>
      <c r="CXB9" s="2"/>
      <c r="CXC9" s="2"/>
      <c r="CXD9" s="2"/>
      <c r="CXE9" s="2"/>
      <c r="CXF9" s="2"/>
      <c r="CXG9" s="2"/>
      <c r="CXH9" s="2"/>
      <c r="CXI9" s="2"/>
      <c r="CXJ9" s="2"/>
      <c r="CXK9" s="2"/>
      <c r="CXL9" s="2"/>
      <c r="CXM9" s="2"/>
      <c r="CXN9" s="2"/>
      <c r="CXO9" s="2"/>
      <c r="CXP9" s="2"/>
      <c r="CXQ9" s="2"/>
      <c r="CXR9" s="2"/>
      <c r="CXS9" s="2"/>
      <c r="CXT9" s="2"/>
      <c r="CXU9" s="2"/>
      <c r="CXV9" s="2"/>
      <c r="CXW9" s="2"/>
      <c r="CXX9" s="2"/>
      <c r="CXY9" s="2"/>
      <c r="CXZ9" s="2"/>
      <c r="CYA9" s="2"/>
      <c r="CYB9" s="2"/>
      <c r="CYC9" s="2"/>
      <c r="CYD9" s="2"/>
      <c r="CYE9" s="2"/>
      <c r="CYF9" s="2"/>
      <c r="CYG9" s="2"/>
      <c r="CYH9" s="2"/>
      <c r="CYI9" s="2"/>
      <c r="CYJ9" s="2"/>
      <c r="CYK9" s="2"/>
      <c r="CYL9" s="2"/>
      <c r="CYM9" s="2"/>
      <c r="CYN9" s="2"/>
      <c r="CYO9" s="2"/>
      <c r="CYP9" s="2"/>
      <c r="CYQ9" s="2"/>
      <c r="CYR9" s="2"/>
      <c r="CYS9" s="2"/>
      <c r="CYT9" s="2"/>
      <c r="CYU9" s="2"/>
      <c r="CYV9" s="2"/>
      <c r="CYW9" s="2"/>
      <c r="CYX9" s="2"/>
      <c r="CYY9" s="2"/>
      <c r="CYZ9" s="2"/>
      <c r="CZA9" s="2"/>
      <c r="CZB9" s="2"/>
      <c r="CZC9" s="2"/>
      <c r="CZD9" s="2"/>
      <c r="CZE9" s="2"/>
      <c r="CZF9" s="2"/>
      <c r="CZG9" s="2"/>
      <c r="CZH9" s="2"/>
      <c r="CZI9" s="2"/>
      <c r="CZJ9" s="2"/>
      <c r="CZK9" s="2"/>
      <c r="CZL9" s="2"/>
      <c r="CZM9" s="2"/>
      <c r="CZN9" s="2"/>
      <c r="CZO9" s="2"/>
      <c r="CZP9" s="2"/>
      <c r="CZQ9" s="2"/>
      <c r="CZR9" s="2"/>
      <c r="CZS9" s="2"/>
      <c r="CZT9" s="2"/>
      <c r="CZU9" s="2"/>
      <c r="CZV9" s="2"/>
      <c r="CZW9" s="2"/>
      <c r="CZX9" s="2"/>
      <c r="CZY9" s="2"/>
      <c r="CZZ9" s="2"/>
      <c r="DAA9" s="2"/>
      <c r="DAB9" s="2"/>
      <c r="DAC9" s="2"/>
      <c r="DAD9" s="2"/>
      <c r="DAE9" s="2"/>
      <c r="DAF9" s="2"/>
      <c r="DAG9" s="2"/>
      <c r="DAH9" s="2"/>
      <c r="DAI9" s="2"/>
      <c r="DAJ9" s="2"/>
      <c r="DAK9" s="2"/>
      <c r="DAL9" s="2"/>
      <c r="DAM9" s="2"/>
      <c r="DAN9" s="2"/>
      <c r="DAO9" s="2"/>
      <c r="DAP9" s="2"/>
      <c r="DAQ9" s="2"/>
      <c r="DAR9" s="2"/>
      <c r="DAS9" s="2"/>
      <c r="DAT9" s="2"/>
      <c r="DAU9" s="2"/>
      <c r="DAV9" s="2"/>
      <c r="DAW9" s="2"/>
      <c r="DAX9" s="2"/>
      <c r="DAY9" s="2"/>
      <c r="DAZ9" s="2"/>
      <c r="DBA9" s="2"/>
      <c r="DBB9" s="2"/>
      <c r="DBC9" s="2"/>
      <c r="DBD9" s="2"/>
      <c r="DBE9" s="2"/>
      <c r="DBF9" s="2"/>
      <c r="DBG9" s="2"/>
      <c r="DBH9" s="2"/>
      <c r="DBI9" s="2"/>
      <c r="DBJ9" s="2"/>
      <c r="DBK9" s="2"/>
      <c r="DBL9" s="2"/>
      <c r="DBM9" s="2"/>
      <c r="DBN9" s="2"/>
      <c r="DBO9" s="2"/>
      <c r="DBP9" s="2"/>
      <c r="DBQ9" s="2"/>
      <c r="DBR9" s="2"/>
      <c r="DBS9" s="2"/>
      <c r="DBT9" s="2"/>
      <c r="DBU9" s="2"/>
      <c r="DBV9" s="2"/>
      <c r="DBW9" s="2"/>
      <c r="DBX9" s="2"/>
      <c r="DBY9" s="2"/>
      <c r="DBZ9" s="2"/>
      <c r="DCA9" s="2"/>
      <c r="DCB9" s="2"/>
      <c r="DCC9" s="2"/>
      <c r="DCD9" s="2"/>
      <c r="DCE9" s="2"/>
      <c r="DCF9" s="2"/>
      <c r="DCG9" s="2"/>
      <c r="DCH9" s="2"/>
      <c r="DCI9" s="2"/>
      <c r="DCJ9" s="2"/>
      <c r="DCK9" s="2"/>
      <c r="DCL9" s="2"/>
      <c r="DCM9" s="2"/>
      <c r="DCN9" s="2"/>
      <c r="DCO9" s="2"/>
      <c r="DCP9" s="2"/>
      <c r="DCQ9" s="2"/>
      <c r="DCR9" s="2"/>
      <c r="DCS9" s="2"/>
      <c r="DCT9" s="2"/>
      <c r="DCU9" s="2"/>
      <c r="DCV9" s="2"/>
      <c r="DCW9" s="2"/>
      <c r="DCX9" s="2"/>
      <c r="DCY9" s="2"/>
      <c r="DCZ9" s="2"/>
      <c r="DDA9" s="2"/>
      <c r="DDB9" s="2"/>
      <c r="DDC9" s="2"/>
      <c r="DDD9" s="2"/>
      <c r="DDE9" s="2"/>
      <c r="DDF9" s="2"/>
      <c r="DDG9" s="2"/>
      <c r="DDH9" s="2"/>
      <c r="DDI9" s="2"/>
      <c r="DDJ9" s="2"/>
      <c r="DDK9" s="2"/>
      <c r="DDL9" s="2"/>
      <c r="DDM9" s="2"/>
      <c r="DDN9" s="2"/>
      <c r="DDO9" s="2"/>
      <c r="DDP9" s="2"/>
      <c r="DDQ9" s="2"/>
      <c r="DDR9" s="2"/>
      <c r="DDS9" s="2"/>
      <c r="DDT9" s="2"/>
      <c r="DDU9" s="2"/>
      <c r="DDV9" s="2"/>
      <c r="DDW9" s="2"/>
      <c r="DDX9" s="2"/>
      <c r="DDY9" s="2"/>
      <c r="DDZ9" s="2"/>
      <c r="DEA9" s="2"/>
      <c r="DEB9" s="2"/>
      <c r="DEC9" s="2"/>
      <c r="DED9" s="2"/>
      <c r="DEE9" s="2"/>
      <c r="DEF9" s="2"/>
      <c r="DEG9" s="2"/>
      <c r="DEH9" s="2"/>
      <c r="DEI9" s="2"/>
      <c r="DEJ9" s="2"/>
      <c r="DEK9" s="2"/>
      <c r="DEL9" s="2"/>
      <c r="DEM9" s="2"/>
      <c r="DEN9" s="2"/>
      <c r="DEO9" s="2"/>
      <c r="DEP9" s="2"/>
      <c r="DEQ9" s="2"/>
      <c r="DER9" s="2"/>
      <c r="DES9" s="2"/>
      <c r="DET9" s="2"/>
      <c r="DEU9" s="2"/>
      <c r="DEV9" s="2"/>
      <c r="DEW9" s="2"/>
      <c r="DEX9" s="2"/>
      <c r="DEY9" s="2"/>
      <c r="DEZ9" s="2"/>
      <c r="DFA9" s="2"/>
      <c r="DFB9" s="2"/>
      <c r="DFC9" s="2"/>
      <c r="DFD9" s="2"/>
      <c r="DFE9" s="2"/>
      <c r="DFF9" s="2"/>
      <c r="DFG9" s="2"/>
      <c r="DFH9" s="2"/>
      <c r="DFI9" s="2"/>
      <c r="DFJ9" s="2"/>
      <c r="DFK9" s="2"/>
      <c r="DFL9" s="2"/>
      <c r="DFM9" s="2"/>
      <c r="DFN9" s="2"/>
      <c r="DFO9" s="2"/>
      <c r="DFP9" s="2"/>
      <c r="DFQ9" s="2"/>
      <c r="DFR9" s="2"/>
      <c r="DFS9" s="2"/>
      <c r="DFT9" s="2"/>
      <c r="DFU9" s="2"/>
      <c r="DFV9" s="2"/>
      <c r="DFW9" s="2"/>
      <c r="DFX9" s="2"/>
      <c r="DFY9" s="2"/>
      <c r="DFZ9" s="2"/>
      <c r="DGA9" s="2"/>
      <c r="DGB9" s="2"/>
      <c r="DGC9" s="2"/>
      <c r="DGD9" s="2"/>
      <c r="DGE9" s="2"/>
      <c r="DGF9" s="2"/>
      <c r="DGG9" s="2"/>
      <c r="DGH9" s="2"/>
      <c r="DGI9" s="2"/>
      <c r="DGJ9" s="2"/>
      <c r="DGK9" s="2"/>
      <c r="DGL9" s="2"/>
      <c r="DGM9" s="2"/>
      <c r="DGN9" s="2"/>
      <c r="DGO9" s="2"/>
      <c r="DGP9" s="2"/>
      <c r="DGQ9" s="2"/>
      <c r="DGR9" s="2"/>
      <c r="DGS9" s="2"/>
      <c r="DGT9" s="2"/>
      <c r="DGU9" s="2"/>
      <c r="DGV9" s="2"/>
      <c r="DGW9" s="2"/>
      <c r="DGX9" s="2"/>
      <c r="DGY9" s="2"/>
      <c r="DGZ9" s="2"/>
      <c r="DHA9" s="2"/>
      <c r="DHB9" s="2"/>
      <c r="DHC9" s="2"/>
      <c r="DHD9" s="2"/>
      <c r="DHE9" s="2"/>
      <c r="DHF9" s="2"/>
      <c r="DHG9" s="2"/>
      <c r="DHH9" s="2"/>
      <c r="DHI9" s="2"/>
      <c r="DHJ9" s="2"/>
      <c r="DHK9" s="2"/>
      <c r="DHL9" s="2"/>
      <c r="DHM9" s="2"/>
      <c r="DHN9" s="2"/>
      <c r="DHO9" s="2"/>
      <c r="DHP9" s="2"/>
      <c r="DHQ9" s="2"/>
      <c r="DHR9" s="2"/>
      <c r="DHS9" s="2"/>
      <c r="DHT9" s="2"/>
      <c r="DHU9" s="2"/>
      <c r="DHV9" s="2"/>
      <c r="DHW9" s="2"/>
      <c r="DHX9" s="2"/>
      <c r="DHY9" s="2"/>
      <c r="DHZ9" s="2"/>
      <c r="DIA9" s="2"/>
      <c r="DIB9" s="2"/>
      <c r="DIC9" s="2"/>
      <c r="DID9" s="2"/>
      <c r="DIE9" s="2"/>
      <c r="DIF9" s="2"/>
      <c r="DIG9" s="2"/>
      <c r="DIH9" s="2"/>
      <c r="DII9" s="2"/>
      <c r="DIJ9" s="2"/>
      <c r="DIK9" s="2"/>
      <c r="DIL9" s="2"/>
      <c r="DIM9" s="2"/>
      <c r="DIN9" s="2"/>
      <c r="DIO9" s="2"/>
      <c r="DIP9" s="2"/>
      <c r="DIQ9" s="2"/>
      <c r="DIR9" s="2"/>
      <c r="DIS9" s="2"/>
      <c r="DIT9" s="2"/>
      <c r="DIU9" s="2"/>
      <c r="DIV9" s="2"/>
      <c r="DIW9" s="2"/>
      <c r="DIX9" s="2"/>
      <c r="DIY9" s="2"/>
      <c r="DIZ9" s="2"/>
      <c r="DJA9" s="2"/>
      <c r="DJB9" s="2"/>
      <c r="DJC9" s="2"/>
      <c r="DJD9" s="2"/>
      <c r="DJE9" s="2"/>
      <c r="DJF9" s="2"/>
      <c r="DJG9" s="2"/>
      <c r="DJH9" s="2"/>
      <c r="DJI9" s="2"/>
      <c r="DJJ9" s="2"/>
      <c r="DJK9" s="2"/>
      <c r="DJL9" s="2"/>
      <c r="DJM9" s="2"/>
      <c r="DJN9" s="2"/>
      <c r="DJO9" s="2"/>
      <c r="DJP9" s="2"/>
      <c r="DJQ9" s="2"/>
      <c r="DJR9" s="2"/>
      <c r="DJS9" s="2"/>
      <c r="DJT9" s="2"/>
      <c r="DJU9" s="2"/>
      <c r="DJV9" s="2"/>
      <c r="DJW9" s="2"/>
      <c r="DJX9" s="2"/>
      <c r="DJY9" s="2"/>
      <c r="DJZ9" s="2"/>
      <c r="DKA9" s="2"/>
      <c r="DKB9" s="2"/>
      <c r="DKC9" s="2"/>
      <c r="DKD9" s="2"/>
      <c r="DKE9" s="2"/>
      <c r="DKF9" s="2"/>
      <c r="DKG9" s="2"/>
      <c r="DKH9" s="2"/>
      <c r="DKI9" s="2"/>
      <c r="DKJ9" s="2"/>
      <c r="DKK9" s="2"/>
      <c r="DKL9" s="2"/>
      <c r="DKM9" s="2"/>
      <c r="DKN9" s="2"/>
      <c r="DKO9" s="2"/>
      <c r="DKP9" s="2"/>
      <c r="DKQ9" s="2"/>
      <c r="DKR9" s="2"/>
      <c r="DKS9" s="2"/>
      <c r="DKT9" s="2"/>
      <c r="DKU9" s="2"/>
      <c r="DKV9" s="2"/>
      <c r="DKW9" s="2"/>
      <c r="DKX9" s="2"/>
      <c r="DKY9" s="2"/>
      <c r="DKZ9" s="2"/>
      <c r="DLA9" s="2"/>
      <c r="DLB9" s="2"/>
      <c r="DLC9" s="2"/>
      <c r="DLD9" s="2"/>
      <c r="DLE9" s="2"/>
      <c r="DLF9" s="2"/>
      <c r="DLG9" s="2"/>
      <c r="DLH9" s="2"/>
      <c r="DLI9" s="2"/>
      <c r="DLJ9" s="2"/>
      <c r="DLK9" s="2"/>
      <c r="DLL9" s="2"/>
      <c r="DLM9" s="2"/>
      <c r="DLN9" s="2"/>
      <c r="DLO9" s="2"/>
      <c r="DLP9" s="2"/>
      <c r="DLQ9" s="2"/>
      <c r="DLR9" s="2"/>
      <c r="DLS9" s="2"/>
      <c r="DLT9" s="2"/>
      <c r="DLU9" s="2"/>
      <c r="DLV9" s="2"/>
      <c r="DLW9" s="2"/>
      <c r="DLX9" s="2"/>
      <c r="DLY9" s="2"/>
      <c r="DLZ9" s="2"/>
      <c r="DMA9" s="2"/>
      <c r="DMB9" s="2"/>
      <c r="DMC9" s="2"/>
      <c r="DMD9" s="2"/>
      <c r="DME9" s="2"/>
      <c r="DMF9" s="2"/>
      <c r="DMG9" s="2"/>
      <c r="DMH9" s="2"/>
      <c r="DMI9" s="2"/>
      <c r="DMJ9" s="2"/>
      <c r="DMK9" s="2"/>
      <c r="DML9" s="2"/>
      <c r="DMM9" s="2"/>
      <c r="DMN9" s="2"/>
      <c r="DMO9" s="2"/>
      <c r="DMP9" s="2"/>
      <c r="DMQ9" s="2"/>
      <c r="DMR9" s="2"/>
      <c r="DMS9" s="2"/>
      <c r="DMT9" s="2"/>
      <c r="DMU9" s="2"/>
      <c r="DMV9" s="2"/>
      <c r="DMW9" s="2"/>
      <c r="DMX9" s="2"/>
      <c r="DMY9" s="2"/>
      <c r="DMZ9" s="2"/>
      <c r="DNA9" s="2"/>
      <c r="DNB9" s="2"/>
      <c r="DNC9" s="2"/>
      <c r="DND9" s="2"/>
      <c r="DNE9" s="2"/>
      <c r="DNF9" s="2"/>
      <c r="DNG9" s="2"/>
      <c r="DNH9" s="2"/>
      <c r="DNI9" s="2"/>
      <c r="DNJ9" s="2"/>
      <c r="DNK9" s="2"/>
      <c r="DNL9" s="2"/>
      <c r="DNM9" s="2"/>
      <c r="DNN9" s="2"/>
      <c r="DNO9" s="2"/>
      <c r="DNP9" s="2"/>
      <c r="DNQ9" s="2"/>
      <c r="DNR9" s="2"/>
      <c r="DNS9" s="2"/>
      <c r="DNT9" s="2"/>
      <c r="DNU9" s="2"/>
      <c r="DNV9" s="2"/>
      <c r="DNW9" s="2"/>
      <c r="DNX9" s="2"/>
      <c r="DNY9" s="2"/>
      <c r="DNZ9" s="2"/>
      <c r="DOA9" s="2"/>
      <c r="DOB9" s="2"/>
      <c r="DOC9" s="2"/>
      <c r="DOD9" s="2"/>
      <c r="DOE9" s="2"/>
      <c r="DOF9" s="2"/>
      <c r="DOG9" s="2"/>
      <c r="DOH9" s="2"/>
      <c r="DOI9" s="2"/>
      <c r="DOJ9" s="2"/>
      <c r="DOK9" s="2"/>
      <c r="DOL9" s="2"/>
      <c r="DOM9" s="2"/>
      <c r="DON9" s="2"/>
      <c r="DOO9" s="2"/>
      <c r="DOP9" s="2"/>
      <c r="DOQ9" s="2"/>
      <c r="DOR9" s="2"/>
      <c r="DOS9" s="2"/>
      <c r="DOT9" s="2"/>
      <c r="DOU9" s="2"/>
      <c r="DOV9" s="2"/>
      <c r="DOW9" s="2"/>
      <c r="DOX9" s="2"/>
      <c r="DOY9" s="2"/>
      <c r="DOZ9" s="2"/>
      <c r="DPA9" s="2"/>
      <c r="DPB9" s="2"/>
      <c r="DPC9" s="2"/>
      <c r="DPD9" s="2"/>
      <c r="DPE9" s="2"/>
      <c r="DPF9" s="2"/>
      <c r="DPG9" s="2"/>
      <c r="DPH9" s="2"/>
      <c r="DPI9" s="2"/>
      <c r="DPJ9" s="2"/>
      <c r="DPK9" s="2"/>
      <c r="DPL9" s="2"/>
      <c r="DPM9" s="2"/>
      <c r="DPN9" s="2"/>
      <c r="DPO9" s="2"/>
      <c r="DPP9" s="2"/>
      <c r="DPQ9" s="2"/>
      <c r="DPR9" s="2"/>
      <c r="DPS9" s="2"/>
      <c r="DPT9" s="2"/>
      <c r="DPU9" s="2"/>
      <c r="DPV9" s="2"/>
      <c r="DPW9" s="2"/>
      <c r="DPX9" s="2"/>
      <c r="DPY9" s="2"/>
      <c r="DPZ9" s="2"/>
      <c r="DQA9" s="2"/>
      <c r="DQB9" s="2"/>
      <c r="DQC9" s="2"/>
      <c r="DQD9" s="2"/>
      <c r="DQE9" s="2"/>
      <c r="DQF9" s="2"/>
      <c r="DQG9" s="2"/>
      <c r="DQH9" s="2"/>
      <c r="DQI9" s="2"/>
      <c r="DQJ9" s="2"/>
      <c r="DQK9" s="2"/>
      <c r="DQL9" s="2"/>
      <c r="DQM9" s="2"/>
      <c r="DQN9" s="2"/>
      <c r="DQO9" s="2"/>
      <c r="DQP9" s="2"/>
      <c r="DQQ9" s="2"/>
      <c r="DQR9" s="2"/>
      <c r="DQS9" s="2"/>
      <c r="DQT9" s="2"/>
      <c r="DQU9" s="2"/>
      <c r="DQV9" s="2"/>
      <c r="DQW9" s="2"/>
      <c r="DQX9" s="2"/>
      <c r="DQY9" s="2"/>
      <c r="DQZ9" s="2"/>
      <c r="DRA9" s="2"/>
      <c r="DRB9" s="2"/>
      <c r="DRC9" s="2"/>
      <c r="DRD9" s="2"/>
      <c r="DRE9" s="2"/>
      <c r="DRF9" s="2"/>
      <c r="DRG9" s="2"/>
      <c r="DRH9" s="2"/>
      <c r="DRI9" s="2"/>
      <c r="DRJ9" s="2"/>
      <c r="DRK9" s="2"/>
      <c r="DRL9" s="2"/>
      <c r="DRM9" s="2"/>
      <c r="DRN9" s="2"/>
      <c r="DRO9" s="2"/>
      <c r="DRP9" s="2"/>
      <c r="DRQ9" s="2"/>
      <c r="DRR9" s="2"/>
      <c r="DRS9" s="2"/>
      <c r="DRT9" s="2"/>
      <c r="DRU9" s="2"/>
      <c r="DRV9" s="2"/>
      <c r="DRW9" s="2"/>
      <c r="DRX9" s="2"/>
      <c r="DRY9" s="2"/>
      <c r="DRZ9" s="2"/>
      <c r="DSA9" s="2"/>
      <c r="DSB9" s="2"/>
      <c r="DSC9" s="2"/>
      <c r="DSD9" s="2"/>
      <c r="DSE9" s="2"/>
      <c r="DSF9" s="2"/>
      <c r="DSG9" s="2"/>
      <c r="DSH9" s="2"/>
      <c r="DSI9" s="2"/>
      <c r="DSJ9" s="2"/>
      <c r="DSK9" s="2"/>
      <c r="DSL9" s="2"/>
      <c r="DSM9" s="2"/>
      <c r="DSN9" s="2"/>
      <c r="DSO9" s="2"/>
      <c r="DSP9" s="2"/>
      <c r="DSQ9" s="2"/>
      <c r="DSR9" s="2"/>
      <c r="DSS9" s="2"/>
      <c r="DST9" s="2"/>
      <c r="DSU9" s="2"/>
      <c r="DSV9" s="2"/>
      <c r="DSW9" s="2"/>
      <c r="DSX9" s="2"/>
      <c r="DSY9" s="2"/>
      <c r="DSZ9" s="2"/>
      <c r="DTA9" s="2"/>
      <c r="DTB9" s="2"/>
      <c r="DTC9" s="2"/>
      <c r="DTD9" s="2"/>
      <c r="DTE9" s="2"/>
      <c r="DTF9" s="2"/>
      <c r="DTG9" s="2"/>
      <c r="DTH9" s="2"/>
      <c r="DTI9" s="2"/>
      <c r="DTJ9" s="2"/>
      <c r="DTK9" s="2"/>
      <c r="DTL9" s="2"/>
      <c r="DTM9" s="2"/>
      <c r="DTN9" s="2"/>
      <c r="DTO9" s="2"/>
      <c r="DTP9" s="2"/>
      <c r="DTQ9" s="2"/>
      <c r="DTR9" s="2"/>
      <c r="DTS9" s="2"/>
      <c r="DTT9" s="2"/>
      <c r="DTU9" s="2"/>
      <c r="DTV9" s="2"/>
      <c r="DTW9" s="2"/>
      <c r="DTX9" s="2"/>
      <c r="DTY9" s="2"/>
      <c r="DTZ9" s="2"/>
      <c r="DUA9" s="2"/>
      <c r="DUB9" s="2"/>
      <c r="DUC9" s="2"/>
      <c r="DUD9" s="2"/>
      <c r="DUE9" s="2"/>
      <c r="DUF9" s="2"/>
      <c r="DUG9" s="2"/>
      <c r="DUH9" s="2"/>
      <c r="DUI9" s="2"/>
      <c r="DUJ9" s="2"/>
      <c r="DUK9" s="2"/>
      <c r="DUL9" s="2"/>
      <c r="DUM9" s="2"/>
      <c r="DUN9" s="2"/>
      <c r="DUO9" s="2"/>
      <c r="DUP9" s="2"/>
      <c r="DUQ9" s="2"/>
      <c r="DUR9" s="2"/>
      <c r="DUS9" s="2"/>
      <c r="DUT9" s="2"/>
      <c r="DUU9" s="2"/>
      <c r="DUV9" s="2"/>
      <c r="DUW9" s="2"/>
      <c r="DUX9" s="2"/>
      <c r="DUY9" s="2"/>
      <c r="DUZ9" s="2"/>
      <c r="DVA9" s="2"/>
      <c r="DVB9" s="2"/>
      <c r="DVC9" s="2"/>
      <c r="DVD9" s="2"/>
      <c r="DVE9" s="2"/>
      <c r="DVF9" s="2"/>
      <c r="DVG9" s="2"/>
      <c r="DVH9" s="2"/>
      <c r="DVI9" s="2"/>
      <c r="DVJ9" s="2"/>
      <c r="DVK9" s="2"/>
      <c r="DVL9" s="2"/>
      <c r="DVM9" s="2"/>
      <c r="DVN9" s="2"/>
      <c r="DVO9" s="2"/>
      <c r="DVP9" s="2"/>
      <c r="DVQ9" s="2"/>
      <c r="DVR9" s="2"/>
      <c r="DVS9" s="2"/>
      <c r="DVT9" s="2"/>
      <c r="DVU9" s="2"/>
      <c r="DVV9" s="2"/>
      <c r="DVW9" s="2"/>
      <c r="DVX9" s="2"/>
      <c r="DVY9" s="2"/>
      <c r="DVZ9" s="2"/>
      <c r="DWA9" s="2"/>
      <c r="DWB9" s="2"/>
      <c r="DWC9" s="2"/>
      <c r="DWD9" s="2"/>
      <c r="DWE9" s="2"/>
      <c r="DWF9" s="2"/>
      <c r="DWG9" s="2"/>
      <c r="DWH9" s="2"/>
      <c r="DWI9" s="2"/>
      <c r="DWJ9" s="2"/>
      <c r="DWK9" s="2"/>
      <c r="DWL9" s="2"/>
      <c r="DWM9" s="2"/>
      <c r="DWN9" s="2"/>
      <c r="DWO9" s="2"/>
      <c r="DWP9" s="2"/>
      <c r="DWQ9" s="2"/>
      <c r="DWR9" s="2"/>
      <c r="DWS9" s="2"/>
      <c r="DWT9" s="2"/>
      <c r="DWU9" s="2"/>
      <c r="DWV9" s="2"/>
      <c r="DWW9" s="2"/>
      <c r="DWX9" s="2"/>
      <c r="DWY9" s="2"/>
      <c r="DWZ9" s="2"/>
      <c r="DXA9" s="2"/>
      <c r="DXB9" s="2"/>
      <c r="DXC9" s="2"/>
      <c r="DXD9" s="2"/>
      <c r="DXE9" s="2"/>
      <c r="DXF9" s="2"/>
      <c r="DXG9" s="2"/>
      <c r="DXH9" s="2"/>
      <c r="DXI9" s="2"/>
      <c r="DXJ9" s="2"/>
      <c r="DXK9" s="2"/>
      <c r="DXL9" s="2"/>
      <c r="DXM9" s="2"/>
      <c r="DXN9" s="2"/>
      <c r="DXO9" s="2"/>
      <c r="DXP9" s="2"/>
      <c r="DXQ9" s="2"/>
      <c r="DXR9" s="2"/>
      <c r="DXS9" s="2"/>
      <c r="DXT9" s="2"/>
      <c r="DXU9" s="2"/>
      <c r="DXV9" s="2"/>
      <c r="DXW9" s="2"/>
      <c r="DXX9" s="2"/>
      <c r="DXY9" s="2"/>
      <c r="DXZ9" s="2"/>
      <c r="DYA9" s="2"/>
      <c r="DYB9" s="2"/>
      <c r="DYC9" s="2"/>
      <c r="DYD9" s="2"/>
      <c r="DYE9" s="2"/>
      <c r="DYF9" s="2"/>
      <c r="DYG9" s="2"/>
      <c r="DYH9" s="2"/>
      <c r="DYI9" s="2"/>
      <c r="DYJ9" s="2"/>
      <c r="DYK9" s="2"/>
      <c r="DYL9" s="2"/>
      <c r="DYM9" s="2"/>
      <c r="DYN9" s="2"/>
      <c r="DYO9" s="2"/>
      <c r="DYP9" s="2"/>
      <c r="DYQ9" s="2"/>
      <c r="DYR9" s="2"/>
      <c r="DYS9" s="2"/>
      <c r="DYT9" s="2"/>
      <c r="DYU9" s="2"/>
      <c r="DYV9" s="2"/>
      <c r="DYW9" s="2"/>
      <c r="DYX9" s="2"/>
      <c r="DYY9" s="2"/>
      <c r="DYZ9" s="2"/>
      <c r="DZA9" s="2"/>
      <c r="DZB9" s="2"/>
      <c r="DZC9" s="2"/>
      <c r="DZD9" s="2"/>
      <c r="DZE9" s="2"/>
      <c r="DZF9" s="2"/>
      <c r="DZG9" s="2"/>
      <c r="DZH9" s="2"/>
      <c r="DZI9" s="2"/>
      <c r="DZJ9" s="2"/>
      <c r="DZK9" s="2"/>
      <c r="DZL9" s="2"/>
      <c r="DZM9" s="2"/>
      <c r="DZN9" s="2"/>
      <c r="DZO9" s="2"/>
      <c r="DZP9" s="2"/>
      <c r="DZQ9" s="2"/>
      <c r="DZR9" s="2"/>
      <c r="DZS9" s="2"/>
      <c r="DZT9" s="2"/>
      <c r="DZU9" s="2"/>
      <c r="DZV9" s="2"/>
      <c r="DZW9" s="2"/>
      <c r="DZX9" s="2"/>
      <c r="DZY9" s="2"/>
      <c r="DZZ9" s="2"/>
      <c r="EAA9" s="2"/>
      <c r="EAB9" s="2"/>
      <c r="EAC9" s="2"/>
      <c r="EAD9" s="2"/>
      <c r="EAE9" s="2"/>
      <c r="EAF9" s="2"/>
      <c r="EAG9" s="2"/>
      <c r="EAH9" s="2"/>
      <c r="EAI9" s="2"/>
      <c r="EAJ9" s="2"/>
      <c r="EAK9" s="2"/>
      <c r="EAL9" s="2"/>
      <c r="EAM9" s="2"/>
      <c r="EAN9" s="2"/>
      <c r="EAO9" s="2"/>
      <c r="EAP9" s="2"/>
      <c r="EAQ9" s="2"/>
      <c r="EAR9" s="2"/>
      <c r="EAS9" s="2"/>
      <c r="EAT9" s="2"/>
      <c r="EAU9" s="2"/>
      <c r="EAV9" s="2"/>
      <c r="EAW9" s="2"/>
      <c r="EAX9" s="2"/>
      <c r="EAY9" s="2"/>
      <c r="EAZ9" s="2"/>
      <c r="EBA9" s="2"/>
      <c r="EBB9" s="2"/>
      <c r="EBC9" s="2"/>
      <c r="EBD9" s="2"/>
      <c r="EBE9" s="2"/>
      <c r="EBF9" s="2"/>
      <c r="EBG9" s="2"/>
      <c r="EBH9" s="2"/>
      <c r="EBI9" s="2"/>
      <c r="EBJ9" s="2"/>
      <c r="EBK9" s="2"/>
      <c r="EBL9" s="2"/>
      <c r="EBM9" s="2"/>
      <c r="EBN9" s="2"/>
      <c r="EBO9" s="2"/>
      <c r="EBP9" s="2"/>
      <c r="EBQ9" s="2"/>
      <c r="EBR9" s="2"/>
      <c r="EBS9" s="2"/>
      <c r="EBT9" s="2"/>
      <c r="EBU9" s="2"/>
      <c r="EBV9" s="2"/>
      <c r="EBW9" s="2"/>
      <c r="EBX9" s="2"/>
      <c r="EBY9" s="2"/>
      <c r="EBZ9" s="2"/>
      <c r="ECA9" s="2"/>
      <c r="ECB9" s="2"/>
      <c r="ECC9" s="2"/>
      <c r="ECD9" s="2"/>
      <c r="ECE9" s="2"/>
      <c r="ECF9" s="2"/>
      <c r="ECG9" s="2"/>
      <c r="ECH9" s="2"/>
      <c r="ECI9" s="2"/>
      <c r="ECJ9" s="2"/>
      <c r="ECK9" s="2"/>
      <c r="ECL9" s="2"/>
      <c r="ECM9" s="2"/>
      <c r="ECN9" s="2"/>
      <c r="ECO9" s="2"/>
      <c r="ECP9" s="2"/>
      <c r="ECQ9" s="2"/>
      <c r="ECR9" s="2"/>
      <c r="ECS9" s="2"/>
      <c r="ECT9" s="2"/>
      <c r="ECU9" s="2"/>
      <c r="ECV9" s="2"/>
      <c r="ECW9" s="2"/>
      <c r="ECX9" s="2"/>
      <c r="ECY9" s="2"/>
      <c r="ECZ9" s="2"/>
      <c r="EDA9" s="2"/>
      <c r="EDB9" s="2"/>
      <c r="EDC9" s="2"/>
      <c r="EDD9" s="2"/>
      <c r="EDE9" s="2"/>
      <c r="EDF9" s="2"/>
      <c r="EDG9" s="2"/>
      <c r="EDH9" s="2"/>
      <c r="EDI9" s="2"/>
      <c r="EDJ9" s="2"/>
      <c r="EDK9" s="2"/>
      <c r="EDL9" s="2"/>
      <c r="EDM9" s="2"/>
      <c r="EDN9" s="2"/>
      <c r="EDO9" s="2"/>
      <c r="EDP9" s="2"/>
      <c r="EDQ9" s="2"/>
      <c r="EDR9" s="2"/>
      <c r="EDS9" s="2"/>
      <c r="EDT9" s="2"/>
      <c r="EDU9" s="2"/>
      <c r="EDV9" s="2"/>
      <c r="EDW9" s="2"/>
      <c r="EDX9" s="2"/>
      <c r="EDY9" s="2"/>
      <c r="EDZ9" s="2"/>
      <c r="EEA9" s="2"/>
      <c r="EEB9" s="2"/>
      <c r="EEC9" s="2"/>
      <c r="EED9" s="2"/>
      <c r="EEE9" s="2"/>
      <c r="EEF9" s="2"/>
      <c r="EEG9" s="2"/>
      <c r="EEH9" s="2"/>
      <c r="EEI9" s="2"/>
      <c r="EEJ9" s="2"/>
      <c r="EEK9" s="2"/>
      <c r="EEL9" s="2"/>
      <c r="EEM9" s="2"/>
      <c r="EEN9" s="2"/>
      <c r="EEO9" s="2"/>
      <c r="EEP9" s="2"/>
      <c r="EEQ9" s="2"/>
      <c r="EER9" s="2"/>
      <c r="EES9" s="2"/>
      <c r="EET9" s="2"/>
      <c r="EEU9" s="2"/>
      <c r="EEV9" s="2"/>
      <c r="EEW9" s="2"/>
      <c r="EEX9" s="2"/>
      <c r="EEY9" s="2"/>
      <c r="EEZ9" s="2"/>
      <c r="EFA9" s="2"/>
      <c r="EFB9" s="2"/>
      <c r="EFC9" s="2"/>
      <c r="EFD9" s="2"/>
      <c r="EFE9" s="2"/>
      <c r="EFF9" s="2"/>
      <c r="EFG9" s="2"/>
      <c r="EFH9" s="2"/>
      <c r="EFI9" s="2"/>
      <c r="EFJ9" s="2"/>
      <c r="EFK9" s="2"/>
      <c r="EFL9" s="2"/>
      <c r="EFM9" s="2"/>
      <c r="EFN9" s="2"/>
      <c r="EFO9" s="2"/>
      <c r="EFP9" s="2"/>
      <c r="EFQ9" s="2"/>
      <c r="EFR9" s="2"/>
      <c r="EFS9" s="2"/>
      <c r="EFT9" s="2"/>
      <c r="EFU9" s="2"/>
      <c r="EFV9" s="2"/>
      <c r="EFW9" s="2"/>
      <c r="EFX9" s="2"/>
      <c r="EFY9" s="2"/>
      <c r="EFZ9" s="2"/>
      <c r="EGA9" s="2"/>
      <c r="EGB9" s="2"/>
      <c r="EGC9" s="2"/>
      <c r="EGD9" s="2"/>
      <c r="EGE9" s="2"/>
      <c r="EGF9" s="2"/>
      <c r="EGG9" s="2"/>
      <c r="EGH9" s="2"/>
      <c r="EGI9" s="2"/>
      <c r="EGJ9" s="2"/>
      <c r="EGK9" s="2"/>
      <c r="EGL9" s="2"/>
      <c r="EGM9" s="2"/>
      <c r="EGN9" s="2"/>
      <c r="EGO9" s="2"/>
      <c r="EGP9" s="2"/>
      <c r="EGQ9" s="2"/>
      <c r="EGR9" s="2"/>
      <c r="EGS9" s="2"/>
      <c r="EGT9" s="2"/>
      <c r="EGU9" s="2"/>
      <c r="EGV9" s="2"/>
      <c r="EGW9" s="2"/>
      <c r="EGX9" s="2"/>
      <c r="EGY9" s="2"/>
      <c r="EGZ9" s="2"/>
      <c r="EHA9" s="2"/>
      <c r="EHB9" s="2"/>
      <c r="EHC9" s="2"/>
      <c r="EHD9" s="2"/>
      <c r="EHE9" s="2"/>
      <c r="EHF9" s="2"/>
      <c r="EHG9" s="2"/>
      <c r="EHH9" s="2"/>
      <c r="EHI9" s="2"/>
      <c r="EHJ9" s="2"/>
      <c r="EHK9" s="2"/>
      <c r="EHL9" s="2"/>
      <c r="EHM9" s="2"/>
      <c r="EHN9" s="2"/>
      <c r="EHO9" s="2"/>
      <c r="EHP9" s="2"/>
      <c r="EHQ9" s="2"/>
      <c r="EHR9" s="2"/>
      <c r="EHS9" s="2"/>
      <c r="EHT9" s="2"/>
      <c r="EHU9" s="2"/>
      <c r="EHV9" s="2"/>
      <c r="EHW9" s="2"/>
      <c r="EHX9" s="2"/>
      <c r="EHY9" s="2"/>
      <c r="EHZ9" s="2"/>
      <c r="EIA9" s="2"/>
      <c r="EIB9" s="2"/>
      <c r="EIC9" s="2"/>
      <c r="EID9" s="2"/>
      <c r="EIE9" s="2"/>
      <c r="EIF9" s="2"/>
      <c r="EIG9" s="2"/>
      <c r="EIH9" s="2"/>
      <c r="EII9" s="2"/>
      <c r="EIJ9" s="2"/>
      <c r="EIK9" s="2"/>
      <c r="EIL9" s="2"/>
      <c r="EIM9" s="2"/>
      <c r="EIN9" s="2"/>
      <c r="EIO9" s="2"/>
      <c r="EIP9" s="2"/>
      <c r="EIQ9" s="2"/>
      <c r="EIR9" s="2"/>
      <c r="EIS9" s="2"/>
      <c r="EIT9" s="2"/>
      <c r="EIU9" s="2"/>
      <c r="EIV9" s="2"/>
      <c r="EIW9" s="2"/>
      <c r="EIX9" s="2"/>
      <c r="EIY9" s="2"/>
      <c r="EIZ9" s="2"/>
      <c r="EJA9" s="2"/>
      <c r="EJB9" s="2"/>
      <c r="EJC9" s="2"/>
      <c r="EJD9" s="2"/>
      <c r="EJE9" s="2"/>
      <c r="EJF9" s="2"/>
      <c r="EJG9" s="2"/>
      <c r="EJH9" s="2"/>
      <c r="EJI9" s="2"/>
      <c r="EJJ9" s="2"/>
      <c r="EJK9" s="2"/>
      <c r="EJL9" s="2"/>
      <c r="EJM9" s="2"/>
      <c r="EJN9" s="2"/>
      <c r="EJO9" s="2"/>
      <c r="EJP9" s="2"/>
      <c r="EJQ9" s="2"/>
      <c r="EJR9" s="2"/>
      <c r="EJS9" s="2"/>
      <c r="EJT9" s="2"/>
      <c r="EJU9" s="2"/>
      <c r="EJV9" s="2"/>
      <c r="EJW9" s="2"/>
      <c r="EJX9" s="2"/>
      <c r="EJY9" s="2"/>
      <c r="EJZ9" s="2"/>
      <c r="EKA9" s="2"/>
      <c r="EKB9" s="2"/>
      <c r="EKC9" s="2"/>
      <c r="EKD9" s="2"/>
      <c r="EKE9" s="2"/>
      <c r="EKF9" s="2"/>
      <c r="EKG9" s="2"/>
      <c r="EKH9" s="2"/>
      <c r="EKI9" s="2"/>
      <c r="EKJ9" s="2"/>
      <c r="EKK9" s="2"/>
      <c r="EKL9" s="2"/>
      <c r="EKM9" s="2"/>
      <c r="EKN9" s="2"/>
      <c r="EKO9" s="2"/>
      <c r="EKP9" s="2"/>
      <c r="EKQ9" s="2"/>
      <c r="EKR9" s="2"/>
      <c r="EKS9" s="2"/>
      <c r="EKT9" s="2"/>
      <c r="EKU9" s="2"/>
      <c r="EKV9" s="2"/>
      <c r="EKW9" s="2"/>
      <c r="EKX9" s="2"/>
      <c r="EKY9" s="2"/>
      <c r="EKZ9" s="2"/>
      <c r="ELA9" s="2"/>
      <c r="ELB9" s="2"/>
      <c r="ELC9" s="2"/>
      <c r="ELD9" s="2"/>
      <c r="ELE9" s="2"/>
      <c r="ELF9" s="2"/>
      <c r="ELG9" s="2"/>
      <c r="ELH9" s="2"/>
      <c r="ELI9" s="2"/>
      <c r="ELJ9" s="2"/>
      <c r="ELK9" s="2"/>
      <c r="ELL9" s="2"/>
      <c r="ELM9" s="2"/>
      <c r="ELN9" s="2"/>
      <c r="ELO9" s="2"/>
      <c r="ELP9" s="2"/>
      <c r="ELQ9" s="2"/>
      <c r="ELR9" s="2"/>
      <c r="ELS9" s="2"/>
      <c r="ELT9" s="2"/>
      <c r="ELU9" s="2"/>
      <c r="ELV9" s="2"/>
      <c r="ELW9" s="2"/>
      <c r="ELX9" s="2"/>
      <c r="ELY9" s="2"/>
      <c r="ELZ9" s="2"/>
      <c r="EMA9" s="2"/>
      <c r="EMB9" s="2"/>
      <c r="EMC9" s="2"/>
      <c r="EMD9" s="2"/>
      <c r="EME9" s="2"/>
      <c r="EMF9" s="2"/>
      <c r="EMG9" s="2"/>
      <c r="EMH9" s="2"/>
      <c r="EMI9" s="2"/>
      <c r="EMJ9" s="2"/>
      <c r="EMK9" s="2"/>
      <c r="EML9" s="2"/>
      <c r="EMM9" s="2"/>
      <c r="EMN9" s="2"/>
      <c r="EMO9" s="2"/>
      <c r="EMP9" s="2"/>
      <c r="EMQ9" s="2"/>
      <c r="EMR9" s="2"/>
      <c r="EMS9" s="2"/>
      <c r="EMT9" s="2"/>
      <c r="EMU9" s="2"/>
      <c r="EMV9" s="2"/>
      <c r="EMW9" s="2"/>
      <c r="EMX9" s="2"/>
      <c r="EMY9" s="2"/>
      <c r="EMZ9" s="2"/>
      <c r="ENA9" s="2"/>
      <c r="ENB9" s="2"/>
      <c r="ENC9" s="2"/>
      <c r="END9" s="2"/>
      <c r="ENE9" s="2"/>
      <c r="ENF9" s="2"/>
      <c r="ENG9" s="2"/>
      <c r="ENH9" s="2"/>
      <c r="ENI9" s="2"/>
      <c r="ENJ9" s="2"/>
      <c r="ENK9" s="2"/>
      <c r="ENL9" s="2"/>
      <c r="ENM9" s="2"/>
      <c r="ENN9" s="2"/>
      <c r="ENO9" s="2"/>
      <c r="ENP9" s="2"/>
      <c r="ENQ9" s="2"/>
      <c r="ENR9" s="2"/>
      <c r="ENS9" s="2"/>
      <c r="ENT9" s="2"/>
      <c r="ENU9" s="2"/>
      <c r="ENV9" s="2"/>
      <c r="ENW9" s="2"/>
      <c r="ENX9" s="2"/>
      <c r="ENY9" s="2"/>
      <c r="ENZ9" s="2"/>
      <c r="EOA9" s="2"/>
      <c r="EOB9" s="2"/>
      <c r="EOC9" s="2"/>
      <c r="EOD9" s="2"/>
      <c r="EOE9" s="2"/>
      <c r="EOF9" s="2"/>
      <c r="EOG9" s="2"/>
      <c r="EOH9" s="2"/>
      <c r="EOI9" s="2"/>
      <c r="EOJ9" s="2"/>
      <c r="EOK9" s="2"/>
      <c r="EOL9" s="2"/>
      <c r="EOM9" s="2"/>
      <c r="EON9" s="2"/>
      <c r="EOO9" s="2"/>
      <c r="EOP9" s="2"/>
      <c r="EOQ9" s="2"/>
      <c r="EOR9" s="2"/>
      <c r="EOS9" s="2"/>
      <c r="EOT9" s="2"/>
      <c r="EOU9" s="2"/>
      <c r="EOV9" s="2"/>
      <c r="EOW9" s="2"/>
      <c r="EOX9" s="2"/>
      <c r="EOY9" s="2"/>
      <c r="EOZ9" s="2"/>
      <c r="EPA9" s="2"/>
      <c r="EPB9" s="2"/>
      <c r="EPC9" s="2"/>
      <c r="EPD9" s="2"/>
      <c r="EPE9" s="2"/>
      <c r="EPF9" s="2"/>
      <c r="EPG9" s="2"/>
      <c r="EPH9" s="2"/>
      <c r="EPI9" s="2"/>
      <c r="EPJ9" s="2"/>
      <c r="EPK9" s="2"/>
      <c r="EPL9" s="2"/>
      <c r="EPM9" s="2"/>
      <c r="EPN9" s="2"/>
      <c r="EPO9" s="2"/>
      <c r="EPP9" s="2"/>
      <c r="EPQ9" s="2"/>
      <c r="EPR9" s="2"/>
      <c r="EPS9" s="2"/>
      <c r="EPT9" s="2"/>
      <c r="EPU9" s="2"/>
      <c r="EPV9" s="2"/>
      <c r="EPW9" s="2"/>
      <c r="EPX9" s="2"/>
      <c r="EPY9" s="2"/>
      <c r="EPZ9" s="2"/>
      <c r="EQA9" s="2"/>
      <c r="EQB9" s="2"/>
      <c r="EQC9" s="2"/>
      <c r="EQD9" s="2"/>
      <c r="EQE9" s="2"/>
      <c r="EQF9" s="2"/>
      <c r="EQG9" s="2"/>
      <c r="EQH9" s="2"/>
      <c r="EQI9" s="2"/>
      <c r="EQJ9" s="2"/>
      <c r="EQK9" s="2"/>
      <c r="EQL9" s="2"/>
      <c r="EQM9" s="2"/>
      <c r="EQN9" s="2"/>
      <c r="EQO9" s="2"/>
      <c r="EQP9" s="2"/>
      <c r="EQQ9" s="2"/>
      <c r="EQR9" s="2"/>
      <c r="EQS9" s="2"/>
      <c r="EQT9" s="2"/>
      <c r="EQU9" s="2"/>
      <c r="EQV9" s="2"/>
      <c r="EQW9" s="2"/>
      <c r="EQX9" s="2"/>
      <c r="EQY9" s="2"/>
      <c r="EQZ9" s="2"/>
      <c r="ERA9" s="2"/>
      <c r="ERB9" s="2"/>
      <c r="ERC9" s="2"/>
      <c r="ERD9" s="2"/>
      <c r="ERE9" s="2"/>
      <c r="ERF9" s="2"/>
      <c r="ERG9" s="2"/>
      <c r="ERH9" s="2"/>
      <c r="ERI9" s="2"/>
      <c r="ERJ9" s="2"/>
      <c r="ERK9" s="2"/>
      <c r="ERL9" s="2"/>
      <c r="ERM9" s="2"/>
      <c r="ERN9" s="2"/>
      <c r="ERO9" s="2"/>
      <c r="ERP9" s="2"/>
      <c r="ERQ9" s="2"/>
      <c r="ERR9" s="2"/>
      <c r="ERS9" s="2"/>
      <c r="ERT9" s="2"/>
      <c r="ERU9" s="2"/>
      <c r="ERV9" s="2"/>
      <c r="ERW9" s="2"/>
      <c r="ERX9" s="2"/>
      <c r="ERY9" s="2"/>
      <c r="ERZ9" s="2"/>
      <c r="ESA9" s="2"/>
      <c r="ESB9" s="2"/>
      <c r="ESC9" s="2"/>
      <c r="ESD9" s="2"/>
      <c r="ESE9" s="2"/>
      <c r="ESF9" s="2"/>
      <c r="ESG9" s="2"/>
      <c r="ESH9" s="2"/>
      <c r="ESI9" s="2"/>
      <c r="ESJ9" s="2"/>
      <c r="ESK9" s="2"/>
      <c r="ESL9" s="2"/>
      <c r="ESM9" s="2"/>
      <c r="ESN9" s="2"/>
      <c r="ESO9" s="2"/>
      <c r="ESP9" s="2"/>
      <c r="ESQ9" s="2"/>
      <c r="ESR9" s="2"/>
      <c r="ESS9" s="2"/>
      <c r="EST9" s="2"/>
      <c r="ESU9" s="2"/>
      <c r="ESV9" s="2"/>
      <c r="ESW9" s="2"/>
      <c r="ESX9" s="2"/>
      <c r="ESY9" s="2"/>
      <c r="ESZ9" s="2"/>
      <c r="ETA9" s="2"/>
      <c r="ETB9" s="2"/>
      <c r="ETC9" s="2"/>
      <c r="ETD9" s="2"/>
      <c r="ETE9" s="2"/>
      <c r="ETF9" s="2"/>
      <c r="ETG9" s="2"/>
      <c r="ETH9" s="2"/>
      <c r="ETI9" s="2"/>
      <c r="ETJ9" s="2"/>
      <c r="ETK9" s="2"/>
      <c r="ETL9" s="2"/>
      <c r="ETM9" s="2"/>
      <c r="ETN9" s="2"/>
      <c r="ETO9" s="2"/>
      <c r="ETP9" s="2"/>
      <c r="ETQ9" s="2"/>
      <c r="ETR9" s="2"/>
      <c r="ETS9" s="2"/>
      <c r="ETT9" s="2"/>
      <c r="ETU9" s="2"/>
      <c r="ETV9" s="2"/>
      <c r="ETW9" s="2"/>
      <c r="ETX9" s="2"/>
      <c r="ETY9" s="2"/>
      <c r="ETZ9" s="2"/>
      <c r="EUA9" s="2"/>
      <c r="EUB9" s="2"/>
      <c r="EUC9" s="2"/>
      <c r="EUD9" s="2"/>
      <c r="EUE9" s="2"/>
      <c r="EUF9" s="2"/>
      <c r="EUG9" s="2"/>
      <c r="EUH9" s="2"/>
      <c r="EUI9" s="2"/>
      <c r="EUJ9" s="2"/>
      <c r="EUK9" s="2"/>
      <c r="EUL9" s="2"/>
      <c r="EUM9" s="2"/>
      <c r="EUN9" s="2"/>
      <c r="EUO9" s="2"/>
      <c r="EUP9" s="2"/>
      <c r="EUQ9" s="2"/>
      <c r="EUR9" s="2"/>
      <c r="EUS9" s="2"/>
      <c r="EUT9" s="2"/>
      <c r="EUU9" s="2"/>
      <c r="EUV9" s="2"/>
      <c r="EUW9" s="2"/>
      <c r="EUX9" s="2"/>
      <c r="EUY9" s="2"/>
      <c r="EUZ9" s="2"/>
      <c r="EVA9" s="2"/>
      <c r="EVB9" s="2"/>
      <c r="EVC9" s="2"/>
      <c r="EVD9" s="2"/>
      <c r="EVE9" s="2"/>
      <c r="EVF9" s="2"/>
      <c r="EVG9" s="2"/>
      <c r="EVH9" s="2"/>
      <c r="EVI9" s="2"/>
      <c r="EVJ9" s="2"/>
      <c r="EVK9" s="2"/>
      <c r="EVL9" s="2"/>
      <c r="EVM9" s="2"/>
      <c r="EVN9" s="2"/>
      <c r="EVO9" s="2"/>
      <c r="EVP9" s="2"/>
      <c r="EVQ9" s="2"/>
      <c r="EVR9" s="2"/>
      <c r="EVS9" s="2"/>
      <c r="EVT9" s="2"/>
      <c r="EVU9" s="2"/>
      <c r="EVV9" s="2"/>
      <c r="EVW9" s="2"/>
      <c r="EVX9" s="2"/>
      <c r="EVY9" s="2"/>
      <c r="EVZ9" s="2"/>
      <c r="EWA9" s="2"/>
      <c r="EWB9" s="2"/>
      <c r="EWC9" s="2"/>
      <c r="EWD9" s="2"/>
      <c r="EWE9" s="2"/>
      <c r="EWF9" s="2"/>
      <c r="EWG9" s="2"/>
      <c r="EWH9" s="2"/>
      <c r="EWI9" s="2"/>
      <c r="EWJ9" s="2"/>
      <c r="EWK9" s="2"/>
      <c r="EWL9" s="2"/>
      <c r="EWM9" s="2"/>
      <c r="EWN9" s="2"/>
      <c r="EWO9" s="2"/>
      <c r="EWP9" s="2"/>
      <c r="EWQ9" s="2"/>
      <c r="EWR9" s="2"/>
      <c r="EWS9" s="2"/>
      <c r="EWT9" s="2"/>
      <c r="EWU9" s="2"/>
      <c r="EWV9" s="2"/>
      <c r="EWW9" s="2"/>
      <c r="EWX9" s="2"/>
      <c r="EWY9" s="2"/>
      <c r="EWZ9" s="2"/>
      <c r="EXA9" s="2"/>
      <c r="EXB9" s="2"/>
      <c r="EXC9" s="2"/>
      <c r="EXD9" s="2"/>
      <c r="EXE9" s="2"/>
      <c r="EXF9" s="2"/>
      <c r="EXG9" s="2"/>
      <c r="EXH9" s="2"/>
      <c r="EXI9" s="2"/>
      <c r="EXJ9" s="2"/>
      <c r="EXK9" s="2"/>
      <c r="EXL9" s="2"/>
      <c r="EXM9" s="2"/>
      <c r="EXN9" s="2"/>
      <c r="EXO9" s="2"/>
      <c r="EXP9" s="2"/>
      <c r="EXQ9" s="2"/>
      <c r="EXR9" s="2"/>
      <c r="EXS9" s="2"/>
      <c r="EXT9" s="2"/>
      <c r="EXU9" s="2"/>
      <c r="EXV9" s="2"/>
      <c r="EXW9" s="2"/>
      <c r="EXX9" s="2"/>
      <c r="EXY9" s="2"/>
      <c r="EXZ9" s="2"/>
      <c r="EYA9" s="2"/>
      <c r="EYB9" s="2"/>
      <c r="EYC9" s="2"/>
      <c r="EYD9" s="2"/>
      <c r="EYE9" s="2"/>
      <c r="EYF9" s="2"/>
      <c r="EYG9" s="2"/>
      <c r="EYH9" s="2"/>
      <c r="EYI9" s="2"/>
      <c r="EYJ9" s="2"/>
      <c r="EYK9" s="2"/>
      <c r="EYL9" s="2"/>
      <c r="EYM9" s="2"/>
      <c r="EYN9" s="2"/>
      <c r="EYO9" s="2"/>
      <c r="EYP9" s="2"/>
      <c r="EYQ9" s="2"/>
      <c r="EYR9" s="2"/>
      <c r="EYS9" s="2"/>
      <c r="EYT9" s="2"/>
      <c r="EYU9" s="2"/>
      <c r="EYV9" s="2"/>
      <c r="EYW9" s="2"/>
      <c r="EYX9" s="2"/>
      <c r="EYY9" s="2"/>
      <c r="EYZ9" s="2"/>
      <c r="EZA9" s="2"/>
      <c r="EZB9" s="2"/>
      <c r="EZC9" s="2"/>
      <c r="EZD9" s="2"/>
      <c r="EZE9" s="2"/>
      <c r="EZF9" s="2"/>
      <c r="EZG9" s="2"/>
      <c r="EZH9" s="2"/>
      <c r="EZI9" s="2"/>
      <c r="EZJ9" s="2"/>
      <c r="EZK9" s="2"/>
      <c r="EZL9" s="2"/>
      <c r="EZM9" s="2"/>
      <c r="EZN9" s="2"/>
      <c r="EZO9" s="2"/>
      <c r="EZP9" s="2"/>
      <c r="EZQ9" s="2"/>
      <c r="EZR9" s="2"/>
      <c r="EZS9" s="2"/>
      <c r="EZT9" s="2"/>
      <c r="EZU9" s="2"/>
      <c r="EZV9" s="2"/>
      <c r="EZW9" s="2"/>
      <c r="EZX9" s="2"/>
      <c r="EZY9" s="2"/>
      <c r="EZZ9" s="2"/>
      <c r="FAA9" s="2"/>
      <c r="FAB9" s="2"/>
      <c r="FAC9" s="2"/>
      <c r="FAD9" s="2"/>
      <c r="FAE9" s="2"/>
      <c r="FAF9" s="2"/>
      <c r="FAG9" s="2"/>
      <c r="FAH9" s="2"/>
      <c r="FAI9" s="2"/>
      <c r="FAJ9" s="2"/>
      <c r="FAK9" s="2"/>
      <c r="FAL9" s="2"/>
      <c r="FAM9" s="2"/>
      <c r="FAN9" s="2"/>
      <c r="FAO9" s="2"/>
      <c r="FAP9" s="2"/>
      <c r="FAQ9" s="2"/>
      <c r="FAR9" s="2"/>
      <c r="FAS9" s="2"/>
      <c r="FAT9" s="2"/>
      <c r="FAU9" s="2"/>
      <c r="FAV9" s="2"/>
      <c r="FAW9" s="2"/>
      <c r="FAX9" s="2"/>
      <c r="FAY9" s="2"/>
      <c r="FAZ9" s="2"/>
      <c r="FBA9" s="2"/>
      <c r="FBB9" s="2"/>
      <c r="FBC9" s="2"/>
      <c r="FBD9" s="2"/>
      <c r="FBE9" s="2"/>
      <c r="FBF9" s="2"/>
      <c r="FBG9" s="2"/>
      <c r="FBH9" s="2"/>
      <c r="FBI9" s="2"/>
      <c r="FBJ9" s="2"/>
      <c r="FBK9" s="2"/>
      <c r="FBL9" s="2"/>
      <c r="FBM9" s="2"/>
      <c r="FBN9" s="2"/>
      <c r="FBO9" s="2"/>
      <c r="FBP9" s="2"/>
      <c r="FBQ9" s="2"/>
      <c r="FBR9" s="2"/>
      <c r="FBS9" s="2"/>
      <c r="FBT9" s="2"/>
      <c r="FBU9" s="2"/>
      <c r="FBV9" s="2"/>
      <c r="FBW9" s="2"/>
      <c r="FBX9" s="2"/>
      <c r="FBY9" s="2"/>
      <c r="FBZ9" s="2"/>
      <c r="FCA9" s="2"/>
      <c r="FCB9" s="2"/>
      <c r="FCC9" s="2"/>
      <c r="FCD9" s="2"/>
      <c r="FCE9" s="2"/>
      <c r="FCF9" s="2"/>
      <c r="FCG9" s="2"/>
      <c r="FCH9" s="2"/>
      <c r="FCI9" s="2"/>
      <c r="FCJ9" s="2"/>
      <c r="FCK9" s="2"/>
      <c r="FCL9" s="2"/>
      <c r="FCM9" s="2"/>
      <c r="FCN9" s="2"/>
      <c r="FCO9" s="2"/>
      <c r="FCP9" s="2"/>
      <c r="FCQ9" s="2"/>
      <c r="FCR9" s="2"/>
      <c r="FCS9" s="2"/>
      <c r="FCT9" s="2"/>
      <c r="FCU9" s="2"/>
      <c r="FCV9" s="2"/>
      <c r="FCW9" s="2"/>
      <c r="FCX9" s="2"/>
      <c r="FCY9" s="2"/>
      <c r="FCZ9" s="2"/>
      <c r="FDA9" s="2"/>
      <c r="FDB9" s="2"/>
      <c r="FDC9" s="2"/>
      <c r="FDD9" s="2"/>
      <c r="FDE9" s="2"/>
      <c r="FDF9" s="2"/>
      <c r="FDG9" s="2"/>
      <c r="FDH9" s="2"/>
      <c r="FDI9" s="2"/>
      <c r="FDJ9" s="2"/>
      <c r="FDK9" s="2"/>
      <c r="FDL9" s="2"/>
      <c r="FDM9" s="2"/>
      <c r="FDN9" s="2"/>
      <c r="FDO9" s="2"/>
      <c r="FDP9" s="2"/>
      <c r="FDQ9" s="2"/>
      <c r="FDR9" s="2"/>
      <c r="FDS9" s="2"/>
      <c r="FDT9" s="2"/>
      <c r="FDU9" s="2"/>
      <c r="FDV9" s="2"/>
      <c r="FDW9" s="2"/>
      <c r="FDX9" s="2"/>
      <c r="FDY9" s="2"/>
      <c r="FDZ9" s="2"/>
      <c r="FEA9" s="2"/>
      <c r="FEB9" s="2"/>
      <c r="FEC9" s="2"/>
      <c r="FED9" s="2"/>
      <c r="FEE9" s="2"/>
      <c r="FEF9" s="2"/>
      <c r="FEG9" s="2"/>
      <c r="FEH9" s="2"/>
      <c r="FEI9" s="2"/>
      <c r="FEJ9" s="2"/>
      <c r="FEK9" s="2"/>
      <c r="FEL9" s="2"/>
      <c r="FEM9" s="2"/>
      <c r="FEN9" s="2"/>
      <c r="FEO9" s="2"/>
      <c r="FEP9" s="2"/>
      <c r="FEQ9" s="2"/>
      <c r="FER9" s="2"/>
      <c r="FES9" s="2"/>
      <c r="FET9" s="2"/>
      <c r="FEU9" s="2"/>
      <c r="FEV9" s="2"/>
      <c r="FEW9" s="2"/>
      <c r="FEX9" s="2"/>
      <c r="FEY9" s="2"/>
      <c r="FEZ9" s="2"/>
      <c r="FFA9" s="2"/>
      <c r="FFB9" s="2"/>
      <c r="FFC9" s="2"/>
      <c r="FFD9" s="2"/>
      <c r="FFE9" s="2"/>
      <c r="FFF9" s="2"/>
      <c r="FFG9" s="2"/>
      <c r="FFH9" s="2"/>
      <c r="FFI9" s="2"/>
      <c r="FFJ9" s="2"/>
      <c r="FFK9" s="2"/>
      <c r="FFL9" s="2"/>
      <c r="FFM9" s="2"/>
      <c r="FFN9" s="2"/>
      <c r="FFO9" s="2"/>
      <c r="FFP9" s="2"/>
      <c r="FFQ9" s="2"/>
      <c r="FFR9" s="2"/>
      <c r="FFS9" s="2"/>
      <c r="FFT9" s="2"/>
      <c r="FFU9" s="2"/>
      <c r="FFV9" s="2"/>
      <c r="FFW9" s="2"/>
      <c r="FFX9" s="2"/>
      <c r="FFY9" s="2"/>
      <c r="FFZ9" s="2"/>
      <c r="FGA9" s="2"/>
      <c r="FGB9" s="2"/>
      <c r="FGC9" s="2"/>
      <c r="FGD9" s="2"/>
      <c r="FGE9" s="2"/>
      <c r="FGF9" s="2"/>
      <c r="FGG9" s="2"/>
      <c r="FGH9" s="2"/>
      <c r="FGI9" s="2"/>
      <c r="FGJ9" s="2"/>
      <c r="FGK9" s="2"/>
      <c r="FGL9" s="2"/>
      <c r="FGM9" s="2"/>
      <c r="FGN9" s="2"/>
      <c r="FGO9" s="2"/>
      <c r="FGP9" s="2"/>
      <c r="FGQ9" s="2"/>
      <c r="FGR9" s="2"/>
      <c r="FGS9" s="2"/>
      <c r="FGT9" s="2"/>
      <c r="FGU9" s="2"/>
      <c r="FGV9" s="2"/>
      <c r="FGW9" s="2"/>
      <c r="FGX9" s="2"/>
      <c r="FGY9" s="2"/>
      <c r="FGZ9" s="2"/>
      <c r="FHA9" s="2"/>
      <c r="FHB9" s="2"/>
      <c r="FHC9" s="2"/>
      <c r="FHD9" s="2"/>
      <c r="FHE9" s="2"/>
      <c r="FHF9" s="2"/>
      <c r="FHG9" s="2"/>
      <c r="FHH9" s="2"/>
      <c r="FHI9" s="2"/>
      <c r="FHJ9" s="2"/>
      <c r="FHK9" s="2"/>
      <c r="FHL9" s="2"/>
      <c r="FHM9" s="2"/>
      <c r="FHN9" s="2"/>
      <c r="FHO9" s="2"/>
      <c r="FHP9" s="2"/>
      <c r="FHQ9" s="2"/>
      <c r="FHR9" s="2"/>
      <c r="FHS9" s="2"/>
      <c r="FHT9" s="2"/>
      <c r="FHU9" s="2"/>
      <c r="FHV9" s="2"/>
      <c r="FHW9" s="2"/>
      <c r="FHX9" s="2"/>
      <c r="FHY9" s="2"/>
      <c r="FHZ9" s="2"/>
      <c r="FIA9" s="2"/>
      <c r="FIB9" s="2"/>
      <c r="FIC9" s="2"/>
      <c r="FID9" s="2"/>
      <c r="FIE9" s="2"/>
      <c r="FIF9" s="2"/>
      <c r="FIG9" s="2"/>
      <c r="FIH9" s="2"/>
      <c r="FII9" s="2"/>
      <c r="FIJ9" s="2"/>
      <c r="FIK9" s="2"/>
      <c r="FIL9" s="2"/>
      <c r="FIM9" s="2"/>
      <c r="FIN9" s="2"/>
      <c r="FIO9" s="2"/>
      <c r="FIP9" s="2"/>
      <c r="FIQ9" s="2"/>
      <c r="FIR9" s="2"/>
      <c r="FIS9" s="2"/>
      <c r="FIT9" s="2"/>
      <c r="FIU9" s="2"/>
      <c r="FIV9" s="2"/>
      <c r="FIW9" s="2"/>
      <c r="FIX9" s="2"/>
      <c r="FIY9" s="2"/>
      <c r="FIZ9" s="2"/>
      <c r="FJA9" s="2"/>
      <c r="FJB9" s="2"/>
      <c r="FJC9" s="2"/>
      <c r="FJD9" s="2"/>
      <c r="FJE9" s="2"/>
      <c r="FJF9" s="2"/>
      <c r="FJG9" s="2"/>
      <c r="FJH9" s="2"/>
      <c r="FJI9" s="2"/>
      <c r="FJJ9" s="2"/>
      <c r="FJK9" s="2"/>
      <c r="FJL9" s="2"/>
      <c r="FJM9" s="2"/>
      <c r="FJN9" s="2"/>
      <c r="FJO9" s="2"/>
      <c r="FJP9" s="2"/>
      <c r="FJQ9" s="2"/>
      <c r="FJR9" s="2"/>
      <c r="FJS9" s="2"/>
      <c r="FJT9" s="2"/>
      <c r="FJU9" s="2"/>
      <c r="FJV9" s="2"/>
      <c r="FJW9" s="2"/>
      <c r="FJX9" s="2"/>
      <c r="FJY9" s="2"/>
      <c r="FJZ9" s="2"/>
      <c r="FKA9" s="2"/>
      <c r="FKB9" s="2"/>
      <c r="FKC9" s="2"/>
      <c r="FKD9" s="2"/>
      <c r="FKE9" s="2"/>
      <c r="FKF9" s="2"/>
      <c r="FKG9" s="2"/>
      <c r="FKH9" s="2"/>
      <c r="FKI9" s="2"/>
      <c r="FKJ9" s="2"/>
      <c r="FKK9" s="2"/>
      <c r="FKL9" s="2"/>
      <c r="FKM9" s="2"/>
      <c r="FKN9" s="2"/>
      <c r="FKO9" s="2"/>
      <c r="FKP9" s="2"/>
      <c r="FKQ9" s="2"/>
      <c r="FKR9" s="2"/>
      <c r="FKS9" s="2"/>
      <c r="FKT9" s="2"/>
      <c r="FKU9" s="2"/>
      <c r="FKV9" s="2"/>
      <c r="FKW9" s="2"/>
      <c r="FKX9" s="2"/>
      <c r="FKY9" s="2"/>
      <c r="FKZ9" s="2"/>
      <c r="FLA9" s="2"/>
      <c r="FLB9" s="2"/>
      <c r="FLC9" s="2"/>
      <c r="FLD9" s="2"/>
      <c r="FLE9" s="2"/>
      <c r="FLF9" s="2"/>
      <c r="FLG9" s="2"/>
      <c r="FLH9" s="2"/>
      <c r="FLI9" s="2"/>
      <c r="FLJ9" s="2"/>
      <c r="FLK9" s="2"/>
      <c r="FLL9" s="2"/>
      <c r="FLM9" s="2"/>
      <c r="FLN9" s="2"/>
      <c r="FLO9" s="2"/>
      <c r="FLP9" s="2"/>
      <c r="FLQ9" s="2"/>
      <c r="FLR9" s="2"/>
      <c r="FLS9" s="2"/>
      <c r="FLT9" s="2"/>
      <c r="FLU9" s="2"/>
      <c r="FLV9" s="2"/>
      <c r="FLW9" s="2"/>
      <c r="FLX9" s="2"/>
      <c r="FLY9" s="2"/>
      <c r="FLZ9" s="2"/>
      <c r="FMA9" s="2"/>
      <c r="FMB9" s="2"/>
      <c r="FMC9" s="2"/>
      <c r="FMD9" s="2"/>
      <c r="FME9" s="2"/>
      <c r="FMF9" s="2"/>
      <c r="FMG9" s="2"/>
      <c r="FMH9" s="2"/>
      <c r="FMI9" s="2"/>
      <c r="FMJ9" s="2"/>
      <c r="FMK9" s="2"/>
      <c r="FML9" s="2"/>
      <c r="FMM9" s="2"/>
      <c r="FMN9" s="2"/>
      <c r="FMO9" s="2"/>
      <c r="FMP9" s="2"/>
      <c r="FMQ9" s="2"/>
      <c r="FMR9" s="2"/>
      <c r="FMS9" s="2"/>
      <c r="FMT9" s="2"/>
      <c r="FMU9" s="2"/>
      <c r="FMV9" s="2"/>
      <c r="FMW9" s="2"/>
      <c r="FMX9" s="2"/>
      <c r="FMY9" s="2"/>
      <c r="FMZ9" s="2"/>
      <c r="FNA9" s="2"/>
      <c r="FNB9" s="2"/>
      <c r="FNC9" s="2"/>
      <c r="FND9" s="2"/>
      <c r="FNE9" s="2"/>
      <c r="FNF9" s="2"/>
      <c r="FNG9" s="2"/>
      <c r="FNH9" s="2"/>
      <c r="FNI9" s="2"/>
      <c r="FNJ9" s="2"/>
      <c r="FNK9" s="2"/>
      <c r="FNL9" s="2"/>
      <c r="FNM9" s="2"/>
      <c r="FNN9" s="2"/>
      <c r="FNO9" s="2"/>
      <c r="FNP9" s="2"/>
      <c r="FNQ9" s="2"/>
      <c r="FNR9" s="2"/>
      <c r="FNS9" s="2"/>
      <c r="FNT9" s="2"/>
      <c r="FNU9" s="2"/>
      <c r="FNV9" s="2"/>
      <c r="FNW9" s="2"/>
      <c r="FNX9" s="2"/>
      <c r="FNY9" s="2"/>
      <c r="FNZ9" s="2"/>
      <c r="FOA9" s="2"/>
      <c r="FOB9" s="2"/>
      <c r="FOC9" s="2"/>
      <c r="FOD9" s="2"/>
      <c r="FOE9" s="2"/>
      <c r="FOF9" s="2"/>
      <c r="FOG9" s="2"/>
      <c r="FOH9" s="2"/>
      <c r="FOI9" s="2"/>
      <c r="FOJ9" s="2"/>
      <c r="FOK9" s="2"/>
      <c r="FOL9" s="2"/>
      <c r="FOM9" s="2"/>
      <c r="FON9" s="2"/>
      <c r="FOO9" s="2"/>
      <c r="FOP9" s="2"/>
      <c r="FOQ9" s="2"/>
      <c r="FOR9" s="2"/>
      <c r="FOS9" s="2"/>
      <c r="FOT9" s="2"/>
      <c r="FOU9" s="2"/>
      <c r="FOV9" s="2"/>
      <c r="FOW9" s="2"/>
      <c r="FOX9" s="2"/>
      <c r="FOY9" s="2"/>
      <c r="FOZ9" s="2"/>
      <c r="FPA9" s="2"/>
      <c r="FPB9" s="2"/>
      <c r="FPC9" s="2"/>
      <c r="FPD9" s="2"/>
      <c r="FPE9" s="2"/>
      <c r="FPF9" s="2"/>
      <c r="FPG9" s="2"/>
      <c r="FPH9" s="2"/>
      <c r="FPI9" s="2"/>
      <c r="FPJ9" s="2"/>
      <c r="FPK9" s="2"/>
      <c r="FPL9" s="2"/>
      <c r="FPM9" s="2"/>
      <c r="FPN9" s="2"/>
      <c r="FPO9" s="2"/>
      <c r="FPP9" s="2"/>
      <c r="FPQ9" s="2"/>
      <c r="FPR9" s="2"/>
      <c r="FPS9" s="2"/>
      <c r="FPT9" s="2"/>
      <c r="FPU9" s="2"/>
      <c r="FPV9" s="2"/>
      <c r="FPW9" s="2"/>
      <c r="FPX9" s="2"/>
      <c r="FPY9" s="2"/>
      <c r="FPZ9" s="2"/>
      <c r="FQA9" s="2"/>
      <c r="FQB9" s="2"/>
      <c r="FQC9" s="2"/>
      <c r="FQD9" s="2"/>
      <c r="FQE9" s="2"/>
      <c r="FQF9" s="2"/>
      <c r="FQG9" s="2"/>
      <c r="FQH9" s="2"/>
      <c r="FQI9" s="2"/>
      <c r="FQJ9" s="2"/>
      <c r="FQK9" s="2"/>
      <c r="FQL9" s="2"/>
      <c r="FQM9" s="2"/>
      <c r="FQN9" s="2"/>
      <c r="FQO9" s="2"/>
      <c r="FQP9" s="2"/>
      <c r="FQQ9" s="2"/>
      <c r="FQR9" s="2"/>
      <c r="FQS9" s="2"/>
      <c r="FQT9" s="2"/>
      <c r="FQU9" s="2"/>
      <c r="FQV9" s="2"/>
      <c r="FQW9" s="2"/>
      <c r="FQX9" s="2"/>
      <c r="FQY9" s="2"/>
      <c r="FQZ9" s="2"/>
      <c r="FRA9" s="2"/>
      <c r="FRB9" s="2"/>
      <c r="FRC9" s="2"/>
      <c r="FRD9" s="2"/>
      <c r="FRE9" s="2"/>
      <c r="FRF9" s="2"/>
      <c r="FRG9" s="2"/>
      <c r="FRH9" s="2"/>
      <c r="FRI9" s="2"/>
      <c r="FRJ9" s="2"/>
      <c r="FRK9" s="2"/>
      <c r="FRL9" s="2"/>
      <c r="FRM9" s="2"/>
      <c r="FRN9" s="2"/>
      <c r="FRO9" s="2"/>
      <c r="FRP9" s="2"/>
      <c r="FRQ9" s="2"/>
      <c r="FRR9" s="2"/>
      <c r="FRS9" s="2"/>
      <c r="FRT9" s="2"/>
      <c r="FRU9" s="2"/>
      <c r="FRV9" s="2"/>
      <c r="FRW9" s="2"/>
      <c r="FRX9" s="2"/>
      <c r="FRY9" s="2"/>
      <c r="FRZ9" s="2"/>
      <c r="FSA9" s="2"/>
      <c r="FSB9" s="2"/>
      <c r="FSC9" s="2"/>
      <c r="FSD9" s="2"/>
      <c r="FSE9" s="2"/>
      <c r="FSF9" s="2"/>
      <c r="FSG9" s="2"/>
      <c r="FSH9" s="2"/>
      <c r="FSI9" s="2"/>
      <c r="FSJ9" s="2"/>
      <c r="FSK9" s="2"/>
      <c r="FSL9" s="2"/>
      <c r="FSM9" s="2"/>
      <c r="FSN9" s="2"/>
      <c r="FSO9" s="2"/>
      <c r="FSP9" s="2"/>
      <c r="FSQ9" s="2"/>
      <c r="FSR9" s="2"/>
      <c r="FSS9" s="2"/>
      <c r="FST9" s="2"/>
      <c r="FSU9" s="2"/>
      <c r="FSV9" s="2"/>
      <c r="FSW9" s="2"/>
      <c r="FSX9" s="2"/>
      <c r="FSY9" s="2"/>
      <c r="FSZ9" s="2"/>
      <c r="FTA9" s="2"/>
      <c r="FTB9" s="2"/>
      <c r="FTC9" s="2"/>
      <c r="FTD9" s="2"/>
      <c r="FTE9" s="2"/>
      <c r="FTF9" s="2"/>
      <c r="FTG9" s="2"/>
      <c r="FTH9" s="2"/>
      <c r="FTI9" s="2"/>
      <c r="FTJ9" s="2"/>
      <c r="FTK9" s="2"/>
      <c r="FTL9" s="2"/>
      <c r="FTM9" s="2"/>
      <c r="FTN9" s="2"/>
      <c r="FTO9" s="2"/>
      <c r="FTP9" s="2"/>
      <c r="FTQ9" s="2"/>
      <c r="FTR9" s="2"/>
      <c r="FTS9" s="2"/>
      <c r="FTT9" s="2"/>
      <c r="FTU9" s="2"/>
      <c r="FTV9" s="2"/>
      <c r="FTW9" s="2"/>
      <c r="FTX9" s="2"/>
      <c r="FTY9" s="2"/>
      <c r="FTZ9" s="2"/>
      <c r="FUA9" s="2"/>
      <c r="FUB9" s="2"/>
      <c r="FUC9" s="2"/>
      <c r="FUD9" s="2"/>
      <c r="FUE9" s="2"/>
      <c r="FUF9" s="2"/>
      <c r="FUG9" s="2"/>
      <c r="FUH9" s="2"/>
      <c r="FUI9" s="2"/>
      <c r="FUJ9" s="2"/>
      <c r="FUK9" s="2"/>
      <c r="FUL9" s="2"/>
      <c r="FUM9" s="2"/>
      <c r="FUN9" s="2"/>
      <c r="FUO9" s="2"/>
      <c r="FUP9" s="2"/>
      <c r="FUQ9" s="2"/>
      <c r="FUR9" s="2"/>
      <c r="FUS9" s="2"/>
      <c r="FUT9" s="2"/>
      <c r="FUU9" s="2"/>
      <c r="FUV9" s="2"/>
      <c r="FUW9" s="2"/>
      <c r="FUX9" s="2"/>
      <c r="FUY9" s="2"/>
      <c r="FUZ9" s="2"/>
      <c r="FVA9" s="2"/>
      <c r="FVB9" s="2"/>
      <c r="FVC9" s="2"/>
      <c r="FVD9" s="2"/>
      <c r="FVE9" s="2"/>
      <c r="FVF9" s="2"/>
      <c r="FVG9" s="2"/>
      <c r="FVH9" s="2"/>
      <c r="FVI9" s="2"/>
      <c r="FVJ9" s="2"/>
      <c r="FVK9" s="2"/>
      <c r="FVL9" s="2"/>
      <c r="FVM9" s="2"/>
      <c r="FVN9" s="2"/>
      <c r="FVO9" s="2"/>
      <c r="FVP9" s="2"/>
      <c r="FVQ9" s="2"/>
      <c r="FVR9" s="2"/>
      <c r="FVS9" s="2"/>
      <c r="FVT9" s="2"/>
      <c r="FVU9" s="2"/>
      <c r="FVV9" s="2"/>
      <c r="FVW9" s="2"/>
      <c r="FVX9" s="2"/>
      <c r="FVY9" s="2"/>
      <c r="FVZ9" s="2"/>
      <c r="FWA9" s="2"/>
      <c r="FWB9" s="2"/>
      <c r="FWC9" s="2"/>
      <c r="FWD9" s="2"/>
      <c r="FWE9" s="2"/>
      <c r="FWF9" s="2"/>
      <c r="FWG9" s="2"/>
      <c r="FWH9" s="2"/>
      <c r="FWI9" s="2"/>
      <c r="FWJ9" s="2"/>
      <c r="FWK9" s="2"/>
      <c r="FWL9" s="2"/>
      <c r="FWM9" s="2"/>
      <c r="FWN9" s="2"/>
      <c r="FWO9" s="2"/>
      <c r="FWP9" s="2"/>
      <c r="FWQ9" s="2"/>
      <c r="FWR9" s="2"/>
      <c r="FWS9" s="2"/>
      <c r="FWT9" s="2"/>
      <c r="FWU9" s="2"/>
      <c r="FWV9" s="2"/>
      <c r="FWW9" s="2"/>
      <c r="FWX9" s="2"/>
      <c r="FWY9" s="2"/>
      <c r="FWZ9" s="2"/>
      <c r="FXA9" s="2"/>
      <c r="FXB9" s="2"/>
      <c r="FXC9" s="2"/>
      <c r="FXD9" s="2"/>
      <c r="FXE9" s="2"/>
      <c r="FXF9" s="2"/>
      <c r="FXG9" s="2"/>
      <c r="FXH9" s="2"/>
      <c r="FXI9" s="2"/>
      <c r="FXJ9" s="2"/>
      <c r="FXK9" s="2"/>
      <c r="FXL9" s="2"/>
      <c r="FXM9" s="2"/>
      <c r="FXN9" s="2"/>
      <c r="FXO9" s="2"/>
      <c r="FXP9" s="2"/>
      <c r="FXQ9" s="2"/>
      <c r="FXR9" s="2"/>
      <c r="FXS9" s="2"/>
      <c r="FXT9" s="2"/>
      <c r="FXU9" s="2"/>
      <c r="FXV9" s="2"/>
      <c r="FXW9" s="2"/>
      <c r="FXX9" s="2"/>
      <c r="FXY9" s="2"/>
      <c r="FXZ9" s="2"/>
      <c r="FYA9" s="2"/>
      <c r="FYB9" s="2"/>
      <c r="FYC9" s="2"/>
      <c r="FYD9" s="2"/>
      <c r="FYE9" s="2"/>
      <c r="FYF9" s="2"/>
      <c r="FYG9" s="2"/>
      <c r="FYH9" s="2"/>
      <c r="FYI9" s="2"/>
      <c r="FYJ9" s="2"/>
      <c r="FYK9" s="2"/>
      <c r="FYL9" s="2"/>
      <c r="FYM9" s="2"/>
      <c r="FYN9" s="2"/>
      <c r="FYO9" s="2"/>
      <c r="FYP9" s="2"/>
      <c r="FYQ9" s="2"/>
      <c r="FYR9" s="2"/>
      <c r="FYS9" s="2"/>
      <c r="FYT9" s="2"/>
      <c r="FYU9" s="2"/>
      <c r="FYV9" s="2"/>
      <c r="FYW9" s="2"/>
      <c r="FYX9" s="2"/>
      <c r="FYY9" s="2"/>
      <c r="FYZ9" s="2"/>
      <c r="FZA9" s="2"/>
      <c r="FZB9" s="2"/>
      <c r="FZC9" s="2"/>
      <c r="FZD9" s="2"/>
      <c r="FZE9" s="2"/>
      <c r="FZF9" s="2"/>
      <c r="FZG9" s="2"/>
      <c r="FZH9" s="2"/>
      <c r="FZI9" s="2"/>
      <c r="FZJ9" s="2"/>
      <c r="FZK9" s="2"/>
      <c r="FZL9" s="2"/>
      <c r="FZM9" s="2"/>
      <c r="FZN9" s="2"/>
      <c r="FZO9" s="2"/>
      <c r="FZP9" s="2"/>
      <c r="FZQ9" s="2"/>
      <c r="FZR9" s="2"/>
      <c r="FZS9" s="2"/>
      <c r="FZT9" s="2"/>
      <c r="FZU9" s="2"/>
      <c r="FZV9" s="2"/>
      <c r="FZW9" s="2"/>
      <c r="FZX9" s="2"/>
      <c r="FZY9" s="2"/>
      <c r="FZZ9" s="2"/>
      <c r="GAA9" s="2"/>
      <c r="GAB9" s="2"/>
      <c r="GAC9" s="2"/>
      <c r="GAD9" s="2"/>
      <c r="GAE9" s="2"/>
      <c r="GAF9" s="2"/>
      <c r="GAG9" s="2"/>
      <c r="GAH9" s="2"/>
      <c r="GAI9" s="2"/>
      <c r="GAJ9" s="2"/>
      <c r="GAK9" s="2"/>
      <c r="GAL9" s="2"/>
      <c r="GAM9" s="2"/>
      <c r="GAN9" s="2"/>
      <c r="GAO9" s="2"/>
      <c r="GAP9" s="2"/>
      <c r="GAQ9" s="2"/>
      <c r="GAR9" s="2"/>
      <c r="GAS9" s="2"/>
      <c r="GAT9" s="2"/>
      <c r="GAU9" s="2"/>
      <c r="GAV9" s="2"/>
      <c r="GAW9" s="2"/>
      <c r="GAX9" s="2"/>
      <c r="GAY9" s="2"/>
      <c r="GAZ9" s="2"/>
      <c r="GBA9" s="2"/>
      <c r="GBB9" s="2"/>
      <c r="GBC9" s="2"/>
      <c r="GBD9" s="2"/>
      <c r="GBE9" s="2"/>
      <c r="GBF9" s="2"/>
      <c r="GBG9" s="2"/>
      <c r="GBH9" s="2"/>
      <c r="GBI9" s="2"/>
      <c r="GBJ9" s="2"/>
      <c r="GBK9" s="2"/>
      <c r="GBL9" s="2"/>
      <c r="GBM9" s="2"/>
      <c r="GBN9" s="2"/>
      <c r="GBO9" s="2"/>
      <c r="GBP9" s="2"/>
      <c r="GBQ9" s="2"/>
      <c r="GBR9" s="2"/>
      <c r="GBS9" s="2"/>
      <c r="GBT9" s="2"/>
      <c r="GBU9" s="2"/>
      <c r="GBV9" s="2"/>
      <c r="GBW9" s="2"/>
      <c r="GBX9" s="2"/>
      <c r="GBY9" s="2"/>
      <c r="GBZ9" s="2"/>
      <c r="GCA9" s="2"/>
      <c r="GCB9" s="2"/>
      <c r="GCC9" s="2"/>
      <c r="GCD9" s="2"/>
      <c r="GCE9" s="2"/>
      <c r="GCF9" s="2"/>
      <c r="GCG9" s="2"/>
      <c r="GCH9" s="2"/>
      <c r="GCI9" s="2"/>
      <c r="GCJ9" s="2"/>
      <c r="GCK9" s="2"/>
      <c r="GCL9" s="2"/>
      <c r="GCM9" s="2"/>
      <c r="GCN9" s="2"/>
      <c r="GCO9" s="2"/>
      <c r="GCP9" s="2"/>
      <c r="GCQ9" s="2"/>
      <c r="GCR9" s="2"/>
      <c r="GCS9" s="2"/>
      <c r="GCT9" s="2"/>
      <c r="GCU9" s="2"/>
      <c r="GCV9" s="2"/>
      <c r="GCW9" s="2"/>
      <c r="GCX9" s="2"/>
      <c r="GCY9" s="2"/>
      <c r="GCZ9" s="2"/>
      <c r="GDA9" s="2"/>
      <c r="GDB9" s="2"/>
      <c r="GDC9" s="2"/>
      <c r="GDD9" s="2"/>
      <c r="GDE9" s="2"/>
      <c r="GDF9" s="2"/>
      <c r="GDG9" s="2"/>
      <c r="GDH9" s="2"/>
      <c r="GDI9" s="2"/>
      <c r="GDJ9" s="2"/>
      <c r="GDK9" s="2"/>
      <c r="GDL9" s="2"/>
      <c r="GDM9" s="2"/>
      <c r="GDN9" s="2"/>
      <c r="GDO9" s="2"/>
      <c r="GDP9" s="2"/>
      <c r="GDQ9" s="2"/>
      <c r="GDR9" s="2"/>
      <c r="GDS9" s="2"/>
      <c r="GDT9" s="2"/>
      <c r="GDU9" s="2"/>
      <c r="GDV9" s="2"/>
      <c r="GDW9" s="2"/>
      <c r="GDX9" s="2"/>
      <c r="GDY9" s="2"/>
      <c r="GDZ9" s="2"/>
      <c r="GEA9" s="2"/>
      <c r="GEB9" s="2"/>
      <c r="GEC9" s="2"/>
      <c r="GED9" s="2"/>
      <c r="GEE9" s="2"/>
      <c r="GEF9" s="2"/>
      <c r="GEG9" s="2"/>
      <c r="GEH9" s="2"/>
      <c r="GEI9" s="2"/>
      <c r="GEJ9" s="2"/>
      <c r="GEK9" s="2"/>
      <c r="GEL9" s="2"/>
      <c r="GEM9" s="2"/>
      <c r="GEN9" s="2"/>
      <c r="GEO9" s="2"/>
      <c r="GEP9" s="2"/>
      <c r="GEQ9" s="2"/>
      <c r="GER9" s="2"/>
      <c r="GES9" s="2"/>
      <c r="GET9" s="2"/>
      <c r="GEU9" s="2"/>
      <c r="GEV9" s="2"/>
      <c r="GEW9" s="2"/>
      <c r="GEX9" s="2"/>
      <c r="GEY9" s="2"/>
      <c r="GEZ9" s="2"/>
      <c r="GFA9" s="2"/>
      <c r="GFB9" s="2"/>
      <c r="GFC9" s="2"/>
      <c r="GFD9" s="2"/>
      <c r="GFE9" s="2"/>
      <c r="GFF9" s="2"/>
      <c r="GFG9" s="2"/>
      <c r="GFH9" s="2"/>
      <c r="GFI9" s="2"/>
      <c r="GFJ9" s="2"/>
      <c r="GFK9" s="2"/>
      <c r="GFL9" s="2"/>
      <c r="GFM9" s="2"/>
      <c r="GFN9" s="2"/>
      <c r="GFO9" s="2"/>
      <c r="GFP9" s="2"/>
      <c r="GFQ9" s="2"/>
      <c r="GFR9" s="2"/>
      <c r="GFS9" s="2"/>
      <c r="GFT9" s="2"/>
      <c r="GFU9" s="2"/>
      <c r="GFV9" s="2"/>
      <c r="GFW9" s="2"/>
      <c r="GFX9" s="2"/>
      <c r="GFY9" s="2"/>
      <c r="GFZ9" s="2"/>
      <c r="GGA9" s="2"/>
      <c r="GGB9" s="2"/>
      <c r="GGC9" s="2"/>
      <c r="GGD9" s="2"/>
      <c r="GGE9" s="2"/>
      <c r="GGF9" s="2"/>
      <c r="GGG9" s="2"/>
      <c r="GGH9" s="2"/>
      <c r="GGI9" s="2"/>
      <c r="GGJ9" s="2"/>
      <c r="GGK9" s="2"/>
      <c r="GGL9" s="2"/>
      <c r="GGM9" s="2"/>
      <c r="GGN9" s="2"/>
      <c r="GGO9" s="2"/>
      <c r="GGP9" s="2"/>
      <c r="GGQ9" s="2"/>
      <c r="GGR9" s="2"/>
      <c r="GGS9" s="2"/>
      <c r="GGT9" s="2"/>
      <c r="GGU9" s="2"/>
      <c r="GGV9" s="2"/>
      <c r="GGW9" s="2"/>
      <c r="GGX9" s="2"/>
      <c r="GGY9" s="2"/>
      <c r="GGZ9" s="2"/>
      <c r="GHA9" s="2"/>
      <c r="GHB9" s="2"/>
      <c r="GHC9" s="2"/>
      <c r="GHD9" s="2"/>
      <c r="GHE9" s="2"/>
      <c r="GHF9" s="2"/>
      <c r="GHG9" s="2"/>
      <c r="GHH9" s="2"/>
      <c r="GHI9" s="2"/>
      <c r="GHJ9" s="2"/>
      <c r="GHK9" s="2"/>
      <c r="GHL9" s="2"/>
      <c r="GHM9" s="2"/>
      <c r="GHN9" s="2"/>
      <c r="GHO9" s="2"/>
      <c r="GHP9" s="2"/>
      <c r="GHQ9" s="2"/>
      <c r="GHR9" s="2"/>
      <c r="GHS9" s="2"/>
      <c r="GHT9" s="2"/>
      <c r="GHU9" s="2"/>
      <c r="GHV9" s="2"/>
      <c r="GHW9" s="2"/>
      <c r="GHX9" s="2"/>
      <c r="GHY9" s="2"/>
      <c r="GHZ9" s="2"/>
      <c r="GIA9" s="2"/>
      <c r="GIB9" s="2"/>
      <c r="GIC9" s="2"/>
      <c r="GID9" s="2"/>
      <c r="GIE9" s="2"/>
      <c r="GIF9" s="2"/>
      <c r="GIG9" s="2"/>
      <c r="GIH9" s="2"/>
      <c r="GII9" s="2"/>
      <c r="GIJ9" s="2"/>
      <c r="GIK9" s="2"/>
      <c r="GIL9" s="2"/>
      <c r="GIM9" s="2"/>
      <c r="GIN9" s="2"/>
      <c r="GIO9" s="2"/>
      <c r="GIP9" s="2"/>
      <c r="GIQ9" s="2"/>
      <c r="GIR9" s="2"/>
      <c r="GIS9" s="2"/>
      <c r="GIT9" s="2"/>
      <c r="GIU9" s="2"/>
      <c r="GIV9" s="2"/>
      <c r="GIW9" s="2"/>
      <c r="GIX9" s="2"/>
      <c r="GIY9" s="2"/>
      <c r="GIZ9" s="2"/>
      <c r="GJA9" s="2"/>
      <c r="GJB9" s="2"/>
      <c r="GJC9" s="2"/>
      <c r="GJD9" s="2"/>
      <c r="GJE9" s="2"/>
      <c r="GJF9" s="2"/>
      <c r="GJG9" s="2"/>
      <c r="GJH9" s="2"/>
      <c r="GJI9" s="2"/>
      <c r="GJJ9" s="2"/>
      <c r="GJK9" s="2"/>
      <c r="GJL9" s="2"/>
      <c r="GJM9" s="2"/>
      <c r="GJN9" s="2"/>
      <c r="GJO9" s="2"/>
      <c r="GJP9" s="2"/>
      <c r="GJQ9" s="2"/>
      <c r="GJR9" s="2"/>
      <c r="GJS9" s="2"/>
      <c r="GJT9" s="2"/>
      <c r="GJU9" s="2"/>
      <c r="GJV9" s="2"/>
      <c r="GJW9" s="2"/>
      <c r="GJX9" s="2"/>
      <c r="GJY9" s="2"/>
      <c r="GJZ9" s="2"/>
      <c r="GKA9" s="2"/>
      <c r="GKB9" s="2"/>
      <c r="GKC9" s="2"/>
      <c r="GKD9" s="2"/>
      <c r="GKE9" s="2"/>
      <c r="GKF9" s="2"/>
      <c r="GKG9" s="2"/>
      <c r="GKH9" s="2"/>
      <c r="GKI9" s="2"/>
      <c r="GKJ9" s="2"/>
      <c r="GKK9" s="2"/>
      <c r="GKL9" s="2"/>
      <c r="GKM9" s="2"/>
      <c r="GKN9" s="2"/>
      <c r="GKO9" s="2"/>
      <c r="GKP9" s="2"/>
      <c r="GKQ9" s="2"/>
      <c r="GKR9" s="2"/>
      <c r="GKS9" s="2"/>
      <c r="GKT9" s="2"/>
      <c r="GKU9" s="2"/>
      <c r="GKV9" s="2"/>
      <c r="GKW9" s="2"/>
      <c r="GKX9" s="2"/>
      <c r="GKY9" s="2"/>
      <c r="GKZ9" s="2"/>
      <c r="GLA9" s="2"/>
      <c r="GLB9" s="2"/>
      <c r="GLC9" s="2"/>
      <c r="GLD9" s="2"/>
      <c r="GLE9" s="2"/>
      <c r="GLF9" s="2"/>
      <c r="GLG9" s="2"/>
      <c r="GLH9" s="2"/>
      <c r="GLI9" s="2"/>
      <c r="GLJ9" s="2"/>
      <c r="GLK9" s="2"/>
      <c r="GLL9" s="2"/>
      <c r="GLM9" s="2"/>
      <c r="GLN9" s="2"/>
      <c r="GLO9" s="2"/>
      <c r="GLP9" s="2"/>
      <c r="GLQ9" s="2"/>
      <c r="GLR9" s="2"/>
      <c r="GLS9" s="2"/>
      <c r="GLT9" s="2"/>
      <c r="GLU9" s="2"/>
      <c r="GLV9" s="2"/>
      <c r="GLW9" s="2"/>
      <c r="GLX9" s="2"/>
      <c r="GLY9" s="2"/>
      <c r="GLZ9" s="2"/>
      <c r="GMA9" s="2"/>
      <c r="GMB9" s="2"/>
      <c r="GMC9" s="2"/>
      <c r="GMD9" s="2"/>
      <c r="GME9" s="2"/>
      <c r="GMF9" s="2"/>
      <c r="GMG9" s="2"/>
      <c r="GMH9" s="2"/>
      <c r="GMI9" s="2"/>
      <c r="GMJ9" s="2"/>
      <c r="GMK9" s="2"/>
      <c r="GML9" s="2"/>
      <c r="GMM9" s="2"/>
      <c r="GMN9" s="2"/>
      <c r="GMO9" s="2"/>
      <c r="GMP9" s="2"/>
      <c r="GMQ9" s="2"/>
      <c r="GMR9" s="2"/>
      <c r="GMS9" s="2"/>
      <c r="GMT9" s="2"/>
      <c r="GMU9" s="2"/>
      <c r="GMV9" s="2"/>
      <c r="GMW9" s="2"/>
      <c r="GMX9" s="2"/>
      <c r="GMY9" s="2"/>
      <c r="GMZ9" s="2"/>
      <c r="GNA9" s="2"/>
      <c r="GNB9" s="2"/>
      <c r="GNC9" s="2"/>
      <c r="GND9" s="2"/>
      <c r="GNE9" s="2"/>
      <c r="GNF9" s="2"/>
      <c r="GNG9" s="2"/>
      <c r="GNH9" s="2"/>
      <c r="GNI9" s="2"/>
      <c r="GNJ9" s="2"/>
      <c r="GNK9" s="2"/>
      <c r="GNL9" s="2"/>
      <c r="GNM9" s="2"/>
      <c r="GNN9" s="2"/>
      <c r="GNO9" s="2"/>
      <c r="GNP9" s="2"/>
      <c r="GNQ9" s="2"/>
      <c r="GNR9" s="2"/>
      <c r="GNS9" s="2"/>
      <c r="GNT9" s="2"/>
      <c r="GNU9" s="2"/>
      <c r="GNV9" s="2"/>
      <c r="GNW9" s="2"/>
      <c r="GNX9" s="2"/>
      <c r="GNY9" s="2"/>
      <c r="GNZ9" s="2"/>
      <c r="GOA9" s="2"/>
      <c r="GOB9" s="2"/>
      <c r="GOC9" s="2"/>
      <c r="GOD9" s="2"/>
      <c r="GOE9" s="2"/>
      <c r="GOF9" s="2"/>
      <c r="GOG9" s="2"/>
      <c r="GOH9" s="2"/>
      <c r="GOI9" s="2"/>
      <c r="GOJ9" s="2"/>
      <c r="GOK9" s="2"/>
      <c r="GOL9" s="2"/>
      <c r="GOM9" s="2"/>
      <c r="GON9" s="2"/>
      <c r="GOO9" s="2"/>
      <c r="GOP9" s="2"/>
      <c r="GOQ9" s="2"/>
      <c r="GOR9" s="2"/>
      <c r="GOS9" s="2"/>
      <c r="GOT9" s="2"/>
      <c r="GOU9" s="2"/>
      <c r="GOV9" s="2"/>
      <c r="GOW9" s="2"/>
      <c r="GOX9" s="2"/>
      <c r="GOY9" s="2"/>
      <c r="GOZ9" s="2"/>
      <c r="GPA9" s="2"/>
      <c r="GPB9" s="2"/>
      <c r="GPC9" s="2"/>
      <c r="GPD9" s="2"/>
      <c r="GPE9" s="2"/>
      <c r="GPF9" s="2"/>
      <c r="GPG9" s="2"/>
      <c r="GPH9" s="2"/>
      <c r="GPI9" s="2"/>
      <c r="GPJ9" s="2"/>
      <c r="GPK9" s="2"/>
      <c r="GPL9" s="2"/>
      <c r="GPM9" s="2"/>
      <c r="GPN9" s="2"/>
      <c r="GPO9" s="2"/>
      <c r="GPP9" s="2"/>
      <c r="GPQ9" s="2"/>
      <c r="GPR9" s="2"/>
      <c r="GPS9" s="2"/>
      <c r="GPT9" s="2"/>
      <c r="GPU9" s="2"/>
      <c r="GPV9" s="2"/>
      <c r="GPW9" s="2"/>
      <c r="GPX9" s="2"/>
      <c r="GPY9" s="2"/>
      <c r="GPZ9" s="2"/>
      <c r="GQA9" s="2"/>
      <c r="GQB9" s="2"/>
      <c r="GQC9" s="2"/>
      <c r="GQD9" s="2"/>
      <c r="GQE9" s="2"/>
      <c r="GQF9" s="2"/>
      <c r="GQG9" s="2"/>
      <c r="GQH9" s="2"/>
      <c r="GQI9" s="2"/>
      <c r="GQJ9" s="2"/>
      <c r="GQK9" s="2"/>
      <c r="GQL9" s="2"/>
      <c r="GQM9" s="2"/>
      <c r="GQN9" s="2"/>
      <c r="GQO9" s="2"/>
      <c r="GQP9" s="2"/>
      <c r="GQQ9" s="2"/>
      <c r="GQR9" s="2"/>
      <c r="GQS9" s="2"/>
      <c r="GQT9" s="2"/>
      <c r="GQU9" s="2"/>
      <c r="GQV9" s="2"/>
      <c r="GQW9" s="2"/>
      <c r="GQX9" s="2"/>
      <c r="GQY9" s="2"/>
      <c r="GQZ9" s="2"/>
      <c r="GRA9" s="2"/>
      <c r="GRB9" s="2"/>
      <c r="GRC9" s="2"/>
      <c r="GRD9" s="2"/>
      <c r="GRE9" s="2"/>
      <c r="GRF9" s="2"/>
      <c r="GRG9" s="2"/>
      <c r="GRH9" s="2"/>
      <c r="GRI9" s="2"/>
      <c r="GRJ9" s="2"/>
      <c r="GRK9" s="2"/>
      <c r="GRL9" s="2"/>
      <c r="GRM9" s="2"/>
      <c r="GRN9" s="2"/>
      <c r="GRO9" s="2"/>
      <c r="GRP9" s="2"/>
      <c r="GRQ9" s="2"/>
      <c r="GRR9" s="2"/>
      <c r="GRS9" s="2"/>
      <c r="GRT9" s="2"/>
      <c r="GRU9" s="2"/>
      <c r="GRV9" s="2"/>
      <c r="GRW9" s="2"/>
      <c r="GRX9" s="2"/>
      <c r="GRY9" s="2"/>
      <c r="GRZ9" s="2"/>
      <c r="GSA9" s="2"/>
      <c r="GSB9" s="2"/>
      <c r="GSC9" s="2"/>
      <c r="GSD9" s="2"/>
      <c r="GSE9" s="2"/>
      <c r="GSF9" s="2"/>
      <c r="GSG9" s="2"/>
      <c r="GSH9" s="2"/>
      <c r="GSI9" s="2"/>
      <c r="GSJ9" s="2"/>
      <c r="GSK9" s="2"/>
      <c r="GSL9" s="2"/>
      <c r="GSM9" s="2"/>
      <c r="GSN9" s="2"/>
      <c r="GSO9" s="2"/>
      <c r="GSP9" s="2"/>
      <c r="GSQ9" s="2"/>
      <c r="GSR9" s="2"/>
      <c r="GSS9" s="2"/>
      <c r="GST9" s="2"/>
      <c r="GSU9" s="2"/>
      <c r="GSV9" s="2"/>
      <c r="GSW9" s="2"/>
      <c r="GSX9" s="2"/>
      <c r="GSY9" s="2"/>
      <c r="GSZ9" s="2"/>
      <c r="GTA9" s="2"/>
      <c r="GTB9" s="2"/>
      <c r="GTC9" s="2"/>
      <c r="GTD9" s="2"/>
      <c r="GTE9" s="2"/>
      <c r="GTF9" s="2"/>
      <c r="GTG9" s="2"/>
      <c r="GTH9" s="2"/>
      <c r="GTI9" s="2"/>
      <c r="GTJ9" s="2"/>
      <c r="GTK9" s="2"/>
      <c r="GTL9" s="2"/>
      <c r="GTM9" s="2"/>
      <c r="GTN9" s="2"/>
      <c r="GTO9" s="2"/>
      <c r="GTP9" s="2"/>
      <c r="GTQ9" s="2"/>
      <c r="GTR9" s="2"/>
      <c r="GTS9" s="2"/>
      <c r="GTT9" s="2"/>
      <c r="GTU9" s="2"/>
      <c r="GTV9" s="2"/>
      <c r="GTW9" s="2"/>
      <c r="GTX9" s="2"/>
      <c r="GTY9" s="2"/>
      <c r="GTZ9" s="2"/>
      <c r="GUA9" s="2"/>
      <c r="GUB9" s="2"/>
      <c r="GUC9" s="2"/>
      <c r="GUD9" s="2"/>
      <c r="GUE9" s="2"/>
      <c r="GUF9" s="2"/>
      <c r="GUG9" s="2"/>
      <c r="GUH9" s="2"/>
      <c r="GUI9" s="2"/>
      <c r="GUJ9" s="2"/>
      <c r="GUK9" s="2"/>
      <c r="GUL9" s="2"/>
      <c r="GUM9" s="2"/>
      <c r="GUN9" s="2"/>
      <c r="GUO9" s="2"/>
      <c r="GUP9" s="2"/>
      <c r="GUQ9" s="2"/>
      <c r="GUR9" s="2"/>
      <c r="GUS9" s="2"/>
      <c r="GUT9" s="2"/>
      <c r="GUU9" s="2"/>
      <c r="GUV9" s="2"/>
      <c r="GUW9" s="2"/>
      <c r="GUX9" s="2"/>
      <c r="GUY9" s="2"/>
      <c r="GUZ9" s="2"/>
      <c r="GVA9" s="2"/>
      <c r="GVB9" s="2"/>
      <c r="GVC9" s="2"/>
      <c r="GVD9" s="2"/>
      <c r="GVE9" s="2"/>
      <c r="GVF9" s="2"/>
      <c r="GVG9" s="2"/>
      <c r="GVH9" s="2"/>
      <c r="GVI9" s="2"/>
      <c r="GVJ9" s="2"/>
      <c r="GVK9" s="2"/>
      <c r="GVL9" s="2"/>
      <c r="GVM9" s="2"/>
      <c r="GVN9" s="2"/>
      <c r="GVO9" s="2"/>
      <c r="GVP9" s="2"/>
      <c r="GVQ9" s="2"/>
      <c r="GVR9" s="2"/>
      <c r="GVS9" s="2"/>
      <c r="GVT9" s="2"/>
      <c r="GVU9" s="2"/>
      <c r="GVV9" s="2"/>
      <c r="GVW9" s="2"/>
      <c r="GVX9" s="2"/>
      <c r="GVY9" s="2"/>
      <c r="GVZ9" s="2"/>
      <c r="GWA9" s="2"/>
      <c r="GWB9" s="2"/>
      <c r="GWC9" s="2"/>
      <c r="GWD9" s="2"/>
      <c r="GWE9" s="2"/>
      <c r="GWF9" s="2"/>
      <c r="GWG9" s="2"/>
      <c r="GWH9" s="2"/>
      <c r="GWI9" s="2"/>
      <c r="GWJ9" s="2"/>
      <c r="GWK9" s="2"/>
      <c r="GWL9" s="2"/>
      <c r="GWM9" s="2"/>
      <c r="GWN9" s="2"/>
      <c r="GWO9" s="2"/>
      <c r="GWP9" s="2"/>
      <c r="GWQ9" s="2"/>
      <c r="GWR9" s="2"/>
      <c r="GWS9" s="2"/>
      <c r="GWT9" s="2"/>
      <c r="GWU9" s="2"/>
      <c r="GWV9" s="2"/>
      <c r="GWW9" s="2"/>
      <c r="GWX9" s="2"/>
      <c r="GWY9" s="2"/>
      <c r="GWZ9" s="2"/>
      <c r="GXA9" s="2"/>
      <c r="GXB9" s="2"/>
      <c r="GXC9" s="2"/>
      <c r="GXD9" s="2"/>
      <c r="GXE9" s="2"/>
      <c r="GXF9" s="2"/>
      <c r="GXG9" s="2"/>
      <c r="GXH9" s="2"/>
      <c r="GXI9" s="2"/>
      <c r="GXJ9" s="2"/>
      <c r="GXK9" s="2"/>
      <c r="GXL9" s="2"/>
      <c r="GXM9" s="2"/>
      <c r="GXN9" s="2"/>
      <c r="GXO9" s="2"/>
      <c r="GXP9" s="2"/>
      <c r="GXQ9" s="2"/>
      <c r="GXR9" s="2"/>
      <c r="GXS9" s="2"/>
      <c r="GXT9" s="2"/>
      <c r="GXU9" s="2"/>
      <c r="GXV9" s="2"/>
      <c r="GXW9" s="2"/>
      <c r="GXX9" s="2"/>
      <c r="GXY9" s="2"/>
      <c r="GXZ9" s="2"/>
      <c r="GYA9" s="2"/>
      <c r="GYB9" s="2"/>
      <c r="GYC9" s="2"/>
      <c r="GYD9" s="2"/>
      <c r="GYE9" s="2"/>
      <c r="GYF9" s="2"/>
      <c r="GYG9" s="2"/>
      <c r="GYH9" s="2"/>
      <c r="GYI9" s="2"/>
      <c r="GYJ9" s="2"/>
      <c r="GYK9" s="2"/>
      <c r="GYL9" s="2"/>
      <c r="GYM9" s="2"/>
      <c r="GYN9" s="2"/>
      <c r="GYO9" s="2"/>
      <c r="GYP9" s="2"/>
      <c r="GYQ9" s="2"/>
      <c r="GYR9" s="2"/>
      <c r="GYS9" s="2"/>
      <c r="GYT9" s="2"/>
      <c r="GYU9" s="2"/>
      <c r="GYV9" s="2"/>
      <c r="GYW9" s="2"/>
      <c r="GYX9" s="2"/>
      <c r="GYY9" s="2"/>
      <c r="GYZ9" s="2"/>
      <c r="GZA9" s="2"/>
      <c r="GZB9" s="2"/>
      <c r="GZC9" s="2"/>
      <c r="GZD9" s="2"/>
      <c r="GZE9" s="2"/>
      <c r="GZF9" s="2"/>
      <c r="GZG9" s="2"/>
      <c r="GZH9" s="2"/>
      <c r="GZI9" s="2"/>
      <c r="GZJ9" s="2"/>
      <c r="GZK9" s="2"/>
      <c r="GZL9" s="2"/>
      <c r="GZM9" s="2"/>
      <c r="GZN9" s="2"/>
      <c r="GZO9" s="2"/>
      <c r="GZP9" s="2"/>
      <c r="GZQ9" s="2"/>
      <c r="GZR9" s="2"/>
      <c r="GZS9" s="2"/>
      <c r="GZT9" s="2"/>
      <c r="GZU9" s="2"/>
      <c r="GZV9" s="2"/>
      <c r="GZW9" s="2"/>
      <c r="GZX9" s="2"/>
      <c r="GZY9" s="2"/>
      <c r="GZZ9" s="2"/>
      <c r="HAA9" s="2"/>
      <c r="HAB9" s="2"/>
      <c r="HAC9" s="2"/>
      <c r="HAD9" s="2"/>
      <c r="HAE9" s="2"/>
      <c r="HAF9" s="2"/>
      <c r="HAG9" s="2"/>
      <c r="HAH9" s="2"/>
      <c r="HAI9" s="2"/>
      <c r="HAJ9" s="2"/>
      <c r="HAK9" s="2"/>
      <c r="HAL9" s="2"/>
      <c r="HAM9" s="2"/>
      <c r="HAN9" s="2"/>
      <c r="HAO9" s="2"/>
      <c r="HAP9" s="2"/>
      <c r="HAQ9" s="2"/>
      <c r="HAR9" s="2"/>
      <c r="HAS9" s="2"/>
      <c r="HAT9" s="2"/>
      <c r="HAU9" s="2"/>
      <c r="HAV9" s="2"/>
      <c r="HAW9" s="2"/>
      <c r="HAX9" s="2"/>
      <c r="HAY9" s="2"/>
      <c r="HAZ9" s="2"/>
      <c r="HBA9" s="2"/>
      <c r="HBB9" s="2"/>
      <c r="HBC9" s="2"/>
      <c r="HBD9" s="2"/>
      <c r="HBE9" s="2"/>
      <c r="HBF9" s="2"/>
      <c r="HBG9" s="2"/>
      <c r="HBH9" s="2"/>
      <c r="HBI9" s="2"/>
      <c r="HBJ9" s="2"/>
      <c r="HBK9" s="2"/>
      <c r="HBL9" s="2"/>
      <c r="HBM9" s="2"/>
      <c r="HBN9" s="2"/>
      <c r="HBO9" s="2"/>
      <c r="HBP9" s="2"/>
      <c r="HBQ9" s="2"/>
      <c r="HBR9" s="2"/>
      <c r="HBS9" s="2"/>
      <c r="HBT9" s="2"/>
      <c r="HBU9" s="2"/>
      <c r="HBV9" s="2"/>
      <c r="HBW9" s="2"/>
      <c r="HBX9" s="2"/>
      <c r="HBY9" s="2"/>
      <c r="HBZ9" s="2"/>
      <c r="HCA9" s="2"/>
      <c r="HCB9" s="2"/>
      <c r="HCC9" s="2"/>
      <c r="HCD9" s="2"/>
      <c r="HCE9" s="2"/>
      <c r="HCF9" s="2"/>
      <c r="HCG9" s="2"/>
      <c r="HCH9" s="2"/>
      <c r="HCI9" s="2"/>
      <c r="HCJ9" s="2"/>
      <c r="HCK9" s="2"/>
      <c r="HCL9" s="2"/>
      <c r="HCM9" s="2"/>
      <c r="HCN9" s="2"/>
      <c r="HCO9" s="2"/>
      <c r="HCP9" s="2"/>
      <c r="HCQ9" s="2"/>
      <c r="HCR9" s="2"/>
      <c r="HCS9" s="2"/>
      <c r="HCT9" s="2"/>
      <c r="HCU9" s="2"/>
      <c r="HCV9" s="2"/>
      <c r="HCW9" s="2"/>
      <c r="HCX9" s="2"/>
      <c r="HCY9" s="2"/>
      <c r="HCZ9" s="2"/>
      <c r="HDA9" s="2"/>
      <c r="HDB9" s="2"/>
      <c r="HDC9" s="2"/>
      <c r="HDD9" s="2"/>
      <c r="HDE9" s="2"/>
      <c r="HDF9" s="2"/>
      <c r="HDG9" s="2"/>
      <c r="HDH9" s="2"/>
      <c r="HDI9" s="2"/>
      <c r="HDJ9" s="2"/>
      <c r="HDK9" s="2"/>
      <c r="HDL9" s="2"/>
      <c r="HDM9" s="2"/>
      <c r="HDN9" s="2"/>
      <c r="HDO9" s="2"/>
      <c r="HDP9" s="2"/>
      <c r="HDQ9" s="2"/>
      <c r="HDR9" s="2"/>
      <c r="HDS9" s="2"/>
      <c r="HDT9" s="2"/>
      <c r="HDU9" s="2"/>
      <c r="HDV9" s="2"/>
      <c r="HDW9" s="2"/>
      <c r="HDX9" s="2"/>
      <c r="HDY9" s="2"/>
      <c r="HDZ9" s="2"/>
      <c r="HEA9" s="2"/>
      <c r="HEB9" s="2"/>
      <c r="HEC9" s="2"/>
      <c r="HED9" s="2"/>
      <c r="HEE9" s="2"/>
      <c r="HEF9" s="2"/>
      <c r="HEG9" s="2"/>
      <c r="HEH9" s="2"/>
      <c r="HEI9" s="2"/>
      <c r="HEJ9" s="2"/>
      <c r="HEK9" s="2"/>
      <c r="HEL9" s="2"/>
      <c r="HEM9" s="2"/>
      <c r="HEN9" s="2"/>
      <c r="HEO9" s="2"/>
      <c r="HEP9" s="2"/>
      <c r="HEQ9" s="2"/>
      <c r="HER9" s="2"/>
      <c r="HES9" s="2"/>
      <c r="HET9" s="2"/>
      <c r="HEU9" s="2"/>
      <c r="HEV9" s="2"/>
      <c r="HEW9" s="2"/>
      <c r="HEX9" s="2"/>
      <c r="HEY9" s="2"/>
      <c r="HEZ9" s="2"/>
      <c r="HFA9" s="2"/>
      <c r="HFB9" s="2"/>
      <c r="HFC9" s="2"/>
      <c r="HFD9" s="2"/>
      <c r="HFE9" s="2"/>
      <c r="HFF9" s="2"/>
      <c r="HFG9" s="2"/>
      <c r="HFH9" s="2"/>
      <c r="HFI9" s="2"/>
      <c r="HFJ9" s="2"/>
      <c r="HFK9" s="2"/>
      <c r="HFL9" s="2"/>
      <c r="HFM9" s="2"/>
      <c r="HFN9" s="2"/>
      <c r="HFO9" s="2"/>
      <c r="HFP9" s="2"/>
      <c r="HFQ9" s="2"/>
      <c r="HFR9" s="2"/>
      <c r="HFS9" s="2"/>
      <c r="HFT9" s="2"/>
      <c r="HFU9" s="2"/>
      <c r="HFV9" s="2"/>
      <c r="HFW9" s="2"/>
      <c r="HFX9" s="2"/>
      <c r="HFY9" s="2"/>
      <c r="HFZ9" s="2"/>
      <c r="HGA9" s="2"/>
      <c r="HGB9" s="2"/>
      <c r="HGC9" s="2"/>
      <c r="HGD9" s="2"/>
      <c r="HGE9" s="2"/>
      <c r="HGF9" s="2"/>
      <c r="HGG9" s="2"/>
      <c r="HGH9" s="2"/>
      <c r="HGI9" s="2"/>
      <c r="HGJ9" s="2"/>
      <c r="HGK9" s="2"/>
      <c r="HGL9" s="2"/>
      <c r="HGM9" s="2"/>
      <c r="HGN9" s="2"/>
      <c r="HGO9" s="2"/>
      <c r="HGP9" s="2"/>
      <c r="HGQ9" s="2"/>
      <c r="HGR9" s="2"/>
      <c r="HGS9" s="2"/>
      <c r="HGT9" s="2"/>
      <c r="HGU9" s="2"/>
      <c r="HGV9" s="2"/>
      <c r="HGW9" s="2"/>
      <c r="HGX9" s="2"/>
      <c r="HGY9" s="2"/>
      <c r="HGZ9" s="2"/>
      <c r="HHA9" s="2"/>
      <c r="HHB9" s="2"/>
      <c r="HHC9" s="2"/>
      <c r="HHD9" s="2"/>
      <c r="HHE9" s="2"/>
      <c r="HHF9" s="2"/>
      <c r="HHG9" s="2"/>
      <c r="HHH9" s="2"/>
      <c r="HHI9" s="2"/>
      <c r="HHJ9" s="2"/>
      <c r="HHK9" s="2"/>
      <c r="HHL9" s="2"/>
      <c r="HHM9" s="2"/>
      <c r="HHN9" s="2"/>
      <c r="HHO9" s="2"/>
      <c r="HHP9" s="2"/>
      <c r="HHQ9" s="2"/>
      <c r="HHR9" s="2"/>
      <c r="HHS9" s="2"/>
      <c r="HHT9" s="2"/>
      <c r="HHU9" s="2"/>
      <c r="HHV9" s="2"/>
      <c r="HHW9" s="2"/>
      <c r="HHX9" s="2"/>
      <c r="HHY9" s="2"/>
      <c r="HHZ9" s="2"/>
      <c r="HIA9" s="2"/>
      <c r="HIB9" s="2"/>
      <c r="HIC9" s="2"/>
      <c r="HID9" s="2"/>
      <c r="HIE9" s="2"/>
      <c r="HIF9" s="2"/>
      <c r="HIG9" s="2"/>
      <c r="HIH9" s="2"/>
      <c r="HII9" s="2"/>
      <c r="HIJ9" s="2"/>
      <c r="HIK9" s="2"/>
      <c r="HIL9" s="2"/>
      <c r="HIM9" s="2"/>
      <c r="HIN9" s="2"/>
      <c r="HIO9" s="2"/>
      <c r="HIP9" s="2"/>
      <c r="HIQ9" s="2"/>
      <c r="HIR9" s="2"/>
      <c r="HIS9" s="2"/>
      <c r="HIT9" s="2"/>
      <c r="HIU9" s="2"/>
      <c r="HIV9" s="2"/>
      <c r="HIW9" s="2"/>
      <c r="HIX9" s="2"/>
      <c r="HIY9" s="2"/>
      <c r="HIZ9" s="2"/>
      <c r="HJA9" s="2"/>
      <c r="HJB9" s="2"/>
      <c r="HJC9" s="2"/>
      <c r="HJD9" s="2"/>
      <c r="HJE9" s="2"/>
      <c r="HJF9" s="2"/>
      <c r="HJG9" s="2"/>
      <c r="HJH9" s="2"/>
      <c r="HJI9" s="2"/>
      <c r="HJJ9" s="2"/>
      <c r="HJK9" s="2"/>
      <c r="HJL9" s="2"/>
      <c r="HJM9" s="2"/>
      <c r="HJN9" s="2"/>
      <c r="HJO9" s="2"/>
      <c r="HJP9" s="2"/>
      <c r="HJQ9" s="2"/>
      <c r="HJR9" s="2"/>
      <c r="HJS9" s="2"/>
      <c r="HJT9" s="2"/>
      <c r="HJU9" s="2"/>
      <c r="HJV9" s="2"/>
      <c r="HJW9" s="2"/>
      <c r="HJX9" s="2"/>
      <c r="HJY9" s="2"/>
      <c r="HJZ9" s="2"/>
      <c r="HKA9" s="2"/>
      <c r="HKB9" s="2"/>
      <c r="HKC9" s="2"/>
      <c r="HKD9" s="2"/>
      <c r="HKE9" s="2"/>
      <c r="HKF9" s="2"/>
      <c r="HKG9" s="2"/>
      <c r="HKH9" s="2"/>
      <c r="HKI9" s="2"/>
      <c r="HKJ9" s="2"/>
      <c r="HKK9" s="2"/>
      <c r="HKL9" s="2"/>
      <c r="HKM9" s="2"/>
      <c r="HKN9" s="2"/>
      <c r="HKO9" s="2"/>
      <c r="HKP9" s="2"/>
      <c r="HKQ9" s="2"/>
      <c r="HKR9" s="2"/>
      <c r="HKS9" s="2"/>
      <c r="HKT9" s="2"/>
      <c r="HKU9" s="2"/>
      <c r="HKV9" s="2"/>
      <c r="HKW9" s="2"/>
      <c r="HKX9" s="2"/>
      <c r="HKY9" s="2"/>
      <c r="HKZ9" s="2"/>
      <c r="HLA9" s="2"/>
      <c r="HLB9" s="2"/>
      <c r="HLC9" s="2"/>
      <c r="HLD9" s="2"/>
      <c r="HLE9" s="2"/>
      <c r="HLF9" s="2"/>
      <c r="HLG9" s="2"/>
      <c r="HLH9" s="2"/>
      <c r="HLI9" s="2"/>
      <c r="HLJ9" s="2"/>
      <c r="HLK9" s="2"/>
      <c r="HLL9" s="2"/>
      <c r="HLM9" s="2"/>
      <c r="HLN9" s="2"/>
      <c r="HLO9" s="2"/>
      <c r="HLP9" s="2"/>
      <c r="HLQ9" s="2"/>
      <c r="HLR9" s="2"/>
      <c r="HLS9" s="2"/>
      <c r="HLT9" s="2"/>
      <c r="HLU9" s="2"/>
      <c r="HLV9" s="2"/>
      <c r="HLW9" s="2"/>
      <c r="HLX9" s="2"/>
      <c r="HLY9" s="2"/>
      <c r="HLZ9" s="2"/>
      <c r="HMA9" s="2"/>
      <c r="HMB9" s="2"/>
      <c r="HMC9" s="2"/>
      <c r="HMD9" s="2"/>
      <c r="HME9" s="2"/>
      <c r="HMF9" s="2"/>
      <c r="HMG9" s="2"/>
      <c r="HMH9" s="2"/>
      <c r="HMI9" s="2"/>
      <c r="HMJ9" s="2"/>
      <c r="HMK9" s="2"/>
      <c r="HML9" s="2"/>
      <c r="HMM9" s="2"/>
      <c r="HMN9" s="2"/>
      <c r="HMO9" s="2"/>
      <c r="HMP9" s="2"/>
      <c r="HMQ9" s="2"/>
      <c r="HMR9" s="2"/>
      <c r="HMS9" s="2"/>
      <c r="HMT9" s="2"/>
      <c r="HMU9" s="2"/>
      <c r="HMV9" s="2"/>
      <c r="HMW9" s="2"/>
      <c r="HMX9" s="2"/>
      <c r="HMY9" s="2"/>
      <c r="HMZ9" s="2"/>
      <c r="HNA9" s="2"/>
      <c r="HNB9" s="2"/>
      <c r="HNC9" s="2"/>
      <c r="HND9" s="2"/>
      <c r="HNE9" s="2"/>
      <c r="HNF9" s="2"/>
      <c r="HNG9" s="2"/>
      <c r="HNH9" s="2"/>
      <c r="HNI9" s="2"/>
      <c r="HNJ9" s="2"/>
      <c r="HNK9" s="2"/>
      <c r="HNL9" s="2"/>
      <c r="HNM9" s="2"/>
      <c r="HNN9" s="2"/>
      <c r="HNO9" s="2"/>
      <c r="HNP9" s="2"/>
      <c r="HNQ9" s="2"/>
      <c r="HNR9" s="2"/>
      <c r="HNS9" s="2"/>
      <c r="HNT9" s="2"/>
      <c r="HNU9" s="2"/>
      <c r="HNV9" s="2"/>
      <c r="HNW9" s="2"/>
      <c r="HNX9" s="2"/>
      <c r="HNY9" s="2"/>
      <c r="HNZ9" s="2"/>
      <c r="HOA9" s="2"/>
      <c r="HOB9" s="2"/>
      <c r="HOC9" s="2"/>
      <c r="HOD9" s="2"/>
      <c r="HOE9" s="2"/>
      <c r="HOF9" s="2"/>
      <c r="HOG9" s="2"/>
      <c r="HOH9" s="2"/>
      <c r="HOI9" s="2"/>
      <c r="HOJ9" s="2"/>
      <c r="HOK9" s="2"/>
      <c r="HOL9" s="2"/>
      <c r="HOM9" s="2"/>
      <c r="HON9" s="2"/>
      <c r="HOO9" s="2"/>
      <c r="HOP9" s="2"/>
      <c r="HOQ9" s="2"/>
      <c r="HOR9" s="2"/>
      <c r="HOS9" s="2"/>
      <c r="HOT9" s="2"/>
      <c r="HOU9" s="2"/>
      <c r="HOV9" s="2"/>
      <c r="HOW9" s="2"/>
      <c r="HOX9" s="2"/>
      <c r="HOY9" s="2"/>
      <c r="HOZ9" s="2"/>
      <c r="HPA9" s="2"/>
      <c r="HPB9" s="2"/>
      <c r="HPC9" s="2"/>
      <c r="HPD9" s="2"/>
      <c r="HPE9" s="2"/>
      <c r="HPF9" s="2"/>
      <c r="HPG9" s="2"/>
      <c r="HPH9" s="2"/>
      <c r="HPI9" s="2"/>
      <c r="HPJ9" s="2"/>
      <c r="HPK9" s="2"/>
      <c r="HPL9" s="2"/>
      <c r="HPM9" s="2"/>
      <c r="HPN9" s="2"/>
      <c r="HPO9" s="2"/>
      <c r="HPP9" s="2"/>
      <c r="HPQ9" s="2"/>
      <c r="HPR9" s="2"/>
      <c r="HPS9" s="2"/>
      <c r="HPT9" s="2"/>
      <c r="HPU9" s="2"/>
      <c r="HPV9" s="2"/>
      <c r="HPW9" s="2"/>
      <c r="HPX9" s="2"/>
      <c r="HPY9" s="2"/>
      <c r="HPZ9" s="2"/>
      <c r="HQA9" s="2"/>
      <c r="HQB9" s="2"/>
      <c r="HQC9" s="2"/>
      <c r="HQD9" s="2"/>
      <c r="HQE9" s="2"/>
      <c r="HQF9" s="2"/>
      <c r="HQG9" s="2"/>
      <c r="HQH9" s="2"/>
      <c r="HQI9" s="2"/>
      <c r="HQJ9" s="2"/>
      <c r="HQK9" s="2"/>
      <c r="HQL9" s="2"/>
      <c r="HQM9" s="2"/>
      <c r="HQN9" s="2"/>
      <c r="HQO9" s="2"/>
      <c r="HQP9" s="2"/>
      <c r="HQQ9" s="2"/>
      <c r="HQR9" s="2"/>
      <c r="HQS9" s="2"/>
      <c r="HQT9" s="2"/>
      <c r="HQU9" s="2"/>
      <c r="HQV9" s="2"/>
      <c r="HQW9" s="2"/>
      <c r="HQX9" s="2"/>
      <c r="HQY9" s="2"/>
      <c r="HQZ9" s="2"/>
      <c r="HRA9" s="2"/>
      <c r="HRB9" s="2"/>
      <c r="HRC9" s="2"/>
      <c r="HRD9" s="2"/>
      <c r="HRE9" s="2"/>
      <c r="HRF9" s="2"/>
      <c r="HRG9" s="2"/>
      <c r="HRH9" s="2"/>
      <c r="HRI9" s="2"/>
      <c r="HRJ9" s="2"/>
      <c r="HRK9" s="2"/>
      <c r="HRL9" s="2"/>
      <c r="HRM9" s="2"/>
      <c r="HRN9" s="2"/>
      <c r="HRO9" s="2"/>
      <c r="HRP9" s="2"/>
      <c r="HRQ9" s="2"/>
      <c r="HRR9" s="2"/>
      <c r="HRS9" s="2"/>
      <c r="HRT9" s="2"/>
      <c r="HRU9" s="2"/>
      <c r="HRV9" s="2"/>
      <c r="HRW9" s="2"/>
      <c r="HRX9" s="2"/>
      <c r="HRY9" s="2"/>
      <c r="HRZ9" s="2"/>
      <c r="HSA9" s="2"/>
      <c r="HSB9" s="2"/>
      <c r="HSC9" s="2"/>
      <c r="HSD9" s="2"/>
      <c r="HSE9" s="2"/>
      <c r="HSF9" s="2"/>
      <c r="HSG9" s="2"/>
      <c r="HSH9" s="2"/>
      <c r="HSI9" s="2"/>
      <c r="HSJ9" s="2"/>
      <c r="HSK9" s="2"/>
      <c r="HSL9" s="2"/>
      <c r="HSM9" s="2"/>
      <c r="HSN9" s="2"/>
      <c r="HSO9" s="2"/>
      <c r="HSP9" s="2"/>
      <c r="HSQ9" s="2"/>
      <c r="HSR9" s="2"/>
      <c r="HSS9" s="2"/>
      <c r="HST9" s="2"/>
      <c r="HSU9" s="2"/>
      <c r="HSV9" s="2"/>
      <c r="HSW9" s="2"/>
      <c r="HSX9" s="2"/>
      <c r="HSY9" s="2"/>
      <c r="HSZ9" s="2"/>
      <c r="HTA9" s="2"/>
      <c r="HTB9" s="2"/>
      <c r="HTC9" s="2"/>
      <c r="HTD9" s="2"/>
      <c r="HTE9" s="2"/>
      <c r="HTF9" s="2"/>
      <c r="HTG9" s="2"/>
      <c r="HTH9" s="2"/>
      <c r="HTI9" s="2"/>
      <c r="HTJ9" s="2"/>
      <c r="HTK9" s="2"/>
      <c r="HTL9" s="2"/>
      <c r="HTM9" s="2"/>
      <c r="HTN9" s="2"/>
      <c r="HTO9" s="2"/>
      <c r="HTP9" s="2"/>
      <c r="HTQ9" s="2"/>
      <c r="HTR9" s="2"/>
      <c r="HTS9" s="2"/>
      <c r="HTT9" s="2"/>
      <c r="HTU9" s="2"/>
      <c r="HTV9" s="2"/>
      <c r="HTW9" s="2"/>
      <c r="HTX9" s="2"/>
      <c r="HTY9" s="2"/>
      <c r="HTZ9" s="2"/>
      <c r="HUA9" s="2"/>
      <c r="HUB9" s="2"/>
      <c r="HUC9" s="2"/>
      <c r="HUD9" s="2"/>
      <c r="HUE9" s="2"/>
      <c r="HUF9" s="2"/>
      <c r="HUG9" s="2"/>
      <c r="HUH9" s="2"/>
      <c r="HUI9" s="2"/>
      <c r="HUJ9" s="2"/>
      <c r="HUK9" s="2"/>
      <c r="HUL9" s="2"/>
      <c r="HUM9" s="2"/>
      <c r="HUN9" s="2"/>
      <c r="HUO9" s="2"/>
      <c r="HUP9" s="2"/>
      <c r="HUQ9" s="2"/>
      <c r="HUR9" s="2"/>
      <c r="HUS9" s="2"/>
      <c r="HUT9" s="2"/>
      <c r="HUU9" s="2"/>
      <c r="HUV9" s="2"/>
      <c r="HUW9" s="2"/>
      <c r="HUX9" s="2"/>
      <c r="HUY9" s="2"/>
      <c r="HUZ9" s="2"/>
      <c r="HVA9" s="2"/>
      <c r="HVB9" s="2"/>
      <c r="HVC9" s="2"/>
      <c r="HVD9" s="2"/>
      <c r="HVE9" s="2"/>
      <c r="HVF9" s="2"/>
      <c r="HVG9" s="2"/>
      <c r="HVH9" s="2"/>
      <c r="HVI9" s="2"/>
      <c r="HVJ9" s="2"/>
      <c r="HVK9" s="2"/>
      <c r="HVL9" s="2"/>
      <c r="HVM9" s="2"/>
      <c r="HVN9" s="2"/>
      <c r="HVO9" s="2"/>
      <c r="HVP9" s="2"/>
      <c r="HVQ9" s="2"/>
      <c r="HVR9" s="2"/>
      <c r="HVS9" s="2"/>
      <c r="HVT9" s="2"/>
      <c r="HVU9" s="2"/>
      <c r="HVV9" s="2"/>
      <c r="HVW9" s="2"/>
      <c r="HVX9" s="2"/>
      <c r="HVY9" s="2"/>
      <c r="HVZ9" s="2"/>
      <c r="HWA9" s="2"/>
      <c r="HWB9" s="2"/>
      <c r="HWC9" s="2"/>
      <c r="HWD9" s="2"/>
      <c r="HWE9" s="2"/>
      <c r="HWF9" s="2"/>
      <c r="HWG9" s="2"/>
      <c r="HWH9" s="2"/>
      <c r="HWI9" s="2"/>
      <c r="HWJ9" s="2"/>
      <c r="HWK9" s="2"/>
      <c r="HWL9" s="2"/>
      <c r="HWM9" s="2"/>
      <c r="HWN9" s="2"/>
      <c r="HWO9" s="2"/>
      <c r="HWP9" s="2"/>
      <c r="HWQ9" s="2"/>
      <c r="HWR9" s="2"/>
      <c r="HWS9" s="2"/>
      <c r="HWT9" s="2"/>
      <c r="HWU9" s="2"/>
      <c r="HWV9" s="2"/>
      <c r="HWW9" s="2"/>
      <c r="HWX9" s="2"/>
      <c r="HWY9" s="2"/>
      <c r="HWZ9" s="2"/>
      <c r="HXA9" s="2"/>
      <c r="HXB9" s="2"/>
      <c r="HXC9" s="2"/>
      <c r="HXD9" s="2"/>
      <c r="HXE9" s="2"/>
      <c r="HXF9" s="2"/>
      <c r="HXG9" s="2"/>
      <c r="HXH9" s="2"/>
      <c r="HXI9" s="2"/>
      <c r="HXJ9" s="2"/>
      <c r="HXK9" s="2"/>
      <c r="HXL9" s="2"/>
      <c r="HXM9" s="2"/>
      <c r="HXN9" s="2"/>
      <c r="HXO9" s="2"/>
      <c r="HXP9" s="2"/>
      <c r="HXQ9" s="2"/>
      <c r="HXR9" s="2"/>
      <c r="HXS9" s="2"/>
      <c r="HXT9" s="2"/>
      <c r="HXU9" s="2"/>
      <c r="HXV9" s="2"/>
      <c r="HXW9" s="2"/>
      <c r="HXX9" s="2"/>
      <c r="HXY9" s="2"/>
      <c r="HXZ9" s="2"/>
      <c r="HYA9" s="2"/>
      <c r="HYB9" s="2"/>
      <c r="HYC9" s="2"/>
      <c r="HYD9" s="2"/>
      <c r="HYE9" s="2"/>
      <c r="HYF9" s="2"/>
      <c r="HYG9" s="2"/>
      <c r="HYH9" s="2"/>
      <c r="HYI9" s="2"/>
      <c r="HYJ9" s="2"/>
      <c r="HYK9" s="2"/>
      <c r="HYL9" s="2"/>
      <c r="HYM9" s="2"/>
      <c r="HYN9" s="2"/>
      <c r="HYO9" s="2"/>
      <c r="HYP9" s="2"/>
      <c r="HYQ9" s="2"/>
      <c r="HYR9" s="2"/>
      <c r="HYS9" s="2"/>
      <c r="HYT9" s="2"/>
      <c r="HYU9" s="2"/>
      <c r="HYV9" s="2"/>
      <c r="HYW9" s="2"/>
      <c r="HYX9" s="2"/>
      <c r="HYY9" s="2"/>
      <c r="HYZ9" s="2"/>
      <c r="HZA9" s="2"/>
      <c r="HZB9" s="2"/>
      <c r="HZC9" s="2"/>
      <c r="HZD9" s="2"/>
      <c r="HZE9" s="2"/>
      <c r="HZF9" s="2"/>
      <c r="HZG9" s="2"/>
      <c r="HZH9" s="2"/>
      <c r="HZI9" s="2"/>
      <c r="HZJ9" s="2"/>
      <c r="HZK9" s="2"/>
      <c r="HZL9" s="2"/>
      <c r="HZM9" s="2"/>
      <c r="HZN9" s="2"/>
      <c r="HZO9" s="2"/>
      <c r="HZP9" s="2"/>
      <c r="HZQ9" s="2"/>
      <c r="HZR9" s="2"/>
      <c r="HZS9" s="2"/>
      <c r="HZT9" s="2"/>
      <c r="HZU9" s="2"/>
      <c r="HZV9" s="2"/>
      <c r="HZW9" s="2"/>
      <c r="HZX9" s="2"/>
      <c r="HZY9" s="2"/>
      <c r="HZZ9" s="2"/>
      <c r="IAA9" s="2"/>
      <c r="IAB9" s="2"/>
      <c r="IAC9" s="2"/>
      <c r="IAD9" s="2"/>
      <c r="IAE9" s="2"/>
      <c r="IAF9" s="2"/>
      <c r="IAG9" s="2"/>
      <c r="IAH9" s="2"/>
      <c r="IAI9" s="2"/>
      <c r="IAJ9" s="2"/>
      <c r="IAK9" s="2"/>
      <c r="IAL9" s="2"/>
      <c r="IAM9" s="2"/>
      <c r="IAN9" s="2"/>
      <c r="IAO9" s="2"/>
      <c r="IAP9" s="2"/>
      <c r="IAQ9" s="2"/>
      <c r="IAR9" s="2"/>
      <c r="IAS9" s="2"/>
      <c r="IAT9" s="2"/>
      <c r="IAU9" s="2"/>
      <c r="IAV9" s="2"/>
      <c r="IAW9" s="2"/>
      <c r="IAX9" s="2"/>
      <c r="IAY9" s="2"/>
      <c r="IAZ9" s="2"/>
      <c r="IBA9" s="2"/>
      <c r="IBB9" s="2"/>
      <c r="IBC9" s="2"/>
      <c r="IBD9" s="2"/>
      <c r="IBE9" s="2"/>
      <c r="IBF9" s="2"/>
      <c r="IBG9" s="2"/>
      <c r="IBH9" s="2"/>
      <c r="IBI9" s="2"/>
      <c r="IBJ9" s="2"/>
      <c r="IBK9" s="2"/>
      <c r="IBL9" s="2"/>
      <c r="IBM9" s="2"/>
      <c r="IBN9" s="2"/>
      <c r="IBO9" s="2"/>
      <c r="IBP9" s="2"/>
      <c r="IBQ9" s="2"/>
      <c r="IBR9" s="2"/>
      <c r="IBS9" s="2"/>
      <c r="IBT9" s="2"/>
      <c r="IBU9" s="2"/>
      <c r="IBV9" s="2"/>
      <c r="IBW9" s="2"/>
      <c r="IBX9" s="2"/>
      <c r="IBY9" s="2"/>
      <c r="IBZ9" s="2"/>
      <c r="ICA9" s="2"/>
      <c r="ICB9" s="2"/>
      <c r="ICC9" s="2"/>
      <c r="ICD9" s="2"/>
      <c r="ICE9" s="2"/>
      <c r="ICF9" s="2"/>
      <c r="ICG9" s="2"/>
      <c r="ICH9" s="2"/>
      <c r="ICI9" s="2"/>
      <c r="ICJ9" s="2"/>
      <c r="ICK9" s="2"/>
      <c r="ICL9" s="2"/>
      <c r="ICM9" s="2"/>
      <c r="ICN9" s="2"/>
      <c r="ICO9" s="2"/>
      <c r="ICP9" s="2"/>
      <c r="ICQ9" s="2"/>
      <c r="ICR9" s="2"/>
      <c r="ICS9" s="2"/>
      <c r="ICT9" s="2"/>
      <c r="ICU9" s="2"/>
      <c r="ICV9" s="2"/>
      <c r="ICW9" s="2"/>
      <c r="ICX9" s="2"/>
      <c r="ICY9" s="2"/>
      <c r="ICZ9" s="2"/>
      <c r="IDA9" s="2"/>
      <c r="IDB9" s="2"/>
      <c r="IDC9" s="2"/>
      <c r="IDD9" s="2"/>
      <c r="IDE9" s="2"/>
      <c r="IDF9" s="2"/>
      <c r="IDG9" s="2"/>
      <c r="IDH9" s="2"/>
      <c r="IDI9" s="2"/>
      <c r="IDJ9" s="2"/>
      <c r="IDK9" s="2"/>
      <c r="IDL9" s="2"/>
      <c r="IDM9" s="2"/>
      <c r="IDN9" s="2"/>
      <c r="IDO9" s="2"/>
      <c r="IDP9" s="2"/>
      <c r="IDQ9" s="2"/>
      <c r="IDR9" s="2"/>
      <c r="IDS9" s="2"/>
      <c r="IDT9" s="2"/>
      <c r="IDU9" s="2"/>
      <c r="IDV9" s="2"/>
      <c r="IDW9" s="2"/>
      <c r="IDX9" s="2"/>
      <c r="IDY9" s="2"/>
      <c r="IDZ9" s="2"/>
      <c r="IEA9" s="2"/>
      <c r="IEB9" s="2"/>
      <c r="IEC9" s="2"/>
      <c r="IED9" s="2"/>
      <c r="IEE9" s="2"/>
      <c r="IEF9" s="2"/>
      <c r="IEG9" s="2"/>
      <c r="IEH9" s="2"/>
      <c r="IEI9" s="2"/>
      <c r="IEJ9" s="2"/>
      <c r="IEK9" s="2"/>
      <c r="IEL9" s="2"/>
      <c r="IEM9" s="2"/>
      <c r="IEN9" s="2"/>
      <c r="IEO9" s="2"/>
      <c r="IEP9" s="2"/>
      <c r="IEQ9" s="2"/>
      <c r="IER9" s="2"/>
      <c r="IES9" s="2"/>
      <c r="IET9" s="2"/>
      <c r="IEU9" s="2"/>
      <c r="IEV9" s="2"/>
      <c r="IEW9" s="2"/>
      <c r="IEX9" s="2"/>
      <c r="IEY9" s="2"/>
      <c r="IEZ9" s="2"/>
      <c r="IFA9" s="2"/>
      <c r="IFB9" s="2"/>
      <c r="IFC9" s="2"/>
      <c r="IFD9" s="2"/>
      <c r="IFE9" s="2"/>
      <c r="IFF9" s="2"/>
      <c r="IFG9" s="2"/>
      <c r="IFH9" s="2"/>
      <c r="IFI9" s="2"/>
      <c r="IFJ9" s="2"/>
      <c r="IFK9" s="2"/>
      <c r="IFL9" s="2"/>
      <c r="IFM9" s="2"/>
      <c r="IFN9" s="2"/>
      <c r="IFO9" s="2"/>
      <c r="IFP9" s="2"/>
      <c r="IFQ9" s="2"/>
      <c r="IFR9" s="2"/>
      <c r="IFS9" s="2"/>
      <c r="IFT9" s="2"/>
      <c r="IFU9" s="2"/>
      <c r="IFV9" s="2"/>
      <c r="IFW9" s="2"/>
      <c r="IFX9" s="2"/>
      <c r="IFY9" s="2"/>
      <c r="IFZ9" s="2"/>
      <c r="IGA9" s="2"/>
      <c r="IGB9" s="2"/>
      <c r="IGC9" s="2"/>
      <c r="IGD9" s="2"/>
      <c r="IGE9" s="2"/>
      <c r="IGF9" s="2"/>
      <c r="IGG9" s="2"/>
      <c r="IGH9" s="2"/>
      <c r="IGI9" s="2"/>
      <c r="IGJ9" s="2"/>
      <c r="IGK9" s="2"/>
      <c r="IGL9" s="2"/>
      <c r="IGM9" s="2"/>
      <c r="IGN9" s="2"/>
      <c r="IGO9" s="2"/>
      <c r="IGP9" s="2"/>
      <c r="IGQ9" s="2"/>
      <c r="IGR9" s="2"/>
      <c r="IGS9" s="2"/>
      <c r="IGT9" s="2"/>
      <c r="IGU9" s="2"/>
      <c r="IGV9" s="2"/>
      <c r="IGW9" s="2"/>
      <c r="IGX9" s="2"/>
      <c r="IGY9" s="2"/>
      <c r="IGZ9" s="2"/>
      <c r="IHA9" s="2"/>
      <c r="IHB9" s="2"/>
      <c r="IHC9" s="2"/>
      <c r="IHD9" s="2"/>
      <c r="IHE9" s="2"/>
      <c r="IHF9" s="2"/>
      <c r="IHG9" s="2"/>
      <c r="IHH9" s="2"/>
      <c r="IHI9" s="2"/>
      <c r="IHJ9" s="2"/>
      <c r="IHK9" s="2"/>
      <c r="IHL9" s="2"/>
      <c r="IHM9" s="2"/>
      <c r="IHN9" s="2"/>
      <c r="IHO9" s="2"/>
      <c r="IHP9" s="2"/>
      <c r="IHQ9" s="2"/>
      <c r="IHR9" s="2"/>
      <c r="IHS9" s="2"/>
      <c r="IHT9" s="2"/>
      <c r="IHU9" s="2"/>
      <c r="IHV9" s="2"/>
      <c r="IHW9" s="2"/>
      <c r="IHX9" s="2"/>
      <c r="IHY9" s="2"/>
      <c r="IHZ9" s="2"/>
      <c r="IIA9" s="2"/>
      <c r="IIB9" s="2"/>
      <c r="IIC9" s="2"/>
      <c r="IID9" s="2"/>
      <c r="IIE9" s="2"/>
      <c r="IIF9" s="2"/>
      <c r="IIG9" s="2"/>
      <c r="IIH9" s="2"/>
      <c r="III9" s="2"/>
      <c r="IIJ9" s="2"/>
      <c r="IIK9" s="2"/>
      <c r="IIL9" s="2"/>
      <c r="IIM9" s="2"/>
      <c r="IIN9" s="2"/>
      <c r="IIO9" s="2"/>
      <c r="IIP9" s="2"/>
      <c r="IIQ9" s="2"/>
      <c r="IIR9" s="2"/>
      <c r="IIS9" s="2"/>
      <c r="IIT9" s="2"/>
      <c r="IIU9" s="2"/>
      <c r="IIV9" s="2"/>
      <c r="IIW9" s="2"/>
      <c r="IIX9" s="2"/>
      <c r="IIY9" s="2"/>
      <c r="IIZ9" s="2"/>
      <c r="IJA9" s="2"/>
      <c r="IJB9" s="2"/>
      <c r="IJC9" s="2"/>
      <c r="IJD9" s="2"/>
      <c r="IJE9" s="2"/>
      <c r="IJF9" s="2"/>
      <c r="IJG9" s="2"/>
      <c r="IJH9" s="2"/>
      <c r="IJI9" s="2"/>
      <c r="IJJ9" s="2"/>
      <c r="IJK9" s="2"/>
      <c r="IJL9" s="2"/>
      <c r="IJM9" s="2"/>
      <c r="IJN9" s="2"/>
      <c r="IJO9" s="2"/>
      <c r="IJP9" s="2"/>
      <c r="IJQ9" s="2"/>
      <c r="IJR9" s="2"/>
      <c r="IJS9" s="2"/>
      <c r="IJT9" s="2"/>
      <c r="IJU9" s="2"/>
      <c r="IJV9" s="2"/>
      <c r="IJW9" s="2"/>
      <c r="IJX9" s="2"/>
      <c r="IJY9" s="2"/>
      <c r="IJZ9" s="2"/>
      <c r="IKA9" s="2"/>
      <c r="IKB9" s="2"/>
      <c r="IKC9" s="2"/>
      <c r="IKD9" s="2"/>
      <c r="IKE9" s="2"/>
      <c r="IKF9" s="2"/>
      <c r="IKG9" s="2"/>
      <c r="IKH9" s="2"/>
      <c r="IKI9" s="2"/>
      <c r="IKJ9" s="2"/>
      <c r="IKK9" s="2"/>
      <c r="IKL9" s="2"/>
      <c r="IKM9" s="2"/>
      <c r="IKN9" s="2"/>
      <c r="IKO9" s="2"/>
      <c r="IKP9" s="2"/>
      <c r="IKQ9" s="2"/>
      <c r="IKR9" s="2"/>
      <c r="IKS9" s="2"/>
      <c r="IKT9" s="2"/>
      <c r="IKU9" s="2"/>
      <c r="IKV9" s="2"/>
      <c r="IKW9" s="2"/>
      <c r="IKX9" s="2"/>
      <c r="IKY9" s="2"/>
      <c r="IKZ9" s="2"/>
      <c r="ILA9" s="2"/>
      <c r="ILB9" s="2"/>
      <c r="ILC9" s="2"/>
      <c r="ILD9" s="2"/>
      <c r="ILE9" s="2"/>
      <c r="ILF9" s="2"/>
      <c r="ILG9" s="2"/>
      <c r="ILH9" s="2"/>
      <c r="ILI9" s="2"/>
      <c r="ILJ9" s="2"/>
      <c r="ILK9" s="2"/>
      <c r="ILL9" s="2"/>
      <c r="ILM9" s="2"/>
      <c r="ILN9" s="2"/>
      <c r="ILO9" s="2"/>
      <c r="ILP9" s="2"/>
      <c r="ILQ9" s="2"/>
      <c r="ILR9" s="2"/>
      <c r="ILS9" s="2"/>
      <c r="ILT9" s="2"/>
      <c r="ILU9" s="2"/>
      <c r="ILV9" s="2"/>
      <c r="ILW9" s="2"/>
      <c r="ILX9" s="2"/>
      <c r="ILY9" s="2"/>
      <c r="ILZ9" s="2"/>
      <c r="IMA9" s="2"/>
      <c r="IMB9" s="2"/>
      <c r="IMC9" s="2"/>
      <c r="IMD9" s="2"/>
      <c r="IME9" s="2"/>
      <c r="IMF9" s="2"/>
      <c r="IMG9" s="2"/>
      <c r="IMH9" s="2"/>
      <c r="IMI9" s="2"/>
      <c r="IMJ9" s="2"/>
      <c r="IMK9" s="2"/>
      <c r="IML9" s="2"/>
      <c r="IMM9" s="2"/>
      <c r="IMN9" s="2"/>
      <c r="IMO9" s="2"/>
      <c r="IMP9" s="2"/>
      <c r="IMQ9" s="2"/>
      <c r="IMR9" s="2"/>
      <c r="IMS9" s="2"/>
      <c r="IMT9" s="2"/>
      <c r="IMU9" s="2"/>
      <c r="IMV9" s="2"/>
      <c r="IMW9" s="2"/>
      <c r="IMX9" s="2"/>
      <c r="IMY9" s="2"/>
      <c r="IMZ9" s="2"/>
      <c r="INA9" s="2"/>
      <c r="INB9" s="2"/>
      <c r="INC9" s="2"/>
      <c r="IND9" s="2"/>
      <c r="INE9" s="2"/>
      <c r="INF9" s="2"/>
      <c r="ING9" s="2"/>
      <c r="INH9" s="2"/>
      <c r="INI9" s="2"/>
      <c r="INJ9" s="2"/>
      <c r="INK9" s="2"/>
      <c r="INL9" s="2"/>
      <c r="INM9" s="2"/>
      <c r="INN9" s="2"/>
      <c r="INO9" s="2"/>
      <c r="INP9" s="2"/>
      <c r="INQ9" s="2"/>
      <c r="INR9" s="2"/>
      <c r="INS9" s="2"/>
      <c r="INT9" s="2"/>
      <c r="INU9" s="2"/>
      <c r="INV9" s="2"/>
      <c r="INW9" s="2"/>
      <c r="INX9" s="2"/>
      <c r="INY9" s="2"/>
      <c r="INZ9" s="2"/>
      <c r="IOA9" s="2"/>
      <c r="IOB9" s="2"/>
      <c r="IOC9" s="2"/>
      <c r="IOD9" s="2"/>
      <c r="IOE9" s="2"/>
      <c r="IOF9" s="2"/>
      <c r="IOG9" s="2"/>
      <c r="IOH9" s="2"/>
      <c r="IOI9" s="2"/>
      <c r="IOJ9" s="2"/>
      <c r="IOK9" s="2"/>
      <c r="IOL9" s="2"/>
      <c r="IOM9" s="2"/>
      <c r="ION9" s="2"/>
      <c r="IOO9" s="2"/>
      <c r="IOP9" s="2"/>
      <c r="IOQ9" s="2"/>
      <c r="IOR9" s="2"/>
      <c r="IOS9" s="2"/>
      <c r="IOT9" s="2"/>
      <c r="IOU9" s="2"/>
      <c r="IOV9" s="2"/>
      <c r="IOW9" s="2"/>
      <c r="IOX9" s="2"/>
      <c r="IOY9" s="2"/>
      <c r="IOZ9" s="2"/>
      <c r="IPA9" s="2"/>
      <c r="IPB9" s="2"/>
      <c r="IPC9" s="2"/>
      <c r="IPD9" s="2"/>
      <c r="IPE9" s="2"/>
      <c r="IPF9" s="2"/>
      <c r="IPG9" s="2"/>
      <c r="IPH9" s="2"/>
      <c r="IPI9" s="2"/>
      <c r="IPJ9" s="2"/>
      <c r="IPK9" s="2"/>
      <c r="IPL9" s="2"/>
      <c r="IPM9" s="2"/>
      <c r="IPN9" s="2"/>
      <c r="IPO9" s="2"/>
      <c r="IPP9" s="2"/>
      <c r="IPQ9" s="2"/>
      <c r="IPR9" s="2"/>
      <c r="IPS9" s="2"/>
      <c r="IPT9" s="2"/>
      <c r="IPU9" s="2"/>
      <c r="IPV9" s="2"/>
      <c r="IPW9" s="2"/>
      <c r="IPX9" s="2"/>
      <c r="IPY9" s="2"/>
      <c r="IPZ9" s="2"/>
      <c r="IQA9" s="2"/>
      <c r="IQB9" s="2"/>
      <c r="IQC9" s="2"/>
      <c r="IQD9" s="2"/>
      <c r="IQE9" s="2"/>
      <c r="IQF9" s="2"/>
      <c r="IQG9" s="2"/>
      <c r="IQH9" s="2"/>
      <c r="IQI9" s="2"/>
      <c r="IQJ9" s="2"/>
      <c r="IQK9" s="2"/>
      <c r="IQL9" s="2"/>
      <c r="IQM9" s="2"/>
      <c r="IQN9" s="2"/>
      <c r="IQO9" s="2"/>
      <c r="IQP9" s="2"/>
      <c r="IQQ9" s="2"/>
      <c r="IQR9" s="2"/>
      <c r="IQS9" s="2"/>
      <c r="IQT9" s="2"/>
      <c r="IQU9" s="2"/>
      <c r="IQV9" s="2"/>
      <c r="IQW9" s="2"/>
      <c r="IQX9" s="2"/>
      <c r="IQY9" s="2"/>
      <c r="IQZ9" s="2"/>
      <c r="IRA9" s="2"/>
      <c r="IRB9" s="2"/>
      <c r="IRC9" s="2"/>
      <c r="IRD9" s="2"/>
      <c r="IRE9" s="2"/>
      <c r="IRF9" s="2"/>
      <c r="IRG9" s="2"/>
      <c r="IRH9" s="2"/>
      <c r="IRI9" s="2"/>
      <c r="IRJ9" s="2"/>
      <c r="IRK9" s="2"/>
      <c r="IRL9" s="2"/>
      <c r="IRM9" s="2"/>
      <c r="IRN9" s="2"/>
      <c r="IRO9" s="2"/>
      <c r="IRP9" s="2"/>
      <c r="IRQ9" s="2"/>
      <c r="IRR9" s="2"/>
      <c r="IRS9" s="2"/>
      <c r="IRT9" s="2"/>
      <c r="IRU9" s="2"/>
      <c r="IRV9" s="2"/>
      <c r="IRW9" s="2"/>
      <c r="IRX9" s="2"/>
      <c r="IRY9" s="2"/>
      <c r="IRZ9" s="2"/>
      <c r="ISA9" s="2"/>
      <c r="ISB9" s="2"/>
      <c r="ISC9" s="2"/>
      <c r="ISD9" s="2"/>
      <c r="ISE9" s="2"/>
      <c r="ISF9" s="2"/>
      <c r="ISG9" s="2"/>
      <c r="ISH9" s="2"/>
      <c r="ISI9" s="2"/>
      <c r="ISJ9" s="2"/>
      <c r="ISK9" s="2"/>
      <c r="ISL9" s="2"/>
      <c r="ISM9" s="2"/>
      <c r="ISN9" s="2"/>
      <c r="ISO9" s="2"/>
      <c r="ISP9" s="2"/>
      <c r="ISQ9" s="2"/>
      <c r="ISR9" s="2"/>
      <c r="ISS9" s="2"/>
      <c r="IST9" s="2"/>
      <c r="ISU9" s="2"/>
      <c r="ISV9" s="2"/>
      <c r="ISW9" s="2"/>
      <c r="ISX9" s="2"/>
      <c r="ISY9" s="2"/>
      <c r="ISZ9" s="2"/>
      <c r="ITA9" s="2"/>
      <c r="ITB9" s="2"/>
      <c r="ITC9" s="2"/>
      <c r="ITD9" s="2"/>
      <c r="ITE9" s="2"/>
      <c r="ITF9" s="2"/>
      <c r="ITG9" s="2"/>
      <c r="ITH9" s="2"/>
      <c r="ITI9" s="2"/>
      <c r="ITJ9" s="2"/>
      <c r="ITK9" s="2"/>
      <c r="ITL9" s="2"/>
      <c r="ITM9" s="2"/>
      <c r="ITN9" s="2"/>
      <c r="ITO9" s="2"/>
      <c r="ITP9" s="2"/>
      <c r="ITQ9" s="2"/>
      <c r="ITR9" s="2"/>
      <c r="ITS9" s="2"/>
      <c r="ITT9" s="2"/>
      <c r="ITU9" s="2"/>
      <c r="ITV9" s="2"/>
      <c r="ITW9" s="2"/>
      <c r="ITX9" s="2"/>
      <c r="ITY9" s="2"/>
      <c r="ITZ9" s="2"/>
      <c r="IUA9" s="2"/>
      <c r="IUB9" s="2"/>
      <c r="IUC9" s="2"/>
      <c r="IUD9" s="2"/>
      <c r="IUE9" s="2"/>
      <c r="IUF9" s="2"/>
      <c r="IUG9" s="2"/>
      <c r="IUH9" s="2"/>
      <c r="IUI9" s="2"/>
      <c r="IUJ9" s="2"/>
      <c r="IUK9" s="2"/>
      <c r="IUL9" s="2"/>
      <c r="IUM9" s="2"/>
      <c r="IUN9" s="2"/>
      <c r="IUO9" s="2"/>
      <c r="IUP9" s="2"/>
      <c r="IUQ9" s="2"/>
      <c r="IUR9" s="2"/>
      <c r="IUS9" s="2"/>
      <c r="IUT9" s="2"/>
      <c r="IUU9" s="2"/>
      <c r="IUV9" s="2"/>
      <c r="IUW9" s="2"/>
      <c r="IUX9" s="2"/>
      <c r="IUY9" s="2"/>
      <c r="IUZ9" s="2"/>
      <c r="IVA9" s="2"/>
      <c r="IVB9" s="2"/>
      <c r="IVC9" s="2"/>
      <c r="IVD9" s="2"/>
      <c r="IVE9" s="2"/>
      <c r="IVF9" s="2"/>
      <c r="IVG9" s="2"/>
      <c r="IVH9" s="2"/>
      <c r="IVI9" s="2"/>
      <c r="IVJ9" s="2"/>
      <c r="IVK9" s="2"/>
      <c r="IVL9" s="2"/>
      <c r="IVM9" s="2"/>
      <c r="IVN9" s="2"/>
      <c r="IVO9" s="2"/>
      <c r="IVP9" s="2"/>
      <c r="IVQ9" s="2"/>
      <c r="IVR9" s="2"/>
      <c r="IVS9" s="2"/>
      <c r="IVT9" s="2"/>
      <c r="IVU9" s="2"/>
      <c r="IVV9" s="2"/>
      <c r="IVW9" s="2"/>
      <c r="IVX9" s="2"/>
      <c r="IVY9" s="2"/>
      <c r="IVZ9" s="2"/>
      <c r="IWA9" s="2"/>
      <c r="IWB9" s="2"/>
      <c r="IWC9" s="2"/>
      <c r="IWD9" s="2"/>
      <c r="IWE9" s="2"/>
      <c r="IWF9" s="2"/>
      <c r="IWG9" s="2"/>
      <c r="IWH9" s="2"/>
      <c r="IWI9" s="2"/>
      <c r="IWJ9" s="2"/>
      <c r="IWK9" s="2"/>
      <c r="IWL9" s="2"/>
      <c r="IWM9" s="2"/>
      <c r="IWN9" s="2"/>
      <c r="IWO9" s="2"/>
      <c r="IWP9" s="2"/>
      <c r="IWQ9" s="2"/>
      <c r="IWR9" s="2"/>
      <c r="IWS9" s="2"/>
      <c r="IWT9" s="2"/>
      <c r="IWU9" s="2"/>
      <c r="IWV9" s="2"/>
      <c r="IWW9" s="2"/>
      <c r="IWX9" s="2"/>
      <c r="IWY9" s="2"/>
      <c r="IWZ9" s="2"/>
      <c r="IXA9" s="2"/>
      <c r="IXB9" s="2"/>
      <c r="IXC9" s="2"/>
      <c r="IXD9" s="2"/>
      <c r="IXE9" s="2"/>
      <c r="IXF9" s="2"/>
      <c r="IXG9" s="2"/>
      <c r="IXH9" s="2"/>
      <c r="IXI9" s="2"/>
      <c r="IXJ9" s="2"/>
      <c r="IXK9" s="2"/>
      <c r="IXL9" s="2"/>
      <c r="IXM9" s="2"/>
      <c r="IXN9" s="2"/>
      <c r="IXO9" s="2"/>
      <c r="IXP9" s="2"/>
      <c r="IXQ9" s="2"/>
      <c r="IXR9" s="2"/>
      <c r="IXS9" s="2"/>
      <c r="IXT9" s="2"/>
      <c r="IXU9" s="2"/>
      <c r="IXV9" s="2"/>
      <c r="IXW9" s="2"/>
      <c r="IXX9" s="2"/>
      <c r="IXY9" s="2"/>
      <c r="IXZ9" s="2"/>
      <c r="IYA9" s="2"/>
      <c r="IYB9" s="2"/>
      <c r="IYC9" s="2"/>
      <c r="IYD9" s="2"/>
      <c r="IYE9" s="2"/>
      <c r="IYF9" s="2"/>
      <c r="IYG9" s="2"/>
      <c r="IYH9" s="2"/>
      <c r="IYI9" s="2"/>
      <c r="IYJ9" s="2"/>
      <c r="IYK9" s="2"/>
      <c r="IYL9" s="2"/>
      <c r="IYM9" s="2"/>
      <c r="IYN9" s="2"/>
      <c r="IYO9" s="2"/>
      <c r="IYP9" s="2"/>
      <c r="IYQ9" s="2"/>
      <c r="IYR9" s="2"/>
      <c r="IYS9" s="2"/>
      <c r="IYT9" s="2"/>
      <c r="IYU9" s="2"/>
      <c r="IYV9" s="2"/>
      <c r="IYW9" s="2"/>
      <c r="IYX9" s="2"/>
      <c r="IYY9" s="2"/>
      <c r="IYZ9" s="2"/>
      <c r="IZA9" s="2"/>
      <c r="IZB9" s="2"/>
      <c r="IZC9" s="2"/>
      <c r="IZD9" s="2"/>
      <c r="IZE9" s="2"/>
      <c r="IZF9" s="2"/>
      <c r="IZG9" s="2"/>
      <c r="IZH9" s="2"/>
      <c r="IZI9" s="2"/>
      <c r="IZJ9" s="2"/>
      <c r="IZK9" s="2"/>
      <c r="IZL9" s="2"/>
      <c r="IZM9" s="2"/>
      <c r="IZN9" s="2"/>
      <c r="IZO9" s="2"/>
      <c r="IZP9" s="2"/>
      <c r="IZQ9" s="2"/>
      <c r="IZR9" s="2"/>
      <c r="IZS9" s="2"/>
      <c r="IZT9" s="2"/>
      <c r="IZU9" s="2"/>
      <c r="IZV9" s="2"/>
      <c r="IZW9" s="2"/>
      <c r="IZX9" s="2"/>
      <c r="IZY9" s="2"/>
      <c r="IZZ9" s="2"/>
      <c r="JAA9" s="2"/>
      <c r="JAB9" s="2"/>
      <c r="JAC9" s="2"/>
      <c r="JAD9" s="2"/>
      <c r="JAE9" s="2"/>
      <c r="JAF9" s="2"/>
      <c r="JAG9" s="2"/>
      <c r="JAH9" s="2"/>
      <c r="JAI9" s="2"/>
      <c r="JAJ9" s="2"/>
      <c r="JAK9" s="2"/>
      <c r="JAL9" s="2"/>
      <c r="JAM9" s="2"/>
      <c r="JAN9" s="2"/>
      <c r="JAO9" s="2"/>
      <c r="JAP9" s="2"/>
      <c r="JAQ9" s="2"/>
      <c r="JAR9" s="2"/>
      <c r="JAS9" s="2"/>
      <c r="JAT9" s="2"/>
      <c r="JAU9" s="2"/>
      <c r="JAV9" s="2"/>
      <c r="JAW9" s="2"/>
      <c r="JAX9" s="2"/>
      <c r="JAY9" s="2"/>
      <c r="JAZ9" s="2"/>
      <c r="JBA9" s="2"/>
      <c r="JBB9" s="2"/>
      <c r="JBC9" s="2"/>
      <c r="JBD9" s="2"/>
      <c r="JBE9" s="2"/>
      <c r="JBF9" s="2"/>
      <c r="JBG9" s="2"/>
      <c r="JBH9" s="2"/>
      <c r="JBI9" s="2"/>
      <c r="JBJ9" s="2"/>
      <c r="JBK9" s="2"/>
      <c r="JBL9" s="2"/>
      <c r="JBM9" s="2"/>
      <c r="JBN9" s="2"/>
      <c r="JBO9" s="2"/>
      <c r="JBP9" s="2"/>
      <c r="JBQ9" s="2"/>
      <c r="JBR9" s="2"/>
      <c r="JBS9" s="2"/>
      <c r="JBT9" s="2"/>
      <c r="JBU9" s="2"/>
      <c r="JBV9" s="2"/>
      <c r="JBW9" s="2"/>
      <c r="JBX9" s="2"/>
      <c r="JBY9" s="2"/>
      <c r="JBZ9" s="2"/>
      <c r="JCA9" s="2"/>
      <c r="JCB9" s="2"/>
      <c r="JCC9" s="2"/>
      <c r="JCD9" s="2"/>
      <c r="JCE9" s="2"/>
      <c r="JCF9" s="2"/>
      <c r="JCG9" s="2"/>
      <c r="JCH9" s="2"/>
      <c r="JCI9" s="2"/>
      <c r="JCJ9" s="2"/>
      <c r="JCK9" s="2"/>
      <c r="JCL9" s="2"/>
      <c r="JCM9" s="2"/>
      <c r="JCN9" s="2"/>
      <c r="JCO9" s="2"/>
      <c r="JCP9" s="2"/>
      <c r="JCQ9" s="2"/>
      <c r="JCR9" s="2"/>
      <c r="JCS9" s="2"/>
      <c r="JCT9" s="2"/>
      <c r="JCU9" s="2"/>
      <c r="JCV9" s="2"/>
      <c r="JCW9" s="2"/>
      <c r="JCX9" s="2"/>
      <c r="JCY9" s="2"/>
      <c r="JCZ9" s="2"/>
      <c r="JDA9" s="2"/>
      <c r="JDB9" s="2"/>
      <c r="JDC9" s="2"/>
      <c r="JDD9" s="2"/>
      <c r="JDE9" s="2"/>
      <c r="JDF9" s="2"/>
      <c r="JDG9" s="2"/>
      <c r="JDH9" s="2"/>
      <c r="JDI9" s="2"/>
      <c r="JDJ9" s="2"/>
      <c r="JDK9" s="2"/>
      <c r="JDL9" s="2"/>
      <c r="JDM9" s="2"/>
      <c r="JDN9" s="2"/>
      <c r="JDO9" s="2"/>
      <c r="JDP9" s="2"/>
      <c r="JDQ9" s="2"/>
      <c r="JDR9" s="2"/>
      <c r="JDS9" s="2"/>
      <c r="JDT9" s="2"/>
      <c r="JDU9" s="2"/>
      <c r="JDV9" s="2"/>
      <c r="JDW9" s="2"/>
      <c r="JDX9" s="2"/>
      <c r="JDY9" s="2"/>
      <c r="JDZ9" s="2"/>
      <c r="JEA9" s="2"/>
      <c r="JEB9" s="2"/>
      <c r="JEC9" s="2"/>
      <c r="JED9" s="2"/>
      <c r="JEE9" s="2"/>
      <c r="JEF9" s="2"/>
      <c r="JEG9" s="2"/>
      <c r="JEH9" s="2"/>
      <c r="JEI9" s="2"/>
      <c r="JEJ9" s="2"/>
      <c r="JEK9" s="2"/>
      <c r="JEL9" s="2"/>
      <c r="JEM9" s="2"/>
      <c r="JEN9" s="2"/>
      <c r="JEO9" s="2"/>
      <c r="JEP9" s="2"/>
      <c r="JEQ9" s="2"/>
      <c r="JER9" s="2"/>
      <c r="JES9" s="2"/>
      <c r="JET9" s="2"/>
      <c r="JEU9" s="2"/>
      <c r="JEV9" s="2"/>
      <c r="JEW9" s="2"/>
      <c r="JEX9" s="2"/>
      <c r="JEY9" s="2"/>
      <c r="JEZ9" s="2"/>
      <c r="JFA9" s="2"/>
      <c r="JFB9" s="2"/>
      <c r="JFC9" s="2"/>
      <c r="JFD9" s="2"/>
      <c r="JFE9" s="2"/>
      <c r="JFF9" s="2"/>
      <c r="JFG9" s="2"/>
      <c r="JFH9" s="2"/>
      <c r="JFI9" s="2"/>
      <c r="JFJ9" s="2"/>
      <c r="JFK9" s="2"/>
      <c r="JFL9" s="2"/>
      <c r="JFM9" s="2"/>
      <c r="JFN9" s="2"/>
      <c r="JFO9" s="2"/>
      <c r="JFP9" s="2"/>
      <c r="JFQ9" s="2"/>
      <c r="JFR9" s="2"/>
      <c r="JFS9" s="2"/>
      <c r="JFT9" s="2"/>
      <c r="JFU9" s="2"/>
      <c r="JFV9" s="2"/>
      <c r="JFW9" s="2"/>
      <c r="JFX9" s="2"/>
      <c r="JFY9" s="2"/>
      <c r="JFZ9" s="2"/>
      <c r="JGA9" s="2"/>
      <c r="JGB9" s="2"/>
      <c r="JGC9" s="2"/>
      <c r="JGD9" s="2"/>
      <c r="JGE9" s="2"/>
      <c r="JGF9" s="2"/>
      <c r="JGG9" s="2"/>
      <c r="JGH9" s="2"/>
      <c r="JGI9" s="2"/>
      <c r="JGJ9" s="2"/>
      <c r="JGK9" s="2"/>
      <c r="JGL9" s="2"/>
      <c r="JGM9" s="2"/>
      <c r="JGN9" s="2"/>
      <c r="JGO9" s="2"/>
      <c r="JGP9" s="2"/>
      <c r="JGQ9" s="2"/>
      <c r="JGR9" s="2"/>
      <c r="JGS9" s="2"/>
      <c r="JGT9" s="2"/>
      <c r="JGU9" s="2"/>
      <c r="JGV9" s="2"/>
      <c r="JGW9" s="2"/>
      <c r="JGX9" s="2"/>
      <c r="JGY9" s="2"/>
      <c r="JGZ9" s="2"/>
      <c r="JHA9" s="2"/>
      <c r="JHB9" s="2"/>
      <c r="JHC9" s="2"/>
      <c r="JHD9" s="2"/>
      <c r="JHE9" s="2"/>
      <c r="JHF9" s="2"/>
      <c r="JHG9" s="2"/>
      <c r="JHH9" s="2"/>
      <c r="JHI9" s="2"/>
      <c r="JHJ9" s="2"/>
      <c r="JHK9" s="2"/>
      <c r="JHL9" s="2"/>
      <c r="JHM9" s="2"/>
      <c r="JHN9" s="2"/>
      <c r="JHO9" s="2"/>
      <c r="JHP9" s="2"/>
      <c r="JHQ9" s="2"/>
      <c r="JHR9" s="2"/>
      <c r="JHS9" s="2"/>
      <c r="JHT9" s="2"/>
      <c r="JHU9" s="2"/>
      <c r="JHV9" s="2"/>
      <c r="JHW9" s="2"/>
      <c r="JHX9" s="2"/>
      <c r="JHY9" s="2"/>
      <c r="JHZ9" s="2"/>
      <c r="JIA9" s="2"/>
      <c r="JIB9" s="2"/>
      <c r="JIC9" s="2"/>
      <c r="JID9" s="2"/>
      <c r="JIE9" s="2"/>
      <c r="JIF9" s="2"/>
      <c r="JIG9" s="2"/>
      <c r="JIH9" s="2"/>
      <c r="JII9" s="2"/>
      <c r="JIJ9" s="2"/>
      <c r="JIK9" s="2"/>
      <c r="JIL9" s="2"/>
      <c r="JIM9" s="2"/>
      <c r="JIN9" s="2"/>
      <c r="JIO9" s="2"/>
      <c r="JIP9" s="2"/>
      <c r="JIQ9" s="2"/>
      <c r="JIR9" s="2"/>
      <c r="JIS9" s="2"/>
      <c r="JIT9" s="2"/>
      <c r="JIU9" s="2"/>
      <c r="JIV9" s="2"/>
      <c r="JIW9" s="2"/>
      <c r="JIX9" s="2"/>
      <c r="JIY9" s="2"/>
      <c r="JIZ9" s="2"/>
      <c r="JJA9" s="2"/>
      <c r="JJB9" s="2"/>
      <c r="JJC9" s="2"/>
      <c r="JJD9" s="2"/>
      <c r="JJE9" s="2"/>
      <c r="JJF9" s="2"/>
      <c r="JJG9" s="2"/>
      <c r="JJH9" s="2"/>
      <c r="JJI9" s="2"/>
      <c r="JJJ9" s="2"/>
      <c r="JJK9" s="2"/>
      <c r="JJL9" s="2"/>
      <c r="JJM9" s="2"/>
      <c r="JJN9" s="2"/>
      <c r="JJO9" s="2"/>
      <c r="JJP9" s="2"/>
      <c r="JJQ9" s="2"/>
      <c r="JJR9" s="2"/>
      <c r="JJS9" s="2"/>
      <c r="JJT9" s="2"/>
      <c r="JJU9" s="2"/>
      <c r="JJV9" s="2"/>
      <c r="JJW9" s="2"/>
      <c r="JJX9" s="2"/>
      <c r="JJY9" s="2"/>
      <c r="JJZ9" s="2"/>
      <c r="JKA9" s="2"/>
      <c r="JKB9" s="2"/>
      <c r="JKC9" s="2"/>
      <c r="JKD9" s="2"/>
      <c r="JKE9" s="2"/>
      <c r="JKF9" s="2"/>
      <c r="JKG9" s="2"/>
      <c r="JKH9" s="2"/>
      <c r="JKI9" s="2"/>
      <c r="JKJ9" s="2"/>
      <c r="JKK9" s="2"/>
      <c r="JKL9" s="2"/>
      <c r="JKM9" s="2"/>
      <c r="JKN9" s="2"/>
      <c r="JKO9" s="2"/>
      <c r="JKP9" s="2"/>
      <c r="JKQ9" s="2"/>
      <c r="JKR9" s="2"/>
      <c r="JKS9" s="2"/>
      <c r="JKT9" s="2"/>
      <c r="JKU9" s="2"/>
      <c r="JKV9" s="2"/>
      <c r="JKW9" s="2"/>
      <c r="JKX9" s="2"/>
      <c r="JKY9" s="2"/>
      <c r="JKZ9" s="2"/>
      <c r="JLA9" s="2"/>
      <c r="JLB9" s="2"/>
      <c r="JLC9" s="2"/>
      <c r="JLD9" s="2"/>
      <c r="JLE9" s="2"/>
      <c r="JLF9" s="2"/>
      <c r="JLG9" s="2"/>
      <c r="JLH9" s="2"/>
      <c r="JLI9" s="2"/>
      <c r="JLJ9" s="2"/>
      <c r="JLK9" s="2"/>
      <c r="JLL9" s="2"/>
      <c r="JLM9" s="2"/>
      <c r="JLN9" s="2"/>
      <c r="JLO9" s="2"/>
      <c r="JLP9" s="2"/>
      <c r="JLQ9" s="2"/>
      <c r="JLR9" s="2"/>
      <c r="JLS9" s="2"/>
      <c r="JLT9" s="2"/>
      <c r="JLU9" s="2"/>
      <c r="JLV9" s="2"/>
      <c r="JLW9" s="2"/>
      <c r="JLX9" s="2"/>
      <c r="JLY9" s="2"/>
      <c r="JLZ9" s="2"/>
      <c r="JMA9" s="2"/>
      <c r="JMB9" s="2"/>
      <c r="JMC9" s="2"/>
      <c r="JMD9" s="2"/>
      <c r="JME9" s="2"/>
      <c r="JMF9" s="2"/>
      <c r="JMG9" s="2"/>
      <c r="JMH9" s="2"/>
      <c r="JMI9" s="2"/>
      <c r="JMJ9" s="2"/>
      <c r="JMK9" s="2"/>
      <c r="JML9" s="2"/>
      <c r="JMM9" s="2"/>
      <c r="JMN9" s="2"/>
      <c r="JMO9" s="2"/>
      <c r="JMP9" s="2"/>
      <c r="JMQ9" s="2"/>
      <c r="JMR9" s="2"/>
      <c r="JMS9" s="2"/>
      <c r="JMT9" s="2"/>
      <c r="JMU9" s="2"/>
      <c r="JMV9" s="2"/>
      <c r="JMW9" s="2"/>
      <c r="JMX9" s="2"/>
      <c r="JMY9" s="2"/>
      <c r="JMZ9" s="2"/>
      <c r="JNA9" s="2"/>
      <c r="JNB9" s="2"/>
      <c r="JNC9" s="2"/>
      <c r="JND9" s="2"/>
      <c r="JNE9" s="2"/>
      <c r="JNF9" s="2"/>
      <c r="JNG9" s="2"/>
      <c r="JNH9" s="2"/>
      <c r="JNI9" s="2"/>
      <c r="JNJ9" s="2"/>
      <c r="JNK9" s="2"/>
      <c r="JNL9" s="2"/>
      <c r="JNM9" s="2"/>
      <c r="JNN9" s="2"/>
      <c r="JNO9" s="2"/>
      <c r="JNP9" s="2"/>
      <c r="JNQ9" s="2"/>
      <c r="JNR9" s="2"/>
      <c r="JNS9" s="2"/>
      <c r="JNT9" s="2"/>
      <c r="JNU9" s="2"/>
      <c r="JNV9" s="2"/>
      <c r="JNW9" s="2"/>
      <c r="JNX9" s="2"/>
      <c r="JNY9" s="2"/>
      <c r="JNZ9" s="2"/>
      <c r="JOA9" s="2"/>
      <c r="JOB9" s="2"/>
      <c r="JOC9" s="2"/>
      <c r="JOD9" s="2"/>
      <c r="JOE9" s="2"/>
      <c r="JOF9" s="2"/>
      <c r="JOG9" s="2"/>
      <c r="JOH9" s="2"/>
      <c r="JOI9" s="2"/>
      <c r="JOJ9" s="2"/>
      <c r="JOK9" s="2"/>
      <c r="JOL9" s="2"/>
      <c r="JOM9" s="2"/>
      <c r="JON9" s="2"/>
      <c r="JOO9" s="2"/>
      <c r="JOP9" s="2"/>
      <c r="JOQ9" s="2"/>
      <c r="JOR9" s="2"/>
      <c r="JOS9" s="2"/>
      <c r="JOT9" s="2"/>
      <c r="JOU9" s="2"/>
      <c r="JOV9" s="2"/>
      <c r="JOW9" s="2"/>
      <c r="JOX9" s="2"/>
      <c r="JOY9" s="2"/>
      <c r="JOZ9" s="2"/>
      <c r="JPA9" s="2"/>
      <c r="JPB9" s="2"/>
      <c r="JPC9" s="2"/>
      <c r="JPD9" s="2"/>
      <c r="JPE9" s="2"/>
      <c r="JPF9" s="2"/>
      <c r="JPG9" s="2"/>
      <c r="JPH9" s="2"/>
      <c r="JPI9" s="2"/>
      <c r="JPJ9" s="2"/>
      <c r="JPK9" s="2"/>
      <c r="JPL9" s="2"/>
      <c r="JPM9" s="2"/>
      <c r="JPN9" s="2"/>
      <c r="JPO9" s="2"/>
      <c r="JPP9" s="2"/>
      <c r="JPQ9" s="2"/>
      <c r="JPR9" s="2"/>
      <c r="JPS9" s="2"/>
      <c r="JPT9" s="2"/>
      <c r="JPU9" s="2"/>
      <c r="JPV9" s="2"/>
      <c r="JPW9" s="2"/>
      <c r="JPX9" s="2"/>
      <c r="JPY9" s="2"/>
      <c r="JPZ9" s="2"/>
      <c r="JQA9" s="2"/>
      <c r="JQB9" s="2"/>
      <c r="JQC9" s="2"/>
      <c r="JQD9" s="2"/>
      <c r="JQE9" s="2"/>
      <c r="JQF9" s="2"/>
      <c r="JQG9" s="2"/>
      <c r="JQH9" s="2"/>
      <c r="JQI9" s="2"/>
      <c r="JQJ9" s="2"/>
      <c r="JQK9" s="2"/>
      <c r="JQL9" s="2"/>
      <c r="JQM9" s="2"/>
      <c r="JQN9" s="2"/>
      <c r="JQO9" s="2"/>
      <c r="JQP9" s="2"/>
      <c r="JQQ9" s="2"/>
      <c r="JQR9" s="2"/>
      <c r="JQS9" s="2"/>
      <c r="JQT9" s="2"/>
      <c r="JQU9" s="2"/>
      <c r="JQV9" s="2"/>
      <c r="JQW9" s="2"/>
      <c r="JQX9" s="2"/>
      <c r="JQY9" s="2"/>
      <c r="JQZ9" s="2"/>
      <c r="JRA9" s="2"/>
      <c r="JRB9" s="2"/>
      <c r="JRC9" s="2"/>
      <c r="JRD9" s="2"/>
      <c r="JRE9" s="2"/>
      <c r="JRF9" s="2"/>
      <c r="JRG9" s="2"/>
      <c r="JRH9" s="2"/>
      <c r="JRI9" s="2"/>
      <c r="JRJ9" s="2"/>
      <c r="JRK9" s="2"/>
      <c r="JRL9" s="2"/>
      <c r="JRM9" s="2"/>
      <c r="JRN9" s="2"/>
      <c r="JRO9" s="2"/>
      <c r="JRP9" s="2"/>
      <c r="JRQ9" s="2"/>
      <c r="JRR9" s="2"/>
      <c r="JRS9" s="2"/>
      <c r="JRT9" s="2"/>
      <c r="JRU9" s="2"/>
      <c r="JRV9" s="2"/>
      <c r="JRW9" s="2"/>
      <c r="JRX9" s="2"/>
      <c r="JRY9" s="2"/>
      <c r="JRZ9" s="2"/>
      <c r="JSA9" s="2"/>
      <c r="JSB9" s="2"/>
      <c r="JSC9" s="2"/>
      <c r="JSD9" s="2"/>
      <c r="JSE9" s="2"/>
      <c r="JSF9" s="2"/>
      <c r="JSG9" s="2"/>
      <c r="JSH9" s="2"/>
      <c r="JSI9" s="2"/>
      <c r="JSJ9" s="2"/>
      <c r="JSK9" s="2"/>
      <c r="JSL9" s="2"/>
      <c r="JSM9" s="2"/>
      <c r="JSN9" s="2"/>
      <c r="JSO9" s="2"/>
      <c r="JSP9" s="2"/>
      <c r="JSQ9" s="2"/>
      <c r="JSR9" s="2"/>
      <c r="JSS9" s="2"/>
      <c r="JST9" s="2"/>
      <c r="JSU9" s="2"/>
      <c r="JSV9" s="2"/>
      <c r="JSW9" s="2"/>
      <c r="JSX9" s="2"/>
      <c r="JSY9" s="2"/>
      <c r="JSZ9" s="2"/>
      <c r="JTA9" s="2"/>
      <c r="JTB9" s="2"/>
      <c r="JTC9" s="2"/>
      <c r="JTD9" s="2"/>
      <c r="JTE9" s="2"/>
      <c r="JTF9" s="2"/>
      <c r="JTG9" s="2"/>
      <c r="JTH9" s="2"/>
      <c r="JTI9" s="2"/>
      <c r="JTJ9" s="2"/>
      <c r="JTK9" s="2"/>
      <c r="JTL9" s="2"/>
      <c r="JTM9" s="2"/>
      <c r="JTN9" s="2"/>
      <c r="JTO9" s="2"/>
      <c r="JTP9" s="2"/>
      <c r="JTQ9" s="2"/>
      <c r="JTR9" s="2"/>
      <c r="JTS9" s="2"/>
      <c r="JTT9" s="2"/>
      <c r="JTU9" s="2"/>
      <c r="JTV9" s="2"/>
      <c r="JTW9" s="2"/>
      <c r="JTX9" s="2"/>
      <c r="JTY9" s="2"/>
      <c r="JTZ9" s="2"/>
      <c r="JUA9" s="2"/>
      <c r="JUB9" s="2"/>
      <c r="JUC9" s="2"/>
      <c r="JUD9" s="2"/>
      <c r="JUE9" s="2"/>
      <c r="JUF9" s="2"/>
      <c r="JUG9" s="2"/>
      <c r="JUH9" s="2"/>
      <c r="JUI9" s="2"/>
      <c r="JUJ9" s="2"/>
      <c r="JUK9" s="2"/>
      <c r="JUL9" s="2"/>
      <c r="JUM9" s="2"/>
      <c r="JUN9" s="2"/>
      <c r="JUO9" s="2"/>
      <c r="JUP9" s="2"/>
      <c r="JUQ9" s="2"/>
      <c r="JUR9" s="2"/>
      <c r="JUS9" s="2"/>
      <c r="JUT9" s="2"/>
      <c r="JUU9" s="2"/>
      <c r="JUV9" s="2"/>
      <c r="JUW9" s="2"/>
      <c r="JUX9" s="2"/>
      <c r="JUY9" s="2"/>
      <c r="JUZ9" s="2"/>
      <c r="JVA9" s="2"/>
      <c r="JVB9" s="2"/>
      <c r="JVC9" s="2"/>
      <c r="JVD9" s="2"/>
      <c r="JVE9" s="2"/>
      <c r="JVF9" s="2"/>
      <c r="JVG9" s="2"/>
      <c r="JVH9" s="2"/>
      <c r="JVI9" s="2"/>
      <c r="JVJ9" s="2"/>
      <c r="JVK9" s="2"/>
      <c r="JVL9" s="2"/>
      <c r="JVM9" s="2"/>
      <c r="JVN9" s="2"/>
      <c r="JVO9" s="2"/>
      <c r="JVP9" s="2"/>
      <c r="JVQ9" s="2"/>
      <c r="JVR9" s="2"/>
      <c r="JVS9" s="2"/>
      <c r="JVT9" s="2"/>
      <c r="JVU9" s="2"/>
      <c r="JVV9" s="2"/>
      <c r="JVW9" s="2"/>
      <c r="JVX9" s="2"/>
      <c r="JVY9" s="2"/>
      <c r="JVZ9" s="2"/>
      <c r="JWA9" s="2"/>
      <c r="JWB9" s="2"/>
      <c r="JWC9" s="2"/>
      <c r="JWD9" s="2"/>
      <c r="JWE9" s="2"/>
      <c r="JWF9" s="2"/>
      <c r="JWG9" s="2"/>
      <c r="JWH9" s="2"/>
      <c r="JWI9" s="2"/>
      <c r="JWJ9" s="2"/>
      <c r="JWK9" s="2"/>
      <c r="JWL9" s="2"/>
      <c r="JWM9" s="2"/>
      <c r="JWN9" s="2"/>
      <c r="JWO9" s="2"/>
      <c r="JWP9" s="2"/>
      <c r="JWQ9" s="2"/>
      <c r="JWR9" s="2"/>
      <c r="JWS9" s="2"/>
      <c r="JWT9" s="2"/>
      <c r="JWU9" s="2"/>
      <c r="JWV9" s="2"/>
      <c r="JWW9" s="2"/>
      <c r="JWX9" s="2"/>
      <c r="JWY9" s="2"/>
      <c r="JWZ9" s="2"/>
      <c r="JXA9" s="2"/>
      <c r="JXB9" s="2"/>
      <c r="JXC9" s="2"/>
      <c r="JXD9" s="2"/>
      <c r="JXE9" s="2"/>
      <c r="JXF9" s="2"/>
      <c r="JXG9" s="2"/>
      <c r="JXH9" s="2"/>
      <c r="JXI9" s="2"/>
      <c r="JXJ9" s="2"/>
      <c r="JXK9" s="2"/>
      <c r="JXL9" s="2"/>
      <c r="JXM9" s="2"/>
      <c r="JXN9" s="2"/>
      <c r="JXO9" s="2"/>
      <c r="JXP9" s="2"/>
      <c r="JXQ9" s="2"/>
      <c r="JXR9" s="2"/>
      <c r="JXS9" s="2"/>
      <c r="JXT9" s="2"/>
      <c r="JXU9" s="2"/>
      <c r="JXV9" s="2"/>
      <c r="JXW9" s="2"/>
      <c r="JXX9" s="2"/>
      <c r="JXY9" s="2"/>
      <c r="JXZ9" s="2"/>
      <c r="JYA9" s="2"/>
      <c r="JYB9" s="2"/>
      <c r="JYC9" s="2"/>
      <c r="JYD9" s="2"/>
      <c r="JYE9" s="2"/>
      <c r="JYF9" s="2"/>
      <c r="JYG9" s="2"/>
      <c r="JYH9" s="2"/>
      <c r="JYI9" s="2"/>
      <c r="JYJ9" s="2"/>
      <c r="JYK9" s="2"/>
      <c r="JYL9" s="2"/>
      <c r="JYM9" s="2"/>
      <c r="JYN9" s="2"/>
      <c r="JYO9" s="2"/>
      <c r="JYP9" s="2"/>
      <c r="JYQ9" s="2"/>
      <c r="JYR9" s="2"/>
      <c r="JYS9" s="2"/>
      <c r="JYT9" s="2"/>
      <c r="JYU9" s="2"/>
      <c r="JYV9" s="2"/>
      <c r="JYW9" s="2"/>
      <c r="JYX9" s="2"/>
      <c r="JYY9" s="2"/>
      <c r="JYZ9" s="2"/>
      <c r="JZA9" s="2"/>
      <c r="JZB9" s="2"/>
      <c r="JZC9" s="2"/>
      <c r="JZD9" s="2"/>
      <c r="JZE9" s="2"/>
      <c r="JZF9" s="2"/>
      <c r="JZG9" s="2"/>
      <c r="JZH9" s="2"/>
      <c r="JZI9" s="2"/>
      <c r="JZJ9" s="2"/>
      <c r="JZK9" s="2"/>
      <c r="JZL9" s="2"/>
      <c r="JZM9" s="2"/>
      <c r="JZN9" s="2"/>
      <c r="JZO9" s="2"/>
      <c r="JZP9" s="2"/>
      <c r="JZQ9" s="2"/>
      <c r="JZR9" s="2"/>
      <c r="JZS9" s="2"/>
      <c r="JZT9" s="2"/>
      <c r="JZU9" s="2"/>
      <c r="JZV9" s="2"/>
      <c r="JZW9" s="2"/>
      <c r="JZX9" s="2"/>
      <c r="JZY9" s="2"/>
      <c r="JZZ9" s="2"/>
      <c r="KAA9" s="2"/>
      <c r="KAB9" s="2"/>
      <c r="KAC9" s="2"/>
      <c r="KAD9" s="2"/>
      <c r="KAE9" s="2"/>
      <c r="KAF9" s="2"/>
      <c r="KAG9" s="2"/>
      <c r="KAH9" s="2"/>
      <c r="KAI9" s="2"/>
      <c r="KAJ9" s="2"/>
      <c r="KAK9" s="2"/>
      <c r="KAL9" s="2"/>
      <c r="KAM9" s="2"/>
      <c r="KAN9" s="2"/>
      <c r="KAO9" s="2"/>
      <c r="KAP9" s="2"/>
      <c r="KAQ9" s="2"/>
      <c r="KAR9" s="2"/>
      <c r="KAS9" s="2"/>
      <c r="KAT9" s="2"/>
      <c r="KAU9" s="2"/>
      <c r="KAV9" s="2"/>
      <c r="KAW9" s="2"/>
      <c r="KAX9" s="2"/>
      <c r="KAY9" s="2"/>
      <c r="KAZ9" s="2"/>
      <c r="KBA9" s="2"/>
      <c r="KBB9" s="2"/>
      <c r="KBC9" s="2"/>
      <c r="KBD9" s="2"/>
      <c r="KBE9" s="2"/>
      <c r="KBF9" s="2"/>
      <c r="KBG9" s="2"/>
      <c r="KBH9" s="2"/>
      <c r="KBI9" s="2"/>
      <c r="KBJ9" s="2"/>
      <c r="KBK9" s="2"/>
      <c r="KBL9" s="2"/>
      <c r="KBM9" s="2"/>
      <c r="KBN9" s="2"/>
      <c r="KBO9" s="2"/>
      <c r="KBP9" s="2"/>
      <c r="KBQ9" s="2"/>
      <c r="KBR9" s="2"/>
      <c r="KBS9" s="2"/>
      <c r="KBT9" s="2"/>
      <c r="KBU9" s="2"/>
      <c r="KBV9" s="2"/>
      <c r="KBW9" s="2"/>
      <c r="KBX9" s="2"/>
      <c r="KBY9" s="2"/>
      <c r="KBZ9" s="2"/>
      <c r="KCA9" s="2"/>
      <c r="KCB9" s="2"/>
      <c r="KCC9" s="2"/>
      <c r="KCD9" s="2"/>
      <c r="KCE9" s="2"/>
      <c r="KCF9" s="2"/>
      <c r="KCG9" s="2"/>
      <c r="KCH9" s="2"/>
      <c r="KCI9" s="2"/>
      <c r="KCJ9" s="2"/>
      <c r="KCK9" s="2"/>
      <c r="KCL9" s="2"/>
      <c r="KCM9" s="2"/>
      <c r="KCN9" s="2"/>
      <c r="KCO9" s="2"/>
      <c r="KCP9" s="2"/>
      <c r="KCQ9" s="2"/>
      <c r="KCR9" s="2"/>
      <c r="KCS9" s="2"/>
      <c r="KCT9" s="2"/>
      <c r="KCU9" s="2"/>
      <c r="KCV9" s="2"/>
      <c r="KCW9" s="2"/>
      <c r="KCX9" s="2"/>
      <c r="KCY9" s="2"/>
      <c r="KCZ9" s="2"/>
      <c r="KDA9" s="2"/>
      <c r="KDB9" s="2"/>
      <c r="KDC9" s="2"/>
      <c r="KDD9" s="2"/>
      <c r="KDE9" s="2"/>
      <c r="KDF9" s="2"/>
      <c r="KDG9" s="2"/>
      <c r="KDH9" s="2"/>
      <c r="KDI9" s="2"/>
      <c r="KDJ9" s="2"/>
      <c r="KDK9" s="2"/>
      <c r="KDL9" s="2"/>
      <c r="KDM9" s="2"/>
      <c r="KDN9" s="2"/>
      <c r="KDO9" s="2"/>
      <c r="KDP9" s="2"/>
      <c r="KDQ9" s="2"/>
      <c r="KDR9" s="2"/>
      <c r="KDS9" s="2"/>
      <c r="KDT9" s="2"/>
      <c r="KDU9" s="2"/>
      <c r="KDV9" s="2"/>
      <c r="KDW9" s="2"/>
      <c r="KDX9" s="2"/>
      <c r="KDY9" s="2"/>
      <c r="KDZ9" s="2"/>
      <c r="KEA9" s="2"/>
      <c r="KEB9" s="2"/>
      <c r="KEC9" s="2"/>
      <c r="KED9" s="2"/>
      <c r="KEE9" s="2"/>
      <c r="KEF9" s="2"/>
      <c r="KEG9" s="2"/>
      <c r="KEH9" s="2"/>
      <c r="KEI9" s="2"/>
      <c r="KEJ9" s="2"/>
      <c r="KEK9" s="2"/>
      <c r="KEL9" s="2"/>
      <c r="KEM9" s="2"/>
      <c r="KEN9" s="2"/>
      <c r="KEO9" s="2"/>
      <c r="KEP9" s="2"/>
      <c r="KEQ9" s="2"/>
      <c r="KER9" s="2"/>
      <c r="KES9" s="2"/>
      <c r="KET9" s="2"/>
      <c r="KEU9" s="2"/>
      <c r="KEV9" s="2"/>
      <c r="KEW9" s="2"/>
      <c r="KEX9" s="2"/>
      <c r="KEY9" s="2"/>
      <c r="KEZ9" s="2"/>
      <c r="KFA9" s="2"/>
      <c r="KFB9" s="2"/>
      <c r="KFC9" s="2"/>
      <c r="KFD9" s="2"/>
      <c r="KFE9" s="2"/>
      <c r="KFF9" s="2"/>
      <c r="KFG9" s="2"/>
      <c r="KFH9" s="2"/>
      <c r="KFI9" s="2"/>
      <c r="KFJ9" s="2"/>
      <c r="KFK9" s="2"/>
      <c r="KFL9" s="2"/>
      <c r="KFM9" s="2"/>
      <c r="KFN9" s="2"/>
      <c r="KFO9" s="2"/>
      <c r="KFP9" s="2"/>
      <c r="KFQ9" s="2"/>
      <c r="KFR9" s="2"/>
      <c r="KFS9" s="2"/>
      <c r="KFT9" s="2"/>
      <c r="KFU9" s="2"/>
      <c r="KFV9" s="2"/>
      <c r="KFW9" s="2"/>
      <c r="KFX9" s="2"/>
      <c r="KFY9" s="2"/>
      <c r="KFZ9" s="2"/>
      <c r="KGA9" s="2"/>
      <c r="KGB9" s="2"/>
      <c r="KGC9" s="2"/>
      <c r="KGD9" s="2"/>
      <c r="KGE9" s="2"/>
      <c r="KGF9" s="2"/>
      <c r="KGG9" s="2"/>
      <c r="KGH9" s="2"/>
      <c r="KGI9" s="2"/>
      <c r="KGJ9" s="2"/>
      <c r="KGK9" s="2"/>
      <c r="KGL9" s="2"/>
      <c r="KGM9" s="2"/>
      <c r="KGN9" s="2"/>
      <c r="KGO9" s="2"/>
      <c r="KGP9" s="2"/>
      <c r="KGQ9" s="2"/>
      <c r="KGR9" s="2"/>
      <c r="KGS9" s="2"/>
      <c r="KGT9" s="2"/>
      <c r="KGU9" s="2"/>
      <c r="KGV9" s="2"/>
      <c r="KGW9" s="2"/>
      <c r="KGX9" s="2"/>
      <c r="KGY9" s="2"/>
      <c r="KGZ9" s="2"/>
      <c r="KHA9" s="2"/>
      <c r="KHB9" s="2"/>
      <c r="KHC9" s="2"/>
      <c r="KHD9" s="2"/>
      <c r="KHE9" s="2"/>
      <c r="KHF9" s="2"/>
      <c r="KHG9" s="2"/>
      <c r="KHH9" s="2"/>
      <c r="KHI9" s="2"/>
      <c r="KHJ9" s="2"/>
      <c r="KHK9" s="2"/>
      <c r="KHL9" s="2"/>
      <c r="KHM9" s="2"/>
      <c r="KHN9" s="2"/>
      <c r="KHO9" s="2"/>
      <c r="KHP9" s="2"/>
      <c r="KHQ9" s="2"/>
      <c r="KHR9" s="2"/>
      <c r="KHS9" s="2"/>
      <c r="KHT9" s="2"/>
      <c r="KHU9" s="2"/>
      <c r="KHV9" s="2"/>
      <c r="KHW9" s="2"/>
      <c r="KHX9" s="2"/>
      <c r="KHY9" s="2"/>
      <c r="KHZ9" s="2"/>
      <c r="KIA9" s="2"/>
      <c r="KIB9" s="2"/>
      <c r="KIC9" s="2"/>
      <c r="KID9" s="2"/>
      <c r="KIE9" s="2"/>
      <c r="KIF9" s="2"/>
      <c r="KIG9" s="2"/>
      <c r="KIH9" s="2"/>
      <c r="KII9" s="2"/>
      <c r="KIJ9" s="2"/>
      <c r="KIK9" s="2"/>
      <c r="KIL9" s="2"/>
      <c r="KIM9" s="2"/>
      <c r="KIN9" s="2"/>
      <c r="KIO9" s="2"/>
      <c r="KIP9" s="2"/>
      <c r="KIQ9" s="2"/>
      <c r="KIR9" s="2"/>
      <c r="KIS9" s="2"/>
      <c r="KIT9" s="2"/>
      <c r="KIU9" s="2"/>
      <c r="KIV9" s="2"/>
      <c r="KIW9" s="2"/>
      <c r="KIX9" s="2"/>
      <c r="KIY9" s="2"/>
      <c r="KIZ9" s="2"/>
      <c r="KJA9" s="2"/>
      <c r="KJB9" s="2"/>
      <c r="KJC9" s="2"/>
      <c r="KJD9" s="2"/>
      <c r="KJE9" s="2"/>
      <c r="KJF9" s="2"/>
      <c r="KJG9" s="2"/>
      <c r="KJH9" s="2"/>
      <c r="KJI9" s="2"/>
      <c r="KJJ9" s="2"/>
      <c r="KJK9" s="2"/>
      <c r="KJL9" s="2"/>
      <c r="KJM9" s="2"/>
      <c r="KJN9" s="2"/>
      <c r="KJO9" s="2"/>
      <c r="KJP9" s="2"/>
      <c r="KJQ9" s="2"/>
      <c r="KJR9" s="2"/>
      <c r="KJS9" s="2"/>
      <c r="KJT9" s="2"/>
      <c r="KJU9" s="2"/>
      <c r="KJV9" s="2"/>
      <c r="KJW9" s="2"/>
      <c r="KJX9" s="2"/>
      <c r="KJY9" s="2"/>
      <c r="KJZ9" s="2"/>
      <c r="KKA9" s="2"/>
      <c r="KKB9" s="2"/>
      <c r="KKC9" s="2"/>
      <c r="KKD9" s="2"/>
      <c r="KKE9" s="2"/>
      <c r="KKF9" s="2"/>
      <c r="KKG9" s="2"/>
      <c r="KKH9" s="2"/>
      <c r="KKI9" s="2"/>
      <c r="KKJ9" s="2"/>
      <c r="KKK9" s="2"/>
      <c r="KKL9" s="2"/>
      <c r="KKM9" s="2"/>
      <c r="KKN9" s="2"/>
      <c r="KKO9" s="2"/>
      <c r="KKP9" s="2"/>
      <c r="KKQ9" s="2"/>
      <c r="KKR9" s="2"/>
      <c r="KKS9" s="2"/>
      <c r="KKT9" s="2"/>
      <c r="KKU9" s="2"/>
      <c r="KKV9" s="2"/>
      <c r="KKW9" s="2"/>
      <c r="KKX9" s="2"/>
      <c r="KKY9" s="2"/>
      <c r="KKZ9" s="2"/>
      <c r="KLA9" s="2"/>
      <c r="KLB9" s="2"/>
      <c r="KLC9" s="2"/>
      <c r="KLD9" s="2"/>
      <c r="KLE9" s="2"/>
      <c r="KLF9" s="2"/>
      <c r="KLG9" s="2"/>
      <c r="KLH9" s="2"/>
      <c r="KLI9" s="2"/>
      <c r="KLJ9" s="2"/>
      <c r="KLK9" s="2"/>
      <c r="KLL9" s="2"/>
      <c r="KLM9" s="2"/>
      <c r="KLN9" s="2"/>
      <c r="KLO9" s="2"/>
      <c r="KLP9" s="2"/>
      <c r="KLQ9" s="2"/>
      <c r="KLR9" s="2"/>
      <c r="KLS9" s="2"/>
      <c r="KLT9" s="2"/>
      <c r="KLU9" s="2"/>
      <c r="KLV9" s="2"/>
      <c r="KLW9" s="2"/>
      <c r="KLX9" s="2"/>
      <c r="KLY9" s="2"/>
      <c r="KLZ9" s="2"/>
      <c r="KMA9" s="2"/>
      <c r="KMB9" s="2"/>
      <c r="KMC9" s="2"/>
      <c r="KMD9" s="2"/>
      <c r="KME9" s="2"/>
      <c r="KMF9" s="2"/>
      <c r="KMG9" s="2"/>
      <c r="KMH9" s="2"/>
      <c r="KMI9" s="2"/>
      <c r="KMJ9" s="2"/>
      <c r="KMK9" s="2"/>
      <c r="KML9" s="2"/>
      <c r="KMM9" s="2"/>
      <c r="KMN9" s="2"/>
      <c r="KMO9" s="2"/>
      <c r="KMP9" s="2"/>
      <c r="KMQ9" s="2"/>
      <c r="KMR9" s="2"/>
      <c r="KMS9" s="2"/>
      <c r="KMT9" s="2"/>
      <c r="KMU9" s="2"/>
      <c r="KMV9" s="2"/>
      <c r="KMW9" s="2"/>
      <c r="KMX9" s="2"/>
      <c r="KMY9" s="2"/>
      <c r="KMZ9" s="2"/>
      <c r="KNA9" s="2"/>
      <c r="KNB9" s="2"/>
      <c r="KNC9" s="2"/>
      <c r="KND9" s="2"/>
      <c r="KNE9" s="2"/>
      <c r="KNF9" s="2"/>
      <c r="KNG9" s="2"/>
      <c r="KNH9" s="2"/>
      <c r="KNI9" s="2"/>
      <c r="KNJ9" s="2"/>
      <c r="KNK9" s="2"/>
      <c r="KNL9" s="2"/>
      <c r="KNM9" s="2"/>
      <c r="KNN9" s="2"/>
      <c r="KNO9" s="2"/>
      <c r="KNP9" s="2"/>
      <c r="KNQ9" s="2"/>
      <c r="KNR9" s="2"/>
      <c r="KNS9" s="2"/>
      <c r="KNT9" s="2"/>
      <c r="KNU9" s="2"/>
      <c r="KNV9" s="2"/>
      <c r="KNW9" s="2"/>
      <c r="KNX9" s="2"/>
      <c r="KNY9" s="2"/>
      <c r="KNZ9" s="2"/>
      <c r="KOA9" s="2"/>
      <c r="KOB9" s="2"/>
      <c r="KOC9" s="2"/>
      <c r="KOD9" s="2"/>
      <c r="KOE9" s="2"/>
      <c r="KOF9" s="2"/>
      <c r="KOG9" s="2"/>
      <c r="KOH9" s="2"/>
      <c r="KOI9" s="2"/>
      <c r="KOJ9" s="2"/>
      <c r="KOK9" s="2"/>
      <c r="KOL9" s="2"/>
      <c r="KOM9" s="2"/>
      <c r="KON9" s="2"/>
      <c r="KOO9" s="2"/>
      <c r="KOP9" s="2"/>
      <c r="KOQ9" s="2"/>
      <c r="KOR9" s="2"/>
      <c r="KOS9" s="2"/>
      <c r="KOT9" s="2"/>
      <c r="KOU9" s="2"/>
      <c r="KOV9" s="2"/>
      <c r="KOW9" s="2"/>
      <c r="KOX9" s="2"/>
      <c r="KOY9" s="2"/>
      <c r="KOZ9" s="2"/>
      <c r="KPA9" s="2"/>
      <c r="KPB9" s="2"/>
      <c r="KPC9" s="2"/>
      <c r="KPD9" s="2"/>
      <c r="KPE9" s="2"/>
      <c r="KPF9" s="2"/>
      <c r="KPG9" s="2"/>
      <c r="KPH9" s="2"/>
      <c r="KPI9" s="2"/>
      <c r="KPJ9" s="2"/>
      <c r="KPK9" s="2"/>
      <c r="KPL9" s="2"/>
      <c r="KPM9" s="2"/>
      <c r="KPN9" s="2"/>
      <c r="KPO9" s="2"/>
      <c r="KPP9" s="2"/>
      <c r="KPQ9" s="2"/>
      <c r="KPR9" s="2"/>
      <c r="KPS9" s="2"/>
      <c r="KPT9" s="2"/>
      <c r="KPU9" s="2"/>
      <c r="KPV9" s="2"/>
      <c r="KPW9" s="2"/>
      <c r="KPX9" s="2"/>
      <c r="KPY9" s="2"/>
      <c r="KPZ9" s="2"/>
      <c r="KQA9" s="2"/>
      <c r="KQB9" s="2"/>
      <c r="KQC9" s="2"/>
      <c r="KQD9" s="2"/>
      <c r="KQE9" s="2"/>
      <c r="KQF9" s="2"/>
      <c r="KQG9" s="2"/>
      <c r="KQH9" s="2"/>
      <c r="KQI9" s="2"/>
      <c r="KQJ9" s="2"/>
      <c r="KQK9" s="2"/>
      <c r="KQL9" s="2"/>
      <c r="KQM9" s="2"/>
      <c r="KQN9" s="2"/>
      <c r="KQO9" s="2"/>
      <c r="KQP9" s="2"/>
      <c r="KQQ9" s="2"/>
      <c r="KQR9" s="2"/>
      <c r="KQS9" s="2"/>
      <c r="KQT9" s="2"/>
      <c r="KQU9" s="2"/>
      <c r="KQV9" s="2"/>
      <c r="KQW9" s="2"/>
      <c r="KQX9" s="2"/>
      <c r="KQY9" s="2"/>
      <c r="KQZ9" s="2"/>
      <c r="KRA9" s="2"/>
      <c r="KRB9" s="2"/>
      <c r="KRC9" s="2"/>
      <c r="KRD9" s="2"/>
      <c r="KRE9" s="2"/>
      <c r="KRF9" s="2"/>
      <c r="KRG9" s="2"/>
      <c r="KRH9" s="2"/>
      <c r="KRI9" s="2"/>
      <c r="KRJ9" s="2"/>
      <c r="KRK9" s="2"/>
      <c r="KRL9" s="2"/>
      <c r="KRM9" s="2"/>
      <c r="KRN9" s="2"/>
      <c r="KRO9" s="2"/>
      <c r="KRP9" s="2"/>
      <c r="KRQ9" s="2"/>
      <c r="KRR9" s="2"/>
      <c r="KRS9" s="2"/>
      <c r="KRT9" s="2"/>
      <c r="KRU9" s="2"/>
      <c r="KRV9" s="2"/>
      <c r="KRW9" s="2"/>
      <c r="KRX9" s="2"/>
      <c r="KRY9" s="2"/>
      <c r="KRZ9" s="2"/>
      <c r="KSA9" s="2"/>
      <c r="KSB9" s="2"/>
      <c r="KSC9" s="2"/>
      <c r="KSD9" s="2"/>
      <c r="KSE9" s="2"/>
      <c r="KSF9" s="2"/>
      <c r="KSG9" s="2"/>
      <c r="KSH9" s="2"/>
      <c r="KSI9" s="2"/>
      <c r="KSJ9" s="2"/>
      <c r="KSK9" s="2"/>
      <c r="KSL9" s="2"/>
      <c r="KSM9" s="2"/>
      <c r="KSN9" s="2"/>
      <c r="KSO9" s="2"/>
      <c r="KSP9" s="2"/>
      <c r="KSQ9" s="2"/>
      <c r="KSR9" s="2"/>
      <c r="KSS9" s="2"/>
      <c r="KST9" s="2"/>
      <c r="KSU9" s="2"/>
      <c r="KSV9" s="2"/>
      <c r="KSW9" s="2"/>
      <c r="KSX9" s="2"/>
      <c r="KSY9" s="2"/>
      <c r="KSZ9" s="2"/>
      <c r="KTA9" s="2"/>
      <c r="KTB9" s="2"/>
      <c r="KTC9" s="2"/>
      <c r="KTD9" s="2"/>
      <c r="KTE9" s="2"/>
      <c r="KTF9" s="2"/>
      <c r="KTG9" s="2"/>
      <c r="KTH9" s="2"/>
      <c r="KTI9" s="2"/>
      <c r="KTJ9" s="2"/>
      <c r="KTK9" s="2"/>
      <c r="KTL9" s="2"/>
      <c r="KTM9" s="2"/>
      <c r="KTN9" s="2"/>
      <c r="KTO9" s="2"/>
      <c r="KTP9" s="2"/>
      <c r="KTQ9" s="2"/>
      <c r="KTR9" s="2"/>
      <c r="KTS9" s="2"/>
      <c r="KTT9" s="2"/>
      <c r="KTU9" s="2"/>
      <c r="KTV9" s="2"/>
      <c r="KTW9" s="2"/>
      <c r="KTX9" s="2"/>
      <c r="KTY9" s="2"/>
      <c r="KTZ9" s="2"/>
      <c r="KUA9" s="2"/>
      <c r="KUB9" s="2"/>
      <c r="KUC9" s="2"/>
      <c r="KUD9" s="2"/>
      <c r="KUE9" s="2"/>
      <c r="KUF9" s="2"/>
      <c r="KUG9" s="2"/>
      <c r="KUH9" s="2"/>
      <c r="KUI9" s="2"/>
      <c r="KUJ9" s="2"/>
      <c r="KUK9" s="2"/>
      <c r="KUL9" s="2"/>
      <c r="KUM9" s="2"/>
      <c r="KUN9" s="2"/>
      <c r="KUO9" s="2"/>
      <c r="KUP9" s="2"/>
      <c r="KUQ9" s="2"/>
      <c r="KUR9" s="2"/>
      <c r="KUS9" s="2"/>
      <c r="KUT9" s="2"/>
      <c r="KUU9" s="2"/>
      <c r="KUV9" s="2"/>
      <c r="KUW9" s="2"/>
      <c r="KUX9" s="2"/>
      <c r="KUY9" s="2"/>
      <c r="KUZ9" s="2"/>
      <c r="KVA9" s="2"/>
      <c r="KVB9" s="2"/>
      <c r="KVC9" s="2"/>
      <c r="KVD9" s="2"/>
      <c r="KVE9" s="2"/>
      <c r="KVF9" s="2"/>
      <c r="KVG9" s="2"/>
      <c r="KVH9" s="2"/>
      <c r="KVI9" s="2"/>
      <c r="KVJ9" s="2"/>
      <c r="KVK9" s="2"/>
      <c r="KVL9" s="2"/>
      <c r="KVM9" s="2"/>
      <c r="KVN9" s="2"/>
      <c r="KVO9" s="2"/>
      <c r="KVP9" s="2"/>
      <c r="KVQ9" s="2"/>
      <c r="KVR9" s="2"/>
      <c r="KVS9" s="2"/>
      <c r="KVT9" s="2"/>
      <c r="KVU9" s="2"/>
      <c r="KVV9" s="2"/>
      <c r="KVW9" s="2"/>
      <c r="KVX9" s="2"/>
      <c r="KVY9" s="2"/>
      <c r="KVZ9" s="2"/>
      <c r="KWA9" s="2"/>
      <c r="KWB9" s="2"/>
      <c r="KWC9" s="2"/>
      <c r="KWD9" s="2"/>
      <c r="KWE9" s="2"/>
      <c r="KWF9" s="2"/>
      <c r="KWG9" s="2"/>
      <c r="KWH9" s="2"/>
      <c r="KWI9" s="2"/>
      <c r="KWJ9" s="2"/>
      <c r="KWK9" s="2"/>
      <c r="KWL9" s="2"/>
      <c r="KWM9" s="2"/>
      <c r="KWN9" s="2"/>
      <c r="KWO9" s="2"/>
      <c r="KWP9" s="2"/>
      <c r="KWQ9" s="2"/>
      <c r="KWR9" s="2"/>
      <c r="KWS9" s="2"/>
      <c r="KWT9" s="2"/>
      <c r="KWU9" s="2"/>
      <c r="KWV9" s="2"/>
      <c r="KWW9" s="2"/>
      <c r="KWX9" s="2"/>
      <c r="KWY9" s="2"/>
      <c r="KWZ9" s="2"/>
      <c r="KXA9" s="2"/>
      <c r="KXB9" s="2"/>
      <c r="KXC9" s="2"/>
      <c r="KXD9" s="2"/>
      <c r="KXE9" s="2"/>
      <c r="KXF9" s="2"/>
      <c r="KXG9" s="2"/>
      <c r="KXH9" s="2"/>
      <c r="KXI9" s="2"/>
      <c r="KXJ9" s="2"/>
      <c r="KXK9" s="2"/>
      <c r="KXL9" s="2"/>
      <c r="KXM9" s="2"/>
      <c r="KXN9" s="2"/>
      <c r="KXO9" s="2"/>
      <c r="KXP9" s="2"/>
      <c r="KXQ9" s="2"/>
      <c r="KXR9" s="2"/>
      <c r="KXS9" s="2"/>
      <c r="KXT9" s="2"/>
      <c r="KXU9" s="2"/>
      <c r="KXV9" s="2"/>
      <c r="KXW9" s="2"/>
      <c r="KXX9" s="2"/>
      <c r="KXY9" s="2"/>
      <c r="KXZ9" s="2"/>
      <c r="KYA9" s="2"/>
      <c r="KYB9" s="2"/>
      <c r="KYC9" s="2"/>
      <c r="KYD9" s="2"/>
      <c r="KYE9" s="2"/>
      <c r="KYF9" s="2"/>
      <c r="KYG9" s="2"/>
      <c r="KYH9" s="2"/>
      <c r="KYI9" s="2"/>
      <c r="KYJ9" s="2"/>
      <c r="KYK9" s="2"/>
      <c r="KYL9" s="2"/>
      <c r="KYM9" s="2"/>
      <c r="KYN9" s="2"/>
      <c r="KYO9" s="2"/>
      <c r="KYP9" s="2"/>
      <c r="KYQ9" s="2"/>
      <c r="KYR9" s="2"/>
      <c r="KYS9" s="2"/>
      <c r="KYT9" s="2"/>
      <c r="KYU9" s="2"/>
      <c r="KYV9" s="2"/>
      <c r="KYW9" s="2"/>
      <c r="KYX9" s="2"/>
      <c r="KYY9" s="2"/>
      <c r="KYZ9" s="2"/>
      <c r="KZA9" s="2"/>
      <c r="KZB9" s="2"/>
      <c r="KZC9" s="2"/>
      <c r="KZD9" s="2"/>
      <c r="KZE9" s="2"/>
      <c r="KZF9" s="2"/>
      <c r="KZG9" s="2"/>
      <c r="KZH9" s="2"/>
      <c r="KZI9" s="2"/>
      <c r="KZJ9" s="2"/>
      <c r="KZK9" s="2"/>
      <c r="KZL9" s="2"/>
      <c r="KZM9" s="2"/>
      <c r="KZN9" s="2"/>
      <c r="KZO9" s="2"/>
      <c r="KZP9" s="2"/>
      <c r="KZQ9" s="2"/>
      <c r="KZR9" s="2"/>
      <c r="KZS9" s="2"/>
      <c r="KZT9" s="2"/>
      <c r="KZU9" s="2"/>
      <c r="KZV9" s="2"/>
      <c r="KZW9" s="2"/>
      <c r="KZX9" s="2"/>
      <c r="KZY9" s="2"/>
      <c r="KZZ9" s="2"/>
      <c r="LAA9" s="2"/>
      <c r="LAB9" s="2"/>
      <c r="LAC9" s="2"/>
      <c r="LAD9" s="2"/>
      <c r="LAE9" s="2"/>
      <c r="LAF9" s="2"/>
      <c r="LAG9" s="2"/>
      <c r="LAH9" s="2"/>
      <c r="LAI9" s="2"/>
      <c r="LAJ9" s="2"/>
      <c r="LAK9" s="2"/>
      <c r="LAL9" s="2"/>
      <c r="LAM9" s="2"/>
      <c r="LAN9" s="2"/>
      <c r="LAO9" s="2"/>
      <c r="LAP9" s="2"/>
      <c r="LAQ9" s="2"/>
      <c r="LAR9" s="2"/>
      <c r="LAS9" s="2"/>
      <c r="LAT9" s="2"/>
      <c r="LAU9" s="2"/>
      <c r="LAV9" s="2"/>
      <c r="LAW9" s="2"/>
      <c r="LAX9" s="2"/>
      <c r="LAY9" s="2"/>
      <c r="LAZ9" s="2"/>
      <c r="LBA9" s="2"/>
      <c r="LBB9" s="2"/>
      <c r="LBC9" s="2"/>
      <c r="LBD9" s="2"/>
      <c r="LBE9" s="2"/>
      <c r="LBF9" s="2"/>
      <c r="LBG9" s="2"/>
      <c r="LBH9" s="2"/>
      <c r="LBI9" s="2"/>
      <c r="LBJ9" s="2"/>
      <c r="LBK9" s="2"/>
      <c r="LBL9" s="2"/>
      <c r="LBM9" s="2"/>
      <c r="LBN9" s="2"/>
      <c r="LBO9" s="2"/>
      <c r="LBP9" s="2"/>
      <c r="LBQ9" s="2"/>
      <c r="LBR9" s="2"/>
      <c r="LBS9" s="2"/>
      <c r="LBT9" s="2"/>
      <c r="LBU9" s="2"/>
      <c r="LBV9" s="2"/>
      <c r="LBW9" s="2"/>
      <c r="LBX9" s="2"/>
      <c r="LBY9" s="2"/>
      <c r="LBZ9" s="2"/>
      <c r="LCA9" s="2"/>
      <c r="LCB9" s="2"/>
      <c r="LCC9" s="2"/>
      <c r="LCD9" s="2"/>
      <c r="LCE9" s="2"/>
      <c r="LCF9" s="2"/>
      <c r="LCG9" s="2"/>
      <c r="LCH9" s="2"/>
      <c r="LCI9" s="2"/>
      <c r="LCJ9" s="2"/>
      <c r="LCK9" s="2"/>
      <c r="LCL9" s="2"/>
      <c r="LCM9" s="2"/>
      <c r="LCN9" s="2"/>
      <c r="LCO9" s="2"/>
      <c r="LCP9" s="2"/>
      <c r="LCQ9" s="2"/>
      <c r="LCR9" s="2"/>
      <c r="LCS9" s="2"/>
      <c r="LCT9" s="2"/>
      <c r="LCU9" s="2"/>
      <c r="LCV9" s="2"/>
      <c r="LCW9" s="2"/>
      <c r="LCX9" s="2"/>
      <c r="LCY9" s="2"/>
      <c r="LCZ9" s="2"/>
      <c r="LDA9" s="2"/>
      <c r="LDB9" s="2"/>
      <c r="LDC9" s="2"/>
      <c r="LDD9" s="2"/>
      <c r="LDE9" s="2"/>
      <c r="LDF9" s="2"/>
      <c r="LDG9" s="2"/>
      <c r="LDH9" s="2"/>
      <c r="LDI9" s="2"/>
      <c r="LDJ9" s="2"/>
      <c r="LDK9" s="2"/>
      <c r="LDL9" s="2"/>
      <c r="LDM9" s="2"/>
      <c r="LDN9" s="2"/>
      <c r="LDO9" s="2"/>
      <c r="LDP9" s="2"/>
      <c r="LDQ9" s="2"/>
      <c r="LDR9" s="2"/>
      <c r="LDS9" s="2"/>
      <c r="LDT9" s="2"/>
      <c r="LDU9" s="2"/>
      <c r="LDV9" s="2"/>
      <c r="LDW9" s="2"/>
      <c r="LDX9" s="2"/>
      <c r="LDY9" s="2"/>
      <c r="LDZ9" s="2"/>
      <c r="LEA9" s="2"/>
      <c r="LEB9" s="2"/>
      <c r="LEC9" s="2"/>
      <c r="LED9" s="2"/>
      <c r="LEE9" s="2"/>
      <c r="LEF9" s="2"/>
      <c r="LEG9" s="2"/>
      <c r="LEH9" s="2"/>
      <c r="LEI9" s="2"/>
      <c r="LEJ9" s="2"/>
      <c r="LEK9" s="2"/>
      <c r="LEL9" s="2"/>
      <c r="LEM9" s="2"/>
      <c r="LEN9" s="2"/>
      <c r="LEO9" s="2"/>
      <c r="LEP9" s="2"/>
      <c r="LEQ9" s="2"/>
      <c r="LER9" s="2"/>
      <c r="LES9" s="2"/>
      <c r="LET9" s="2"/>
      <c r="LEU9" s="2"/>
      <c r="LEV9" s="2"/>
      <c r="LEW9" s="2"/>
      <c r="LEX9" s="2"/>
      <c r="LEY9" s="2"/>
      <c r="LEZ9" s="2"/>
      <c r="LFA9" s="2"/>
      <c r="LFB9" s="2"/>
      <c r="LFC9" s="2"/>
      <c r="LFD9" s="2"/>
      <c r="LFE9" s="2"/>
      <c r="LFF9" s="2"/>
      <c r="LFG9" s="2"/>
      <c r="LFH9" s="2"/>
      <c r="LFI9" s="2"/>
      <c r="LFJ9" s="2"/>
      <c r="LFK9" s="2"/>
      <c r="LFL9" s="2"/>
      <c r="LFM9" s="2"/>
      <c r="LFN9" s="2"/>
      <c r="LFO9" s="2"/>
      <c r="LFP9" s="2"/>
      <c r="LFQ9" s="2"/>
      <c r="LFR9" s="2"/>
      <c r="LFS9" s="2"/>
      <c r="LFT9" s="2"/>
      <c r="LFU9" s="2"/>
      <c r="LFV9" s="2"/>
      <c r="LFW9" s="2"/>
      <c r="LFX9" s="2"/>
      <c r="LFY9" s="2"/>
      <c r="LFZ9" s="2"/>
      <c r="LGA9" s="2"/>
      <c r="LGB9" s="2"/>
      <c r="LGC9" s="2"/>
      <c r="LGD9" s="2"/>
      <c r="LGE9" s="2"/>
      <c r="LGF9" s="2"/>
      <c r="LGG9" s="2"/>
      <c r="LGH9" s="2"/>
      <c r="LGI9" s="2"/>
      <c r="LGJ9" s="2"/>
      <c r="LGK9" s="2"/>
      <c r="LGL9" s="2"/>
      <c r="LGM9" s="2"/>
      <c r="LGN9" s="2"/>
      <c r="LGO9" s="2"/>
      <c r="LGP9" s="2"/>
      <c r="LGQ9" s="2"/>
      <c r="LGR9" s="2"/>
      <c r="LGS9" s="2"/>
      <c r="LGT9" s="2"/>
      <c r="LGU9" s="2"/>
      <c r="LGV9" s="2"/>
      <c r="LGW9" s="2"/>
      <c r="LGX9" s="2"/>
      <c r="LGY9" s="2"/>
      <c r="LGZ9" s="2"/>
      <c r="LHA9" s="2"/>
      <c r="LHB9" s="2"/>
      <c r="LHC9" s="2"/>
      <c r="LHD9" s="2"/>
      <c r="LHE9" s="2"/>
      <c r="LHF9" s="2"/>
      <c r="LHG9" s="2"/>
      <c r="LHH9" s="2"/>
      <c r="LHI9" s="2"/>
      <c r="LHJ9" s="2"/>
      <c r="LHK9" s="2"/>
      <c r="LHL9" s="2"/>
      <c r="LHM9" s="2"/>
      <c r="LHN9" s="2"/>
      <c r="LHO9" s="2"/>
      <c r="LHP9" s="2"/>
      <c r="LHQ9" s="2"/>
      <c r="LHR9" s="2"/>
      <c r="LHS9" s="2"/>
      <c r="LHT9" s="2"/>
      <c r="LHU9" s="2"/>
      <c r="LHV9" s="2"/>
      <c r="LHW9" s="2"/>
      <c r="LHX9" s="2"/>
      <c r="LHY9" s="2"/>
      <c r="LHZ9" s="2"/>
      <c r="LIA9" s="2"/>
      <c r="LIB9" s="2"/>
      <c r="LIC9" s="2"/>
      <c r="LID9" s="2"/>
      <c r="LIE9" s="2"/>
      <c r="LIF9" s="2"/>
      <c r="LIG9" s="2"/>
      <c r="LIH9" s="2"/>
      <c r="LII9" s="2"/>
      <c r="LIJ9" s="2"/>
      <c r="LIK9" s="2"/>
      <c r="LIL9" s="2"/>
      <c r="LIM9" s="2"/>
      <c r="LIN9" s="2"/>
      <c r="LIO9" s="2"/>
      <c r="LIP9" s="2"/>
      <c r="LIQ9" s="2"/>
      <c r="LIR9" s="2"/>
      <c r="LIS9" s="2"/>
      <c r="LIT9" s="2"/>
      <c r="LIU9" s="2"/>
      <c r="LIV9" s="2"/>
      <c r="LIW9" s="2"/>
      <c r="LIX9" s="2"/>
      <c r="LIY9" s="2"/>
      <c r="LIZ9" s="2"/>
      <c r="LJA9" s="2"/>
      <c r="LJB9" s="2"/>
      <c r="LJC9" s="2"/>
      <c r="LJD9" s="2"/>
      <c r="LJE9" s="2"/>
      <c r="LJF9" s="2"/>
      <c r="LJG9" s="2"/>
      <c r="LJH9" s="2"/>
      <c r="LJI9" s="2"/>
      <c r="LJJ9" s="2"/>
      <c r="LJK9" s="2"/>
      <c r="LJL9" s="2"/>
      <c r="LJM9" s="2"/>
      <c r="LJN9" s="2"/>
      <c r="LJO9" s="2"/>
      <c r="LJP9" s="2"/>
      <c r="LJQ9" s="2"/>
      <c r="LJR9" s="2"/>
      <c r="LJS9" s="2"/>
      <c r="LJT9" s="2"/>
      <c r="LJU9" s="2"/>
      <c r="LJV9" s="2"/>
      <c r="LJW9" s="2"/>
      <c r="LJX9" s="2"/>
      <c r="LJY9" s="2"/>
      <c r="LJZ9" s="2"/>
      <c r="LKA9" s="2"/>
      <c r="LKB9" s="2"/>
      <c r="LKC9" s="2"/>
      <c r="LKD9" s="2"/>
      <c r="LKE9" s="2"/>
      <c r="LKF9" s="2"/>
      <c r="LKG9" s="2"/>
      <c r="LKH9" s="2"/>
      <c r="LKI9" s="2"/>
      <c r="LKJ9" s="2"/>
      <c r="LKK9" s="2"/>
      <c r="LKL9" s="2"/>
      <c r="LKM9" s="2"/>
      <c r="LKN9" s="2"/>
      <c r="LKO9" s="2"/>
      <c r="LKP9" s="2"/>
      <c r="LKQ9" s="2"/>
      <c r="LKR9" s="2"/>
      <c r="LKS9" s="2"/>
      <c r="LKT9" s="2"/>
      <c r="LKU9" s="2"/>
      <c r="LKV9" s="2"/>
      <c r="LKW9" s="2"/>
      <c r="LKX9" s="2"/>
      <c r="LKY9" s="2"/>
      <c r="LKZ9" s="2"/>
      <c r="LLA9" s="2"/>
      <c r="LLB9" s="2"/>
      <c r="LLC9" s="2"/>
      <c r="LLD9" s="2"/>
      <c r="LLE9" s="2"/>
      <c r="LLF9" s="2"/>
      <c r="LLG9" s="2"/>
      <c r="LLH9" s="2"/>
      <c r="LLI9" s="2"/>
      <c r="LLJ9" s="2"/>
      <c r="LLK9" s="2"/>
      <c r="LLL9" s="2"/>
      <c r="LLM9" s="2"/>
      <c r="LLN9" s="2"/>
      <c r="LLO9" s="2"/>
      <c r="LLP9" s="2"/>
      <c r="LLQ9" s="2"/>
      <c r="LLR9" s="2"/>
      <c r="LLS9" s="2"/>
      <c r="LLT9" s="2"/>
      <c r="LLU9" s="2"/>
      <c r="LLV9" s="2"/>
      <c r="LLW9" s="2"/>
      <c r="LLX9" s="2"/>
      <c r="LLY9" s="2"/>
      <c r="LLZ9" s="2"/>
      <c r="LMA9" s="2"/>
      <c r="LMB9" s="2"/>
      <c r="LMC9" s="2"/>
      <c r="LMD9" s="2"/>
      <c r="LME9" s="2"/>
      <c r="LMF9" s="2"/>
      <c r="LMG9" s="2"/>
      <c r="LMH9" s="2"/>
      <c r="LMI9" s="2"/>
      <c r="LMJ9" s="2"/>
      <c r="LMK9" s="2"/>
      <c r="LML9" s="2"/>
      <c r="LMM9" s="2"/>
      <c r="LMN9" s="2"/>
      <c r="LMO9" s="2"/>
      <c r="LMP9" s="2"/>
      <c r="LMQ9" s="2"/>
      <c r="LMR9" s="2"/>
      <c r="LMS9" s="2"/>
      <c r="LMT9" s="2"/>
      <c r="LMU9" s="2"/>
      <c r="LMV9" s="2"/>
      <c r="LMW9" s="2"/>
      <c r="LMX9" s="2"/>
      <c r="LMY9" s="2"/>
      <c r="LMZ9" s="2"/>
      <c r="LNA9" s="2"/>
      <c r="LNB9" s="2"/>
      <c r="LNC9" s="2"/>
      <c r="LND9" s="2"/>
      <c r="LNE9" s="2"/>
      <c r="LNF9" s="2"/>
      <c r="LNG9" s="2"/>
      <c r="LNH9" s="2"/>
      <c r="LNI9" s="2"/>
      <c r="LNJ9" s="2"/>
      <c r="LNK9" s="2"/>
      <c r="LNL9" s="2"/>
      <c r="LNM9" s="2"/>
      <c r="LNN9" s="2"/>
      <c r="LNO9" s="2"/>
      <c r="LNP9" s="2"/>
      <c r="LNQ9" s="2"/>
      <c r="LNR9" s="2"/>
      <c r="LNS9" s="2"/>
      <c r="LNT9" s="2"/>
      <c r="LNU9" s="2"/>
      <c r="LNV9" s="2"/>
      <c r="LNW9" s="2"/>
      <c r="LNX9" s="2"/>
      <c r="LNY9" s="2"/>
      <c r="LNZ9" s="2"/>
      <c r="LOA9" s="2"/>
      <c r="LOB9" s="2"/>
      <c r="LOC9" s="2"/>
      <c r="LOD9" s="2"/>
      <c r="LOE9" s="2"/>
      <c r="LOF9" s="2"/>
      <c r="LOG9" s="2"/>
      <c r="LOH9" s="2"/>
      <c r="LOI9" s="2"/>
      <c r="LOJ9" s="2"/>
      <c r="LOK9" s="2"/>
      <c r="LOL9" s="2"/>
      <c r="LOM9" s="2"/>
      <c r="LON9" s="2"/>
      <c r="LOO9" s="2"/>
      <c r="LOP9" s="2"/>
      <c r="LOQ9" s="2"/>
      <c r="LOR9" s="2"/>
      <c r="LOS9" s="2"/>
      <c r="LOT9" s="2"/>
      <c r="LOU9" s="2"/>
      <c r="LOV9" s="2"/>
      <c r="LOW9" s="2"/>
      <c r="LOX9" s="2"/>
      <c r="LOY9" s="2"/>
      <c r="LOZ9" s="2"/>
      <c r="LPA9" s="2"/>
      <c r="LPB9" s="2"/>
      <c r="LPC9" s="2"/>
      <c r="LPD9" s="2"/>
      <c r="LPE9" s="2"/>
      <c r="LPF9" s="2"/>
      <c r="LPG9" s="2"/>
      <c r="LPH9" s="2"/>
      <c r="LPI9" s="2"/>
      <c r="LPJ9" s="2"/>
      <c r="LPK9" s="2"/>
      <c r="LPL9" s="2"/>
      <c r="LPM9" s="2"/>
      <c r="LPN9" s="2"/>
      <c r="LPO9" s="2"/>
      <c r="LPP9" s="2"/>
      <c r="LPQ9" s="2"/>
      <c r="LPR9" s="2"/>
      <c r="LPS9" s="2"/>
      <c r="LPT9" s="2"/>
      <c r="LPU9" s="2"/>
      <c r="LPV9" s="2"/>
      <c r="LPW9" s="2"/>
      <c r="LPX9" s="2"/>
      <c r="LPY9" s="2"/>
      <c r="LPZ9" s="2"/>
      <c r="LQA9" s="2"/>
      <c r="LQB9" s="2"/>
      <c r="LQC9" s="2"/>
      <c r="LQD9" s="2"/>
      <c r="LQE9" s="2"/>
      <c r="LQF9" s="2"/>
      <c r="LQG9" s="2"/>
      <c r="LQH9" s="2"/>
      <c r="LQI9" s="2"/>
      <c r="LQJ9" s="2"/>
      <c r="LQK9" s="2"/>
      <c r="LQL9" s="2"/>
      <c r="LQM9" s="2"/>
      <c r="LQN9" s="2"/>
      <c r="LQO9" s="2"/>
      <c r="LQP9" s="2"/>
      <c r="LQQ9" s="2"/>
      <c r="LQR9" s="2"/>
      <c r="LQS9" s="2"/>
      <c r="LQT9" s="2"/>
      <c r="LQU9" s="2"/>
      <c r="LQV9" s="2"/>
      <c r="LQW9" s="2"/>
      <c r="LQX9" s="2"/>
      <c r="LQY9" s="2"/>
      <c r="LQZ9" s="2"/>
      <c r="LRA9" s="2"/>
      <c r="LRB9" s="2"/>
      <c r="LRC9" s="2"/>
      <c r="LRD9" s="2"/>
      <c r="LRE9" s="2"/>
      <c r="LRF9" s="2"/>
      <c r="LRG9" s="2"/>
      <c r="LRH9" s="2"/>
      <c r="LRI9" s="2"/>
      <c r="LRJ9" s="2"/>
      <c r="LRK9" s="2"/>
      <c r="LRL9" s="2"/>
      <c r="LRM9" s="2"/>
      <c r="LRN9" s="2"/>
      <c r="LRO9" s="2"/>
      <c r="LRP9" s="2"/>
      <c r="LRQ9" s="2"/>
      <c r="LRR9" s="2"/>
      <c r="LRS9" s="2"/>
      <c r="LRT9" s="2"/>
      <c r="LRU9" s="2"/>
      <c r="LRV9" s="2"/>
      <c r="LRW9" s="2"/>
      <c r="LRX9" s="2"/>
      <c r="LRY9" s="2"/>
      <c r="LRZ9" s="2"/>
      <c r="LSA9" s="2"/>
      <c r="LSB9" s="2"/>
      <c r="LSC9" s="2"/>
      <c r="LSD9" s="2"/>
      <c r="LSE9" s="2"/>
      <c r="LSF9" s="2"/>
      <c r="LSG9" s="2"/>
      <c r="LSH9" s="2"/>
      <c r="LSI9" s="2"/>
      <c r="LSJ9" s="2"/>
      <c r="LSK9" s="2"/>
      <c r="LSL9" s="2"/>
      <c r="LSM9" s="2"/>
      <c r="LSN9" s="2"/>
      <c r="LSO9" s="2"/>
      <c r="LSP9" s="2"/>
      <c r="LSQ9" s="2"/>
      <c r="LSR9" s="2"/>
      <c r="LSS9" s="2"/>
      <c r="LST9" s="2"/>
      <c r="LSU9" s="2"/>
      <c r="LSV9" s="2"/>
      <c r="LSW9" s="2"/>
      <c r="LSX9" s="2"/>
      <c r="LSY9" s="2"/>
      <c r="LSZ9" s="2"/>
      <c r="LTA9" s="2"/>
      <c r="LTB9" s="2"/>
      <c r="LTC9" s="2"/>
      <c r="LTD9" s="2"/>
      <c r="LTE9" s="2"/>
      <c r="LTF9" s="2"/>
      <c r="LTG9" s="2"/>
      <c r="LTH9" s="2"/>
      <c r="LTI9" s="2"/>
      <c r="LTJ9" s="2"/>
      <c r="LTK9" s="2"/>
      <c r="LTL9" s="2"/>
      <c r="LTM9" s="2"/>
      <c r="LTN9" s="2"/>
      <c r="LTO9" s="2"/>
      <c r="LTP9" s="2"/>
      <c r="LTQ9" s="2"/>
      <c r="LTR9" s="2"/>
      <c r="LTS9" s="2"/>
      <c r="LTT9" s="2"/>
      <c r="LTU9" s="2"/>
      <c r="LTV9" s="2"/>
      <c r="LTW9" s="2"/>
      <c r="LTX9" s="2"/>
      <c r="LTY9" s="2"/>
      <c r="LTZ9" s="2"/>
      <c r="LUA9" s="2"/>
      <c r="LUB9" s="2"/>
      <c r="LUC9" s="2"/>
      <c r="LUD9" s="2"/>
      <c r="LUE9" s="2"/>
      <c r="LUF9" s="2"/>
      <c r="LUG9" s="2"/>
      <c r="LUH9" s="2"/>
      <c r="LUI9" s="2"/>
      <c r="LUJ9" s="2"/>
      <c r="LUK9" s="2"/>
      <c r="LUL9" s="2"/>
      <c r="LUM9" s="2"/>
      <c r="LUN9" s="2"/>
      <c r="LUO9" s="2"/>
      <c r="LUP9" s="2"/>
      <c r="LUQ9" s="2"/>
      <c r="LUR9" s="2"/>
      <c r="LUS9" s="2"/>
      <c r="LUT9" s="2"/>
      <c r="LUU9" s="2"/>
      <c r="LUV9" s="2"/>
      <c r="LUW9" s="2"/>
      <c r="LUX9" s="2"/>
      <c r="LUY9" s="2"/>
      <c r="LUZ9" s="2"/>
      <c r="LVA9" s="2"/>
      <c r="LVB9" s="2"/>
      <c r="LVC9" s="2"/>
      <c r="LVD9" s="2"/>
      <c r="LVE9" s="2"/>
      <c r="LVF9" s="2"/>
      <c r="LVG9" s="2"/>
      <c r="LVH9" s="2"/>
      <c r="LVI9" s="2"/>
      <c r="LVJ9" s="2"/>
      <c r="LVK9" s="2"/>
      <c r="LVL9" s="2"/>
      <c r="LVM9" s="2"/>
      <c r="LVN9" s="2"/>
      <c r="LVO9" s="2"/>
      <c r="LVP9" s="2"/>
      <c r="LVQ9" s="2"/>
      <c r="LVR9" s="2"/>
      <c r="LVS9" s="2"/>
      <c r="LVT9" s="2"/>
      <c r="LVU9" s="2"/>
      <c r="LVV9" s="2"/>
      <c r="LVW9" s="2"/>
      <c r="LVX9" s="2"/>
      <c r="LVY9" s="2"/>
      <c r="LVZ9" s="2"/>
      <c r="LWA9" s="2"/>
      <c r="LWB9" s="2"/>
      <c r="LWC9" s="2"/>
      <c r="LWD9" s="2"/>
      <c r="LWE9" s="2"/>
      <c r="LWF9" s="2"/>
      <c r="LWG9" s="2"/>
      <c r="LWH9" s="2"/>
      <c r="LWI9" s="2"/>
      <c r="LWJ9" s="2"/>
      <c r="LWK9" s="2"/>
      <c r="LWL9" s="2"/>
      <c r="LWM9" s="2"/>
      <c r="LWN9" s="2"/>
      <c r="LWO9" s="2"/>
      <c r="LWP9" s="2"/>
      <c r="LWQ9" s="2"/>
      <c r="LWR9" s="2"/>
      <c r="LWS9" s="2"/>
      <c r="LWT9" s="2"/>
      <c r="LWU9" s="2"/>
      <c r="LWV9" s="2"/>
      <c r="LWW9" s="2"/>
      <c r="LWX9" s="2"/>
      <c r="LWY9" s="2"/>
      <c r="LWZ9" s="2"/>
      <c r="LXA9" s="2"/>
      <c r="LXB9" s="2"/>
      <c r="LXC9" s="2"/>
      <c r="LXD9" s="2"/>
      <c r="LXE9" s="2"/>
      <c r="LXF9" s="2"/>
      <c r="LXG9" s="2"/>
      <c r="LXH9" s="2"/>
      <c r="LXI9" s="2"/>
      <c r="LXJ9" s="2"/>
      <c r="LXK9" s="2"/>
      <c r="LXL9" s="2"/>
      <c r="LXM9" s="2"/>
      <c r="LXN9" s="2"/>
      <c r="LXO9" s="2"/>
      <c r="LXP9" s="2"/>
      <c r="LXQ9" s="2"/>
      <c r="LXR9" s="2"/>
      <c r="LXS9" s="2"/>
      <c r="LXT9" s="2"/>
      <c r="LXU9" s="2"/>
      <c r="LXV9" s="2"/>
      <c r="LXW9" s="2"/>
      <c r="LXX9" s="2"/>
      <c r="LXY9" s="2"/>
      <c r="LXZ9" s="2"/>
      <c r="LYA9" s="2"/>
      <c r="LYB9" s="2"/>
      <c r="LYC9" s="2"/>
      <c r="LYD9" s="2"/>
      <c r="LYE9" s="2"/>
      <c r="LYF9" s="2"/>
      <c r="LYG9" s="2"/>
      <c r="LYH9" s="2"/>
      <c r="LYI9" s="2"/>
      <c r="LYJ9" s="2"/>
      <c r="LYK9" s="2"/>
      <c r="LYL9" s="2"/>
      <c r="LYM9" s="2"/>
      <c r="LYN9" s="2"/>
      <c r="LYO9" s="2"/>
      <c r="LYP9" s="2"/>
      <c r="LYQ9" s="2"/>
      <c r="LYR9" s="2"/>
      <c r="LYS9" s="2"/>
      <c r="LYT9" s="2"/>
      <c r="LYU9" s="2"/>
      <c r="LYV9" s="2"/>
      <c r="LYW9" s="2"/>
      <c r="LYX9" s="2"/>
      <c r="LYY9" s="2"/>
      <c r="LYZ9" s="2"/>
      <c r="LZA9" s="2"/>
      <c r="LZB9" s="2"/>
      <c r="LZC9" s="2"/>
      <c r="LZD9" s="2"/>
      <c r="LZE9" s="2"/>
      <c r="LZF9" s="2"/>
      <c r="LZG9" s="2"/>
      <c r="LZH9" s="2"/>
      <c r="LZI9" s="2"/>
      <c r="LZJ9" s="2"/>
      <c r="LZK9" s="2"/>
      <c r="LZL9" s="2"/>
      <c r="LZM9" s="2"/>
      <c r="LZN9" s="2"/>
      <c r="LZO9" s="2"/>
      <c r="LZP9" s="2"/>
      <c r="LZQ9" s="2"/>
      <c r="LZR9" s="2"/>
      <c r="LZS9" s="2"/>
      <c r="LZT9" s="2"/>
      <c r="LZU9" s="2"/>
      <c r="LZV9" s="2"/>
      <c r="LZW9" s="2"/>
      <c r="LZX9" s="2"/>
      <c r="LZY9" s="2"/>
      <c r="LZZ9" s="2"/>
      <c r="MAA9" s="2"/>
      <c r="MAB9" s="2"/>
      <c r="MAC9" s="2"/>
      <c r="MAD9" s="2"/>
      <c r="MAE9" s="2"/>
      <c r="MAF9" s="2"/>
      <c r="MAG9" s="2"/>
      <c r="MAH9" s="2"/>
      <c r="MAI9" s="2"/>
      <c r="MAJ9" s="2"/>
      <c r="MAK9" s="2"/>
      <c r="MAL9" s="2"/>
      <c r="MAM9" s="2"/>
      <c r="MAN9" s="2"/>
      <c r="MAO9" s="2"/>
      <c r="MAP9" s="2"/>
      <c r="MAQ9" s="2"/>
      <c r="MAR9" s="2"/>
      <c r="MAS9" s="2"/>
      <c r="MAT9" s="2"/>
      <c r="MAU9" s="2"/>
      <c r="MAV9" s="2"/>
      <c r="MAW9" s="2"/>
      <c r="MAX9" s="2"/>
      <c r="MAY9" s="2"/>
      <c r="MAZ9" s="2"/>
      <c r="MBA9" s="2"/>
      <c r="MBB9" s="2"/>
      <c r="MBC9" s="2"/>
      <c r="MBD9" s="2"/>
      <c r="MBE9" s="2"/>
      <c r="MBF9" s="2"/>
      <c r="MBG9" s="2"/>
      <c r="MBH9" s="2"/>
      <c r="MBI9" s="2"/>
      <c r="MBJ9" s="2"/>
      <c r="MBK9" s="2"/>
      <c r="MBL9" s="2"/>
      <c r="MBM9" s="2"/>
      <c r="MBN9" s="2"/>
      <c r="MBO9" s="2"/>
      <c r="MBP9" s="2"/>
      <c r="MBQ9" s="2"/>
      <c r="MBR9" s="2"/>
      <c r="MBS9" s="2"/>
      <c r="MBT9" s="2"/>
      <c r="MBU9" s="2"/>
      <c r="MBV9" s="2"/>
      <c r="MBW9" s="2"/>
      <c r="MBX9" s="2"/>
      <c r="MBY9" s="2"/>
      <c r="MBZ9" s="2"/>
      <c r="MCA9" s="2"/>
      <c r="MCB9" s="2"/>
      <c r="MCC9" s="2"/>
      <c r="MCD9" s="2"/>
      <c r="MCE9" s="2"/>
      <c r="MCF9" s="2"/>
      <c r="MCG9" s="2"/>
      <c r="MCH9" s="2"/>
      <c r="MCI9" s="2"/>
      <c r="MCJ9" s="2"/>
      <c r="MCK9" s="2"/>
      <c r="MCL9" s="2"/>
      <c r="MCM9" s="2"/>
      <c r="MCN9" s="2"/>
      <c r="MCO9" s="2"/>
      <c r="MCP9" s="2"/>
      <c r="MCQ9" s="2"/>
      <c r="MCR9" s="2"/>
      <c r="MCS9" s="2"/>
      <c r="MCT9" s="2"/>
      <c r="MCU9" s="2"/>
      <c r="MCV9" s="2"/>
      <c r="MCW9" s="2"/>
      <c r="MCX9" s="2"/>
      <c r="MCY9" s="2"/>
      <c r="MCZ9" s="2"/>
      <c r="MDA9" s="2"/>
      <c r="MDB9" s="2"/>
      <c r="MDC9" s="2"/>
      <c r="MDD9" s="2"/>
      <c r="MDE9" s="2"/>
      <c r="MDF9" s="2"/>
      <c r="MDG9" s="2"/>
      <c r="MDH9" s="2"/>
      <c r="MDI9" s="2"/>
      <c r="MDJ9" s="2"/>
      <c r="MDK9" s="2"/>
      <c r="MDL9" s="2"/>
      <c r="MDM9" s="2"/>
      <c r="MDN9" s="2"/>
      <c r="MDO9" s="2"/>
      <c r="MDP9" s="2"/>
      <c r="MDQ9" s="2"/>
      <c r="MDR9" s="2"/>
      <c r="MDS9" s="2"/>
      <c r="MDT9" s="2"/>
      <c r="MDU9" s="2"/>
      <c r="MDV9" s="2"/>
      <c r="MDW9" s="2"/>
      <c r="MDX9" s="2"/>
      <c r="MDY9" s="2"/>
      <c r="MDZ9" s="2"/>
      <c r="MEA9" s="2"/>
      <c r="MEB9" s="2"/>
      <c r="MEC9" s="2"/>
      <c r="MED9" s="2"/>
      <c r="MEE9" s="2"/>
      <c r="MEF9" s="2"/>
      <c r="MEG9" s="2"/>
      <c r="MEH9" s="2"/>
      <c r="MEI9" s="2"/>
      <c r="MEJ9" s="2"/>
      <c r="MEK9" s="2"/>
      <c r="MEL9" s="2"/>
      <c r="MEM9" s="2"/>
      <c r="MEN9" s="2"/>
      <c r="MEO9" s="2"/>
      <c r="MEP9" s="2"/>
      <c r="MEQ9" s="2"/>
      <c r="MER9" s="2"/>
      <c r="MES9" s="2"/>
      <c r="MET9" s="2"/>
      <c r="MEU9" s="2"/>
      <c r="MEV9" s="2"/>
      <c r="MEW9" s="2"/>
      <c r="MEX9" s="2"/>
      <c r="MEY9" s="2"/>
      <c r="MEZ9" s="2"/>
      <c r="MFA9" s="2"/>
      <c r="MFB9" s="2"/>
      <c r="MFC9" s="2"/>
      <c r="MFD9" s="2"/>
      <c r="MFE9" s="2"/>
      <c r="MFF9" s="2"/>
      <c r="MFG9" s="2"/>
      <c r="MFH9" s="2"/>
      <c r="MFI9" s="2"/>
      <c r="MFJ9" s="2"/>
      <c r="MFK9" s="2"/>
      <c r="MFL9" s="2"/>
      <c r="MFM9" s="2"/>
      <c r="MFN9" s="2"/>
      <c r="MFO9" s="2"/>
      <c r="MFP9" s="2"/>
      <c r="MFQ9" s="2"/>
      <c r="MFR9" s="2"/>
      <c r="MFS9" s="2"/>
      <c r="MFT9" s="2"/>
      <c r="MFU9" s="2"/>
      <c r="MFV9" s="2"/>
      <c r="MFW9" s="2"/>
      <c r="MFX9" s="2"/>
      <c r="MFY9" s="2"/>
      <c r="MFZ9" s="2"/>
      <c r="MGA9" s="2"/>
      <c r="MGB9" s="2"/>
      <c r="MGC9" s="2"/>
      <c r="MGD9" s="2"/>
      <c r="MGE9" s="2"/>
      <c r="MGF9" s="2"/>
      <c r="MGG9" s="2"/>
      <c r="MGH9" s="2"/>
      <c r="MGI9" s="2"/>
      <c r="MGJ9" s="2"/>
      <c r="MGK9" s="2"/>
      <c r="MGL9" s="2"/>
      <c r="MGM9" s="2"/>
      <c r="MGN9" s="2"/>
      <c r="MGO9" s="2"/>
      <c r="MGP9" s="2"/>
      <c r="MGQ9" s="2"/>
      <c r="MGR9" s="2"/>
      <c r="MGS9" s="2"/>
      <c r="MGT9" s="2"/>
      <c r="MGU9" s="2"/>
      <c r="MGV9" s="2"/>
      <c r="MGW9" s="2"/>
      <c r="MGX9" s="2"/>
      <c r="MGY9" s="2"/>
      <c r="MGZ9" s="2"/>
      <c r="MHA9" s="2"/>
      <c r="MHB9" s="2"/>
      <c r="MHC9" s="2"/>
      <c r="MHD9" s="2"/>
      <c r="MHE9" s="2"/>
      <c r="MHF9" s="2"/>
      <c r="MHG9" s="2"/>
      <c r="MHH9" s="2"/>
      <c r="MHI9" s="2"/>
      <c r="MHJ9" s="2"/>
      <c r="MHK9" s="2"/>
      <c r="MHL9" s="2"/>
      <c r="MHM9" s="2"/>
      <c r="MHN9" s="2"/>
      <c r="MHO9" s="2"/>
      <c r="MHP9" s="2"/>
      <c r="MHQ9" s="2"/>
      <c r="MHR9" s="2"/>
      <c r="MHS9" s="2"/>
      <c r="MHT9" s="2"/>
      <c r="MHU9" s="2"/>
      <c r="MHV9" s="2"/>
      <c r="MHW9" s="2"/>
      <c r="MHX9" s="2"/>
      <c r="MHY9" s="2"/>
      <c r="MHZ9" s="2"/>
      <c r="MIA9" s="2"/>
      <c r="MIB9" s="2"/>
      <c r="MIC9" s="2"/>
      <c r="MID9" s="2"/>
      <c r="MIE9" s="2"/>
      <c r="MIF9" s="2"/>
      <c r="MIG9" s="2"/>
      <c r="MIH9" s="2"/>
      <c r="MII9" s="2"/>
      <c r="MIJ9" s="2"/>
      <c r="MIK9" s="2"/>
      <c r="MIL9" s="2"/>
      <c r="MIM9" s="2"/>
      <c r="MIN9" s="2"/>
      <c r="MIO9" s="2"/>
      <c r="MIP9" s="2"/>
      <c r="MIQ9" s="2"/>
      <c r="MIR9" s="2"/>
      <c r="MIS9" s="2"/>
      <c r="MIT9" s="2"/>
      <c r="MIU9" s="2"/>
      <c r="MIV9" s="2"/>
      <c r="MIW9" s="2"/>
      <c r="MIX9" s="2"/>
      <c r="MIY9" s="2"/>
      <c r="MIZ9" s="2"/>
      <c r="MJA9" s="2"/>
      <c r="MJB9" s="2"/>
      <c r="MJC9" s="2"/>
      <c r="MJD9" s="2"/>
      <c r="MJE9" s="2"/>
      <c r="MJF9" s="2"/>
      <c r="MJG9" s="2"/>
      <c r="MJH9" s="2"/>
      <c r="MJI9" s="2"/>
      <c r="MJJ9" s="2"/>
      <c r="MJK9" s="2"/>
      <c r="MJL9" s="2"/>
      <c r="MJM9" s="2"/>
      <c r="MJN9" s="2"/>
      <c r="MJO9" s="2"/>
      <c r="MJP9" s="2"/>
      <c r="MJQ9" s="2"/>
      <c r="MJR9" s="2"/>
      <c r="MJS9" s="2"/>
      <c r="MJT9" s="2"/>
      <c r="MJU9" s="2"/>
      <c r="MJV9" s="2"/>
      <c r="MJW9" s="2"/>
      <c r="MJX9" s="2"/>
      <c r="MJY9" s="2"/>
      <c r="MJZ9" s="2"/>
      <c r="MKA9" s="2"/>
      <c r="MKB9" s="2"/>
      <c r="MKC9" s="2"/>
      <c r="MKD9" s="2"/>
      <c r="MKE9" s="2"/>
      <c r="MKF9" s="2"/>
      <c r="MKG9" s="2"/>
      <c r="MKH9" s="2"/>
      <c r="MKI9" s="2"/>
      <c r="MKJ9" s="2"/>
      <c r="MKK9" s="2"/>
      <c r="MKL9" s="2"/>
      <c r="MKM9" s="2"/>
      <c r="MKN9" s="2"/>
      <c r="MKO9" s="2"/>
      <c r="MKP9" s="2"/>
      <c r="MKQ9" s="2"/>
      <c r="MKR9" s="2"/>
      <c r="MKS9" s="2"/>
      <c r="MKT9" s="2"/>
      <c r="MKU9" s="2"/>
      <c r="MKV9" s="2"/>
      <c r="MKW9" s="2"/>
      <c r="MKX9" s="2"/>
      <c r="MKY9" s="2"/>
      <c r="MKZ9" s="2"/>
      <c r="MLA9" s="2"/>
      <c r="MLB9" s="2"/>
      <c r="MLC9" s="2"/>
      <c r="MLD9" s="2"/>
      <c r="MLE9" s="2"/>
      <c r="MLF9" s="2"/>
      <c r="MLG9" s="2"/>
      <c r="MLH9" s="2"/>
      <c r="MLI9" s="2"/>
      <c r="MLJ9" s="2"/>
      <c r="MLK9" s="2"/>
      <c r="MLL9" s="2"/>
      <c r="MLM9" s="2"/>
      <c r="MLN9" s="2"/>
      <c r="MLO9" s="2"/>
      <c r="MLP9" s="2"/>
      <c r="MLQ9" s="2"/>
      <c r="MLR9" s="2"/>
      <c r="MLS9" s="2"/>
      <c r="MLT9" s="2"/>
      <c r="MLU9" s="2"/>
      <c r="MLV9" s="2"/>
      <c r="MLW9" s="2"/>
      <c r="MLX9" s="2"/>
      <c r="MLY9" s="2"/>
      <c r="MLZ9" s="2"/>
      <c r="MMA9" s="2"/>
      <c r="MMB9" s="2"/>
      <c r="MMC9" s="2"/>
      <c r="MMD9" s="2"/>
      <c r="MME9" s="2"/>
      <c r="MMF9" s="2"/>
      <c r="MMG9" s="2"/>
      <c r="MMH9" s="2"/>
      <c r="MMI9" s="2"/>
      <c r="MMJ9" s="2"/>
      <c r="MMK9" s="2"/>
      <c r="MML9" s="2"/>
      <c r="MMM9" s="2"/>
      <c r="MMN9" s="2"/>
      <c r="MMO9" s="2"/>
      <c r="MMP9" s="2"/>
      <c r="MMQ9" s="2"/>
      <c r="MMR9" s="2"/>
      <c r="MMS9" s="2"/>
      <c r="MMT9" s="2"/>
      <c r="MMU9" s="2"/>
      <c r="MMV9" s="2"/>
      <c r="MMW9" s="2"/>
      <c r="MMX9" s="2"/>
      <c r="MMY9" s="2"/>
      <c r="MMZ9" s="2"/>
      <c r="MNA9" s="2"/>
      <c r="MNB9" s="2"/>
      <c r="MNC9" s="2"/>
      <c r="MND9" s="2"/>
      <c r="MNE9" s="2"/>
      <c r="MNF9" s="2"/>
      <c r="MNG9" s="2"/>
      <c r="MNH9" s="2"/>
      <c r="MNI9" s="2"/>
      <c r="MNJ9" s="2"/>
      <c r="MNK9" s="2"/>
      <c r="MNL9" s="2"/>
      <c r="MNM9" s="2"/>
      <c r="MNN9" s="2"/>
      <c r="MNO9" s="2"/>
      <c r="MNP9" s="2"/>
      <c r="MNQ9" s="2"/>
      <c r="MNR9" s="2"/>
      <c r="MNS9" s="2"/>
      <c r="MNT9" s="2"/>
      <c r="MNU9" s="2"/>
      <c r="MNV9" s="2"/>
      <c r="MNW9" s="2"/>
      <c r="MNX9" s="2"/>
      <c r="MNY9" s="2"/>
      <c r="MNZ9" s="2"/>
      <c r="MOA9" s="2"/>
      <c r="MOB9" s="2"/>
      <c r="MOC9" s="2"/>
      <c r="MOD9" s="2"/>
      <c r="MOE9" s="2"/>
      <c r="MOF9" s="2"/>
      <c r="MOG9" s="2"/>
      <c r="MOH9" s="2"/>
      <c r="MOI9" s="2"/>
      <c r="MOJ9" s="2"/>
      <c r="MOK9" s="2"/>
      <c r="MOL9" s="2"/>
      <c r="MOM9" s="2"/>
      <c r="MON9" s="2"/>
      <c r="MOO9" s="2"/>
      <c r="MOP9" s="2"/>
      <c r="MOQ9" s="2"/>
      <c r="MOR9" s="2"/>
      <c r="MOS9" s="2"/>
      <c r="MOT9" s="2"/>
      <c r="MOU9" s="2"/>
      <c r="MOV9" s="2"/>
      <c r="MOW9" s="2"/>
      <c r="MOX9" s="2"/>
      <c r="MOY9" s="2"/>
      <c r="MOZ9" s="2"/>
      <c r="MPA9" s="2"/>
      <c r="MPB9" s="2"/>
      <c r="MPC9" s="2"/>
      <c r="MPD9" s="2"/>
      <c r="MPE9" s="2"/>
      <c r="MPF9" s="2"/>
      <c r="MPG9" s="2"/>
      <c r="MPH9" s="2"/>
      <c r="MPI9" s="2"/>
      <c r="MPJ9" s="2"/>
      <c r="MPK9" s="2"/>
      <c r="MPL9" s="2"/>
      <c r="MPM9" s="2"/>
      <c r="MPN9" s="2"/>
      <c r="MPO9" s="2"/>
      <c r="MPP9" s="2"/>
      <c r="MPQ9" s="2"/>
      <c r="MPR9" s="2"/>
      <c r="MPS9" s="2"/>
      <c r="MPT9" s="2"/>
      <c r="MPU9" s="2"/>
      <c r="MPV9" s="2"/>
      <c r="MPW9" s="2"/>
      <c r="MPX9" s="2"/>
      <c r="MPY9" s="2"/>
      <c r="MPZ9" s="2"/>
      <c r="MQA9" s="2"/>
      <c r="MQB9" s="2"/>
      <c r="MQC9" s="2"/>
      <c r="MQD9" s="2"/>
      <c r="MQE9" s="2"/>
      <c r="MQF9" s="2"/>
      <c r="MQG9" s="2"/>
      <c r="MQH9" s="2"/>
      <c r="MQI9" s="2"/>
      <c r="MQJ9" s="2"/>
      <c r="MQK9" s="2"/>
      <c r="MQL9" s="2"/>
      <c r="MQM9" s="2"/>
      <c r="MQN9" s="2"/>
      <c r="MQO9" s="2"/>
      <c r="MQP9" s="2"/>
      <c r="MQQ9" s="2"/>
      <c r="MQR9" s="2"/>
      <c r="MQS9" s="2"/>
      <c r="MQT9" s="2"/>
      <c r="MQU9" s="2"/>
      <c r="MQV9" s="2"/>
      <c r="MQW9" s="2"/>
      <c r="MQX9" s="2"/>
      <c r="MQY9" s="2"/>
      <c r="MQZ9" s="2"/>
      <c r="MRA9" s="2"/>
      <c r="MRB9" s="2"/>
      <c r="MRC9" s="2"/>
      <c r="MRD9" s="2"/>
      <c r="MRE9" s="2"/>
      <c r="MRF9" s="2"/>
      <c r="MRG9" s="2"/>
      <c r="MRH9" s="2"/>
      <c r="MRI9" s="2"/>
      <c r="MRJ9" s="2"/>
      <c r="MRK9" s="2"/>
      <c r="MRL9" s="2"/>
      <c r="MRM9" s="2"/>
      <c r="MRN9" s="2"/>
      <c r="MRO9" s="2"/>
      <c r="MRP9" s="2"/>
      <c r="MRQ9" s="2"/>
      <c r="MRR9" s="2"/>
      <c r="MRS9" s="2"/>
      <c r="MRT9" s="2"/>
      <c r="MRU9" s="2"/>
      <c r="MRV9" s="2"/>
      <c r="MRW9" s="2"/>
      <c r="MRX9" s="2"/>
      <c r="MRY9" s="2"/>
      <c r="MRZ9" s="2"/>
      <c r="MSA9" s="2"/>
      <c r="MSB9" s="2"/>
      <c r="MSC9" s="2"/>
      <c r="MSD9" s="2"/>
      <c r="MSE9" s="2"/>
      <c r="MSF9" s="2"/>
      <c r="MSG9" s="2"/>
      <c r="MSH9" s="2"/>
      <c r="MSI9" s="2"/>
      <c r="MSJ9" s="2"/>
      <c r="MSK9" s="2"/>
      <c r="MSL9" s="2"/>
      <c r="MSM9" s="2"/>
      <c r="MSN9" s="2"/>
      <c r="MSO9" s="2"/>
      <c r="MSP9" s="2"/>
      <c r="MSQ9" s="2"/>
      <c r="MSR9" s="2"/>
      <c r="MSS9" s="2"/>
      <c r="MST9" s="2"/>
      <c r="MSU9" s="2"/>
      <c r="MSV9" s="2"/>
      <c r="MSW9" s="2"/>
      <c r="MSX9" s="2"/>
      <c r="MSY9" s="2"/>
      <c r="MSZ9" s="2"/>
      <c r="MTA9" s="2"/>
      <c r="MTB9" s="2"/>
      <c r="MTC9" s="2"/>
      <c r="MTD9" s="2"/>
      <c r="MTE9" s="2"/>
      <c r="MTF9" s="2"/>
      <c r="MTG9" s="2"/>
      <c r="MTH9" s="2"/>
      <c r="MTI9" s="2"/>
      <c r="MTJ9" s="2"/>
      <c r="MTK9" s="2"/>
      <c r="MTL9" s="2"/>
      <c r="MTM9" s="2"/>
      <c r="MTN9" s="2"/>
      <c r="MTO9" s="2"/>
      <c r="MTP9" s="2"/>
      <c r="MTQ9" s="2"/>
      <c r="MTR9" s="2"/>
      <c r="MTS9" s="2"/>
      <c r="MTT9" s="2"/>
      <c r="MTU9" s="2"/>
      <c r="MTV9" s="2"/>
      <c r="MTW9" s="2"/>
      <c r="MTX9" s="2"/>
      <c r="MTY9" s="2"/>
      <c r="MTZ9" s="2"/>
      <c r="MUA9" s="2"/>
      <c r="MUB9" s="2"/>
      <c r="MUC9" s="2"/>
      <c r="MUD9" s="2"/>
      <c r="MUE9" s="2"/>
      <c r="MUF9" s="2"/>
      <c r="MUG9" s="2"/>
      <c r="MUH9" s="2"/>
      <c r="MUI9" s="2"/>
      <c r="MUJ9" s="2"/>
      <c r="MUK9" s="2"/>
      <c r="MUL9" s="2"/>
      <c r="MUM9" s="2"/>
      <c r="MUN9" s="2"/>
      <c r="MUO9" s="2"/>
      <c r="MUP9" s="2"/>
      <c r="MUQ9" s="2"/>
      <c r="MUR9" s="2"/>
      <c r="MUS9" s="2"/>
      <c r="MUT9" s="2"/>
      <c r="MUU9" s="2"/>
      <c r="MUV9" s="2"/>
      <c r="MUW9" s="2"/>
      <c r="MUX9" s="2"/>
      <c r="MUY9" s="2"/>
      <c r="MUZ9" s="2"/>
      <c r="MVA9" s="2"/>
      <c r="MVB9" s="2"/>
      <c r="MVC9" s="2"/>
      <c r="MVD9" s="2"/>
      <c r="MVE9" s="2"/>
      <c r="MVF9" s="2"/>
      <c r="MVG9" s="2"/>
      <c r="MVH9" s="2"/>
      <c r="MVI9" s="2"/>
      <c r="MVJ9" s="2"/>
      <c r="MVK9" s="2"/>
      <c r="MVL9" s="2"/>
      <c r="MVM9" s="2"/>
      <c r="MVN9" s="2"/>
      <c r="MVO9" s="2"/>
      <c r="MVP9" s="2"/>
      <c r="MVQ9" s="2"/>
      <c r="MVR9" s="2"/>
      <c r="MVS9" s="2"/>
      <c r="MVT9" s="2"/>
      <c r="MVU9" s="2"/>
      <c r="MVV9" s="2"/>
      <c r="MVW9" s="2"/>
      <c r="MVX9" s="2"/>
      <c r="MVY9" s="2"/>
      <c r="MVZ9" s="2"/>
      <c r="MWA9" s="2"/>
      <c r="MWB9" s="2"/>
      <c r="MWC9" s="2"/>
      <c r="MWD9" s="2"/>
      <c r="MWE9" s="2"/>
      <c r="MWF9" s="2"/>
      <c r="MWG9" s="2"/>
      <c r="MWH9" s="2"/>
      <c r="MWI9" s="2"/>
      <c r="MWJ9" s="2"/>
      <c r="MWK9" s="2"/>
      <c r="MWL9" s="2"/>
      <c r="MWM9" s="2"/>
      <c r="MWN9" s="2"/>
      <c r="MWO9" s="2"/>
      <c r="MWP9" s="2"/>
      <c r="MWQ9" s="2"/>
      <c r="MWR9" s="2"/>
      <c r="MWS9" s="2"/>
      <c r="MWT9" s="2"/>
      <c r="MWU9" s="2"/>
      <c r="MWV9" s="2"/>
      <c r="MWW9" s="2"/>
      <c r="MWX9" s="2"/>
      <c r="MWY9" s="2"/>
      <c r="MWZ9" s="2"/>
      <c r="MXA9" s="2"/>
      <c r="MXB9" s="2"/>
      <c r="MXC9" s="2"/>
      <c r="MXD9" s="2"/>
      <c r="MXE9" s="2"/>
      <c r="MXF9" s="2"/>
      <c r="MXG9" s="2"/>
      <c r="MXH9" s="2"/>
      <c r="MXI9" s="2"/>
      <c r="MXJ9" s="2"/>
      <c r="MXK9" s="2"/>
      <c r="MXL9" s="2"/>
      <c r="MXM9" s="2"/>
      <c r="MXN9" s="2"/>
      <c r="MXO9" s="2"/>
      <c r="MXP9" s="2"/>
      <c r="MXQ9" s="2"/>
      <c r="MXR9" s="2"/>
      <c r="MXS9" s="2"/>
      <c r="MXT9" s="2"/>
      <c r="MXU9" s="2"/>
      <c r="MXV9" s="2"/>
      <c r="MXW9" s="2"/>
      <c r="MXX9" s="2"/>
      <c r="MXY9" s="2"/>
      <c r="MXZ9" s="2"/>
      <c r="MYA9" s="2"/>
      <c r="MYB9" s="2"/>
      <c r="MYC9" s="2"/>
      <c r="MYD9" s="2"/>
      <c r="MYE9" s="2"/>
      <c r="MYF9" s="2"/>
      <c r="MYG9" s="2"/>
      <c r="MYH9" s="2"/>
      <c r="MYI9" s="2"/>
      <c r="MYJ9" s="2"/>
      <c r="MYK9" s="2"/>
      <c r="MYL9" s="2"/>
      <c r="MYM9" s="2"/>
      <c r="MYN9" s="2"/>
      <c r="MYO9" s="2"/>
      <c r="MYP9" s="2"/>
      <c r="MYQ9" s="2"/>
      <c r="MYR9" s="2"/>
      <c r="MYS9" s="2"/>
      <c r="MYT9" s="2"/>
      <c r="MYU9" s="2"/>
      <c r="MYV9" s="2"/>
      <c r="MYW9" s="2"/>
      <c r="MYX9" s="2"/>
      <c r="MYY9" s="2"/>
      <c r="MYZ9" s="2"/>
      <c r="MZA9" s="2"/>
      <c r="MZB9" s="2"/>
      <c r="MZC9" s="2"/>
      <c r="MZD9" s="2"/>
      <c r="MZE9" s="2"/>
      <c r="MZF9" s="2"/>
      <c r="MZG9" s="2"/>
      <c r="MZH9" s="2"/>
      <c r="MZI9" s="2"/>
      <c r="MZJ9" s="2"/>
      <c r="MZK9" s="2"/>
      <c r="MZL9" s="2"/>
      <c r="MZM9" s="2"/>
      <c r="MZN9" s="2"/>
      <c r="MZO9" s="2"/>
      <c r="MZP9" s="2"/>
      <c r="MZQ9" s="2"/>
      <c r="MZR9" s="2"/>
      <c r="MZS9" s="2"/>
      <c r="MZT9" s="2"/>
      <c r="MZU9" s="2"/>
      <c r="MZV9" s="2"/>
      <c r="MZW9" s="2"/>
      <c r="MZX9" s="2"/>
      <c r="MZY9" s="2"/>
      <c r="MZZ9" s="2"/>
      <c r="NAA9" s="2"/>
      <c r="NAB9" s="2"/>
      <c r="NAC9" s="2"/>
      <c r="NAD9" s="2"/>
      <c r="NAE9" s="2"/>
      <c r="NAF9" s="2"/>
      <c r="NAG9" s="2"/>
      <c r="NAH9" s="2"/>
      <c r="NAI9" s="2"/>
      <c r="NAJ9" s="2"/>
      <c r="NAK9" s="2"/>
      <c r="NAL9" s="2"/>
      <c r="NAM9" s="2"/>
      <c r="NAN9" s="2"/>
      <c r="NAO9" s="2"/>
      <c r="NAP9" s="2"/>
      <c r="NAQ9" s="2"/>
      <c r="NAR9" s="2"/>
      <c r="NAS9" s="2"/>
      <c r="NAT9" s="2"/>
      <c r="NAU9" s="2"/>
      <c r="NAV9" s="2"/>
      <c r="NAW9" s="2"/>
      <c r="NAX9" s="2"/>
      <c r="NAY9" s="2"/>
      <c r="NAZ9" s="2"/>
      <c r="NBA9" s="2"/>
      <c r="NBB9" s="2"/>
      <c r="NBC9" s="2"/>
      <c r="NBD9" s="2"/>
      <c r="NBE9" s="2"/>
      <c r="NBF9" s="2"/>
      <c r="NBG9" s="2"/>
      <c r="NBH9" s="2"/>
      <c r="NBI9" s="2"/>
      <c r="NBJ9" s="2"/>
      <c r="NBK9" s="2"/>
      <c r="NBL9" s="2"/>
      <c r="NBM9" s="2"/>
      <c r="NBN9" s="2"/>
      <c r="NBO9" s="2"/>
      <c r="NBP9" s="2"/>
      <c r="NBQ9" s="2"/>
      <c r="NBR9" s="2"/>
      <c r="NBS9" s="2"/>
      <c r="NBT9" s="2"/>
      <c r="NBU9" s="2"/>
      <c r="NBV9" s="2"/>
      <c r="NBW9" s="2"/>
      <c r="NBX9" s="2"/>
      <c r="NBY9" s="2"/>
      <c r="NBZ9" s="2"/>
      <c r="NCA9" s="2"/>
      <c r="NCB9" s="2"/>
      <c r="NCC9" s="2"/>
      <c r="NCD9" s="2"/>
      <c r="NCE9" s="2"/>
      <c r="NCF9" s="2"/>
      <c r="NCG9" s="2"/>
      <c r="NCH9" s="2"/>
      <c r="NCI9" s="2"/>
      <c r="NCJ9" s="2"/>
      <c r="NCK9" s="2"/>
      <c r="NCL9" s="2"/>
      <c r="NCM9" s="2"/>
      <c r="NCN9" s="2"/>
      <c r="NCO9" s="2"/>
      <c r="NCP9" s="2"/>
      <c r="NCQ9" s="2"/>
      <c r="NCR9" s="2"/>
      <c r="NCS9" s="2"/>
      <c r="NCT9" s="2"/>
      <c r="NCU9" s="2"/>
      <c r="NCV9" s="2"/>
      <c r="NCW9" s="2"/>
      <c r="NCX9" s="2"/>
      <c r="NCY9" s="2"/>
      <c r="NCZ9" s="2"/>
      <c r="NDA9" s="2"/>
      <c r="NDB9" s="2"/>
      <c r="NDC9" s="2"/>
      <c r="NDD9" s="2"/>
      <c r="NDE9" s="2"/>
      <c r="NDF9" s="2"/>
      <c r="NDG9" s="2"/>
      <c r="NDH9" s="2"/>
      <c r="NDI9" s="2"/>
      <c r="NDJ9" s="2"/>
      <c r="NDK9" s="2"/>
      <c r="NDL9" s="2"/>
      <c r="NDM9" s="2"/>
      <c r="NDN9" s="2"/>
      <c r="NDO9" s="2"/>
      <c r="NDP9" s="2"/>
      <c r="NDQ9" s="2"/>
      <c r="NDR9" s="2"/>
      <c r="NDS9" s="2"/>
      <c r="NDT9" s="2"/>
      <c r="NDU9" s="2"/>
      <c r="NDV9" s="2"/>
      <c r="NDW9" s="2"/>
      <c r="NDX9" s="2"/>
      <c r="NDY9" s="2"/>
      <c r="NDZ9" s="2"/>
      <c r="NEA9" s="2"/>
      <c r="NEB9" s="2"/>
      <c r="NEC9" s="2"/>
      <c r="NED9" s="2"/>
      <c r="NEE9" s="2"/>
      <c r="NEF9" s="2"/>
      <c r="NEG9" s="2"/>
      <c r="NEH9" s="2"/>
      <c r="NEI9" s="2"/>
      <c r="NEJ9" s="2"/>
      <c r="NEK9" s="2"/>
      <c r="NEL9" s="2"/>
      <c r="NEM9" s="2"/>
      <c r="NEN9" s="2"/>
      <c r="NEO9" s="2"/>
      <c r="NEP9" s="2"/>
      <c r="NEQ9" s="2"/>
      <c r="NER9" s="2"/>
      <c r="NES9" s="2"/>
      <c r="NET9" s="2"/>
      <c r="NEU9" s="2"/>
      <c r="NEV9" s="2"/>
      <c r="NEW9" s="2"/>
      <c r="NEX9" s="2"/>
      <c r="NEY9" s="2"/>
      <c r="NEZ9" s="2"/>
      <c r="NFA9" s="2"/>
      <c r="NFB9" s="2"/>
      <c r="NFC9" s="2"/>
      <c r="NFD9" s="2"/>
      <c r="NFE9" s="2"/>
      <c r="NFF9" s="2"/>
      <c r="NFG9" s="2"/>
      <c r="NFH9" s="2"/>
      <c r="NFI9" s="2"/>
      <c r="NFJ9" s="2"/>
      <c r="NFK9" s="2"/>
      <c r="NFL9" s="2"/>
      <c r="NFM9" s="2"/>
      <c r="NFN9" s="2"/>
      <c r="NFO9" s="2"/>
      <c r="NFP9" s="2"/>
      <c r="NFQ9" s="2"/>
      <c r="NFR9" s="2"/>
      <c r="NFS9" s="2"/>
      <c r="NFT9" s="2"/>
      <c r="NFU9" s="2"/>
      <c r="NFV9" s="2"/>
      <c r="NFW9" s="2"/>
      <c r="NFX9" s="2"/>
      <c r="NFY9" s="2"/>
      <c r="NFZ9" s="2"/>
      <c r="NGA9" s="2"/>
      <c r="NGB9" s="2"/>
      <c r="NGC9" s="2"/>
      <c r="NGD9" s="2"/>
      <c r="NGE9" s="2"/>
      <c r="NGF9" s="2"/>
      <c r="NGG9" s="2"/>
      <c r="NGH9" s="2"/>
      <c r="NGI9" s="2"/>
      <c r="NGJ9" s="2"/>
      <c r="NGK9" s="2"/>
      <c r="NGL9" s="2"/>
      <c r="NGM9" s="2"/>
      <c r="NGN9" s="2"/>
      <c r="NGO9" s="2"/>
      <c r="NGP9" s="2"/>
      <c r="NGQ9" s="2"/>
      <c r="NGR9" s="2"/>
      <c r="NGS9" s="2"/>
      <c r="NGT9" s="2"/>
      <c r="NGU9" s="2"/>
      <c r="NGV9" s="2"/>
      <c r="NGW9" s="2"/>
      <c r="NGX9" s="2"/>
      <c r="NGY9" s="2"/>
      <c r="NGZ9" s="2"/>
      <c r="NHA9" s="2"/>
      <c r="NHB9" s="2"/>
      <c r="NHC9" s="2"/>
      <c r="NHD9" s="2"/>
      <c r="NHE9" s="2"/>
      <c r="NHF9" s="2"/>
      <c r="NHG9" s="2"/>
      <c r="NHH9" s="2"/>
      <c r="NHI9" s="2"/>
      <c r="NHJ9" s="2"/>
      <c r="NHK9" s="2"/>
      <c r="NHL9" s="2"/>
      <c r="NHM9" s="2"/>
      <c r="NHN9" s="2"/>
      <c r="NHO9" s="2"/>
      <c r="NHP9" s="2"/>
      <c r="NHQ9" s="2"/>
      <c r="NHR9" s="2"/>
      <c r="NHS9" s="2"/>
      <c r="NHT9" s="2"/>
      <c r="NHU9" s="2"/>
      <c r="NHV9" s="2"/>
      <c r="NHW9" s="2"/>
      <c r="NHX9" s="2"/>
      <c r="NHY9" s="2"/>
      <c r="NHZ9" s="2"/>
      <c r="NIA9" s="2"/>
      <c r="NIB9" s="2"/>
      <c r="NIC9" s="2"/>
      <c r="NID9" s="2"/>
      <c r="NIE9" s="2"/>
      <c r="NIF9" s="2"/>
      <c r="NIG9" s="2"/>
      <c r="NIH9" s="2"/>
      <c r="NII9" s="2"/>
      <c r="NIJ9" s="2"/>
      <c r="NIK9" s="2"/>
      <c r="NIL9" s="2"/>
      <c r="NIM9" s="2"/>
      <c r="NIN9" s="2"/>
      <c r="NIO9" s="2"/>
      <c r="NIP9" s="2"/>
      <c r="NIQ9" s="2"/>
      <c r="NIR9" s="2"/>
      <c r="NIS9" s="2"/>
      <c r="NIT9" s="2"/>
      <c r="NIU9" s="2"/>
      <c r="NIV9" s="2"/>
      <c r="NIW9" s="2"/>
      <c r="NIX9" s="2"/>
      <c r="NIY9" s="2"/>
      <c r="NIZ9" s="2"/>
      <c r="NJA9" s="2"/>
      <c r="NJB9" s="2"/>
      <c r="NJC9" s="2"/>
      <c r="NJD9" s="2"/>
      <c r="NJE9" s="2"/>
      <c r="NJF9" s="2"/>
      <c r="NJG9" s="2"/>
      <c r="NJH9" s="2"/>
      <c r="NJI9" s="2"/>
      <c r="NJJ9" s="2"/>
      <c r="NJK9" s="2"/>
      <c r="NJL9" s="2"/>
      <c r="NJM9" s="2"/>
      <c r="NJN9" s="2"/>
      <c r="NJO9" s="2"/>
      <c r="NJP9" s="2"/>
      <c r="NJQ9" s="2"/>
      <c r="NJR9" s="2"/>
      <c r="NJS9" s="2"/>
      <c r="NJT9" s="2"/>
      <c r="NJU9" s="2"/>
      <c r="NJV9" s="2"/>
      <c r="NJW9" s="2"/>
      <c r="NJX9" s="2"/>
      <c r="NJY9" s="2"/>
      <c r="NJZ9" s="2"/>
      <c r="NKA9" s="2"/>
      <c r="NKB9" s="2"/>
      <c r="NKC9" s="2"/>
      <c r="NKD9" s="2"/>
      <c r="NKE9" s="2"/>
      <c r="NKF9" s="2"/>
      <c r="NKG9" s="2"/>
      <c r="NKH9" s="2"/>
      <c r="NKI9" s="2"/>
      <c r="NKJ9" s="2"/>
      <c r="NKK9" s="2"/>
      <c r="NKL9" s="2"/>
      <c r="NKM9" s="2"/>
      <c r="NKN9" s="2"/>
      <c r="NKO9" s="2"/>
      <c r="NKP9" s="2"/>
      <c r="NKQ9" s="2"/>
      <c r="NKR9" s="2"/>
      <c r="NKS9" s="2"/>
      <c r="NKT9" s="2"/>
      <c r="NKU9" s="2"/>
      <c r="NKV9" s="2"/>
      <c r="NKW9" s="2"/>
      <c r="NKX9" s="2"/>
      <c r="NKY9" s="2"/>
      <c r="NKZ9" s="2"/>
      <c r="NLA9" s="2"/>
      <c r="NLB9" s="2"/>
      <c r="NLC9" s="2"/>
      <c r="NLD9" s="2"/>
      <c r="NLE9" s="2"/>
      <c r="NLF9" s="2"/>
      <c r="NLG9" s="2"/>
      <c r="NLH9" s="2"/>
      <c r="NLI9" s="2"/>
      <c r="NLJ9" s="2"/>
      <c r="NLK9" s="2"/>
      <c r="NLL9" s="2"/>
      <c r="NLM9" s="2"/>
      <c r="NLN9" s="2"/>
      <c r="NLO9" s="2"/>
      <c r="NLP9" s="2"/>
      <c r="NLQ9" s="2"/>
      <c r="NLR9" s="2"/>
      <c r="NLS9" s="2"/>
      <c r="NLT9" s="2"/>
      <c r="NLU9" s="2"/>
      <c r="NLV9" s="2"/>
      <c r="NLW9" s="2"/>
      <c r="NLX9" s="2"/>
      <c r="NLY9" s="2"/>
      <c r="NLZ9" s="2"/>
      <c r="NMA9" s="2"/>
      <c r="NMB9" s="2"/>
      <c r="NMC9" s="2"/>
      <c r="NMD9" s="2"/>
      <c r="NME9" s="2"/>
      <c r="NMF9" s="2"/>
      <c r="NMG9" s="2"/>
      <c r="NMH9" s="2"/>
      <c r="NMI9" s="2"/>
      <c r="NMJ9" s="2"/>
      <c r="NMK9" s="2"/>
      <c r="NML9" s="2"/>
      <c r="NMM9" s="2"/>
      <c r="NMN9" s="2"/>
      <c r="NMO9" s="2"/>
      <c r="NMP9" s="2"/>
      <c r="NMQ9" s="2"/>
      <c r="NMR9" s="2"/>
      <c r="NMS9" s="2"/>
      <c r="NMT9" s="2"/>
      <c r="NMU9" s="2"/>
      <c r="NMV9" s="2"/>
      <c r="NMW9" s="2"/>
      <c r="NMX9" s="2"/>
      <c r="NMY9" s="2"/>
      <c r="NMZ9" s="2"/>
      <c r="NNA9" s="2"/>
      <c r="NNB9" s="2"/>
      <c r="NNC9" s="2"/>
      <c r="NND9" s="2"/>
      <c r="NNE9" s="2"/>
      <c r="NNF9" s="2"/>
      <c r="NNG9" s="2"/>
      <c r="NNH9" s="2"/>
      <c r="NNI9" s="2"/>
      <c r="NNJ9" s="2"/>
      <c r="NNK9" s="2"/>
      <c r="NNL9" s="2"/>
      <c r="NNM9" s="2"/>
      <c r="NNN9" s="2"/>
      <c r="NNO9" s="2"/>
      <c r="NNP9" s="2"/>
      <c r="NNQ9" s="2"/>
      <c r="NNR9" s="2"/>
      <c r="NNS9" s="2"/>
      <c r="NNT9" s="2"/>
      <c r="NNU9" s="2"/>
      <c r="NNV9" s="2"/>
      <c r="NNW9" s="2"/>
      <c r="NNX9" s="2"/>
      <c r="NNY9" s="2"/>
      <c r="NNZ9" s="2"/>
      <c r="NOA9" s="2"/>
      <c r="NOB9" s="2"/>
      <c r="NOC9" s="2"/>
      <c r="NOD9" s="2"/>
      <c r="NOE9" s="2"/>
      <c r="NOF9" s="2"/>
      <c r="NOG9" s="2"/>
      <c r="NOH9" s="2"/>
      <c r="NOI9" s="2"/>
      <c r="NOJ9" s="2"/>
      <c r="NOK9" s="2"/>
      <c r="NOL9" s="2"/>
      <c r="NOM9" s="2"/>
      <c r="NON9" s="2"/>
      <c r="NOO9" s="2"/>
      <c r="NOP9" s="2"/>
      <c r="NOQ9" s="2"/>
      <c r="NOR9" s="2"/>
      <c r="NOS9" s="2"/>
      <c r="NOT9" s="2"/>
      <c r="NOU9" s="2"/>
      <c r="NOV9" s="2"/>
      <c r="NOW9" s="2"/>
      <c r="NOX9" s="2"/>
      <c r="NOY9" s="2"/>
      <c r="NOZ9" s="2"/>
      <c r="NPA9" s="2"/>
      <c r="NPB9" s="2"/>
      <c r="NPC9" s="2"/>
      <c r="NPD9" s="2"/>
      <c r="NPE9" s="2"/>
      <c r="NPF9" s="2"/>
      <c r="NPG9" s="2"/>
      <c r="NPH9" s="2"/>
      <c r="NPI9" s="2"/>
      <c r="NPJ9" s="2"/>
      <c r="NPK9" s="2"/>
      <c r="NPL9" s="2"/>
      <c r="NPM9" s="2"/>
      <c r="NPN9" s="2"/>
      <c r="NPO9" s="2"/>
      <c r="NPP9" s="2"/>
      <c r="NPQ9" s="2"/>
      <c r="NPR9" s="2"/>
      <c r="NPS9" s="2"/>
      <c r="NPT9" s="2"/>
      <c r="NPU9" s="2"/>
      <c r="NPV9" s="2"/>
      <c r="NPW9" s="2"/>
      <c r="NPX9" s="2"/>
      <c r="NPY9" s="2"/>
      <c r="NPZ9" s="2"/>
      <c r="NQA9" s="2"/>
      <c r="NQB9" s="2"/>
      <c r="NQC9" s="2"/>
      <c r="NQD9" s="2"/>
      <c r="NQE9" s="2"/>
      <c r="NQF9" s="2"/>
      <c r="NQG9" s="2"/>
      <c r="NQH9" s="2"/>
      <c r="NQI9" s="2"/>
      <c r="NQJ9" s="2"/>
      <c r="NQK9" s="2"/>
      <c r="NQL9" s="2"/>
      <c r="NQM9" s="2"/>
      <c r="NQN9" s="2"/>
      <c r="NQO9" s="2"/>
      <c r="NQP9" s="2"/>
      <c r="NQQ9" s="2"/>
      <c r="NQR9" s="2"/>
      <c r="NQS9" s="2"/>
      <c r="NQT9" s="2"/>
      <c r="NQU9" s="2"/>
      <c r="NQV9" s="2"/>
      <c r="NQW9" s="2"/>
      <c r="NQX9" s="2"/>
      <c r="NQY9" s="2"/>
      <c r="NQZ9" s="2"/>
      <c r="NRA9" s="2"/>
      <c r="NRB9" s="2"/>
      <c r="NRC9" s="2"/>
      <c r="NRD9" s="2"/>
      <c r="NRE9" s="2"/>
      <c r="NRF9" s="2"/>
      <c r="NRG9" s="2"/>
      <c r="NRH9" s="2"/>
      <c r="NRI9" s="2"/>
      <c r="NRJ9" s="2"/>
      <c r="NRK9" s="2"/>
      <c r="NRL9" s="2"/>
      <c r="NRM9" s="2"/>
      <c r="NRN9" s="2"/>
      <c r="NRO9" s="2"/>
      <c r="NRP9" s="2"/>
      <c r="NRQ9" s="2"/>
      <c r="NRR9" s="2"/>
      <c r="NRS9" s="2"/>
      <c r="NRT9" s="2"/>
      <c r="NRU9" s="2"/>
      <c r="NRV9" s="2"/>
      <c r="NRW9" s="2"/>
      <c r="NRX9" s="2"/>
      <c r="NRY9" s="2"/>
      <c r="NRZ9" s="2"/>
      <c r="NSA9" s="2"/>
      <c r="NSB9" s="2"/>
      <c r="NSC9" s="2"/>
      <c r="NSD9" s="2"/>
      <c r="NSE9" s="2"/>
      <c r="NSF9" s="2"/>
      <c r="NSG9" s="2"/>
      <c r="NSH9" s="2"/>
      <c r="NSI9" s="2"/>
      <c r="NSJ9" s="2"/>
      <c r="NSK9" s="2"/>
      <c r="NSL9" s="2"/>
      <c r="NSM9" s="2"/>
      <c r="NSN9" s="2"/>
      <c r="NSO9" s="2"/>
      <c r="NSP9" s="2"/>
      <c r="NSQ9" s="2"/>
      <c r="NSR9" s="2"/>
      <c r="NSS9" s="2"/>
      <c r="NST9" s="2"/>
      <c r="NSU9" s="2"/>
      <c r="NSV9" s="2"/>
      <c r="NSW9" s="2"/>
      <c r="NSX9" s="2"/>
      <c r="NSY9" s="2"/>
      <c r="NSZ9" s="2"/>
      <c r="NTA9" s="2"/>
      <c r="NTB9" s="2"/>
      <c r="NTC9" s="2"/>
      <c r="NTD9" s="2"/>
      <c r="NTE9" s="2"/>
      <c r="NTF9" s="2"/>
      <c r="NTG9" s="2"/>
      <c r="NTH9" s="2"/>
      <c r="NTI9" s="2"/>
      <c r="NTJ9" s="2"/>
      <c r="NTK9" s="2"/>
      <c r="NTL9" s="2"/>
      <c r="NTM9" s="2"/>
      <c r="NTN9" s="2"/>
      <c r="NTO9" s="2"/>
      <c r="NTP9" s="2"/>
      <c r="NTQ9" s="2"/>
      <c r="NTR9" s="2"/>
      <c r="NTS9" s="2"/>
      <c r="NTT9" s="2"/>
      <c r="NTU9" s="2"/>
      <c r="NTV9" s="2"/>
      <c r="NTW9" s="2"/>
      <c r="NTX9" s="2"/>
      <c r="NTY9" s="2"/>
      <c r="NTZ9" s="2"/>
      <c r="NUA9" s="2"/>
      <c r="NUB9" s="2"/>
      <c r="NUC9" s="2"/>
      <c r="NUD9" s="2"/>
      <c r="NUE9" s="2"/>
      <c r="NUF9" s="2"/>
      <c r="NUG9" s="2"/>
      <c r="NUH9" s="2"/>
      <c r="NUI9" s="2"/>
      <c r="NUJ9" s="2"/>
      <c r="NUK9" s="2"/>
      <c r="NUL9" s="2"/>
      <c r="NUM9" s="2"/>
      <c r="NUN9" s="2"/>
      <c r="NUO9" s="2"/>
      <c r="NUP9" s="2"/>
      <c r="NUQ9" s="2"/>
      <c r="NUR9" s="2"/>
      <c r="NUS9" s="2"/>
      <c r="NUT9" s="2"/>
      <c r="NUU9" s="2"/>
      <c r="NUV9" s="2"/>
      <c r="NUW9" s="2"/>
      <c r="NUX9" s="2"/>
      <c r="NUY9" s="2"/>
      <c r="NUZ9" s="2"/>
      <c r="NVA9" s="2"/>
      <c r="NVB9" s="2"/>
      <c r="NVC9" s="2"/>
      <c r="NVD9" s="2"/>
      <c r="NVE9" s="2"/>
      <c r="NVF9" s="2"/>
      <c r="NVG9" s="2"/>
      <c r="NVH9" s="2"/>
      <c r="NVI9" s="2"/>
      <c r="NVJ9" s="2"/>
      <c r="NVK9" s="2"/>
      <c r="NVL9" s="2"/>
      <c r="NVM9" s="2"/>
      <c r="NVN9" s="2"/>
      <c r="NVO9" s="2"/>
      <c r="NVP9" s="2"/>
      <c r="NVQ9" s="2"/>
      <c r="NVR9" s="2"/>
      <c r="NVS9" s="2"/>
      <c r="NVT9" s="2"/>
      <c r="NVU9" s="2"/>
      <c r="NVV9" s="2"/>
      <c r="NVW9" s="2"/>
      <c r="NVX9" s="2"/>
      <c r="NVY9" s="2"/>
      <c r="NVZ9" s="2"/>
      <c r="NWA9" s="2"/>
      <c r="NWB9" s="2"/>
      <c r="NWC9" s="2"/>
      <c r="NWD9" s="2"/>
      <c r="NWE9" s="2"/>
      <c r="NWF9" s="2"/>
      <c r="NWG9" s="2"/>
      <c r="NWH9" s="2"/>
      <c r="NWI9" s="2"/>
      <c r="NWJ9" s="2"/>
      <c r="NWK9" s="2"/>
      <c r="NWL9" s="2"/>
      <c r="NWM9" s="2"/>
      <c r="NWN9" s="2"/>
      <c r="NWO9" s="2"/>
      <c r="NWP9" s="2"/>
      <c r="NWQ9" s="2"/>
      <c r="NWR9" s="2"/>
      <c r="NWS9" s="2"/>
      <c r="NWT9" s="2"/>
      <c r="NWU9" s="2"/>
      <c r="NWV9" s="2"/>
      <c r="NWW9" s="2"/>
      <c r="NWX9" s="2"/>
      <c r="NWY9" s="2"/>
      <c r="NWZ9" s="2"/>
      <c r="NXA9" s="2"/>
      <c r="NXB9" s="2"/>
      <c r="NXC9" s="2"/>
      <c r="NXD9" s="2"/>
      <c r="NXE9" s="2"/>
      <c r="NXF9" s="2"/>
      <c r="NXG9" s="2"/>
      <c r="NXH9" s="2"/>
      <c r="NXI9" s="2"/>
      <c r="NXJ9" s="2"/>
      <c r="NXK9" s="2"/>
      <c r="NXL9" s="2"/>
      <c r="NXM9" s="2"/>
      <c r="NXN9" s="2"/>
      <c r="NXO9" s="2"/>
      <c r="NXP9" s="2"/>
      <c r="NXQ9" s="2"/>
      <c r="NXR9" s="2"/>
      <c r="NXS9" s="2"/>
      <c r="NXT9" s="2"/>
      <c r="NXU9" s="2"/>
      <c r="NXV9" s="2"/>
      <c r="NXW9" s="2"/>
      <c r="NXX9" s="2"/>
      <c r="NXY9" s="2"/>
      <c r="NXZ9" s="2"/>
      <c r="NYA9" s="2"/>
      <c r="NYB9" s="2"/>
      <c r="NYC9" s="2"/>
      <c r="NYD9" s="2"/>
      <c r="NYE9" s="2"/>
      <c r="NYF9" s="2"/>
      <c r="NYG9" s="2"/>
      <c r="NYH9" s="2"/>
      <c r="NYI9" s="2"/>
      <c r="NYJ9" s="2"/>
      <c r="NYK9" s="2"/>
      <c r="NYL9" s="2"/>
      <c r="NYM9" s="2"/>
      <c r="NYN9" s="2"/>
      <c r="NYO9" s="2"/>
      <c r="NYP9" s="2"/>
      <c r="NYQ9" s="2"/>
      <c r="NYR9" s="2"/>
      <c r="NYS9" s="2"/>
      <c r="NYT9" s="2"/>
      <c r="NYU9" s="2"/>
      <c r="NYV9" s="2"/>
      <c r="NYW9" s="2"/>
      <c r="NYX9" s="2"/>
      <c r="NYY9" s="2"/>
      <c r="NYZ9" s="2"/>
      <c r="NZA9" s="2"/>
      <c r="NZB9" s="2"/>
      <c r="NZC9" s="2"/>
      <c r="NZD9" s="2"/>
      <c r="NZE9" s="2"/>
      <c r="NZF9" s="2"/>
      <c r="NZG9" s="2"/>
      <c r="NZH9" s="2"/>
      <c r="NZI9" s="2"/>
      <c r="NZJ9" s="2"/>
      <c r="NZK9" s="2"/>
      <c r="NZL9" s="2"/>
      <c r="NZM9" s="2"/>
      <c r="NZN9" s="2"/>
      <c r="NZO9" s="2"/>
      <c r="NZP9" s="2"/>
      <c r="NZQ9" s="2"/>
      <c r="NZR9" s="2"/>
      <c r="NZS9" s="2"/>
      <c r="NZT9" s="2"/>
      <c r="NZU9" s="2"/>
      <c r="NZV9" s="2"/>
      <c r="NZW9" s="2"/>
      <c r="NZX9" s="2"/>
      <c r="NZY9" s="2"/>
      <c r="NZZ9" s="2"/>
      <c r="OAA9" s="2"/>
      <c r="OAB9" s="2"/>
      <c r="OAC9" s="2"/>
      <c r="OAD9" s="2"/>
      <c r="OAE9" s="2"/>
      <c r="OAF9" s="2"/>
      <c r="OAG9" s="2"/>
      <c r="OAH9" s="2"/>
      <c r="OAI9" s="2"/>
      <c r="OAJ9" s="2"/>
      <c r="OAK9" s="2"/>
      <c r="OAL9" s="2"/>
      <c r="OAM9" s="2"/>
      <c r="OAN9" s="2"/>
      <c r="OAO9" s="2"/>
      <c r="OAP9" s="2"/>
      <c r="OAQ9" s="2"/>
      <c r="OAR9" s="2"/>
      <c r="OAS9" s="2"/>
      <c r="OAT9" s="2"/>
      <c r="OAU9" s="2"/>
      <c r="OAV9" s="2"/>
      <c r="OAW9" s="2"/>
      <c r="OAX9" s="2"/>
      <c r="OAY9" s="2"/>
      <c r="OAZ9" s="2"/>
      <c r="OBA9" s="2"/>
      <c r="OBB9" s="2"/>
      <c r="OBC9" s="2"/>
      <c r="OBD9" s="2"/>
      <c r="OBE9" s="2"/>
      <c r="OBF9" s="2"/>
      <c r="OBG9" s="2"/>
      <c r="OBH9" s="2"/>
      <c r="OBI9" s="2"/>
      <c r="OBJ9" s="2"/>
      <c r="OBK9" s="2"/>
      <c r="OBL9" s="2"/>
      <c r="OBM9" s="2"/>
      <c r="OBN9" s="2"/>
      <c r="OBO9" s="2"/>
      <c r="OBP9" s="2"/>
      <c r="OBQ9" s="2"/>
      <c r="OBR9" s="2"/>
      <c r="OBS9" s="2"/>
      <c r="OBT9" s="2"/>
      <c r="OBU9" s="2"/>
      <c r="OBV9" s="2"/>
      <c r="OBW9" s="2"/>
      <c r="OBX9" s="2"/>
      <c r="OBY9" s="2"/>
      <c r="OBZ9" s="2"/>
      <c r="OCA9" s="2"/>
      <c r="OCB9" s="2"/>
      <c r="OCC9" s="2"/>
      <c r="OCD9" s="2"/>
      <c r="OCE9" s="2"/>
      <c r="OCF9" s="2"/>
      <c r="OCG9" s="2"/>
      <c r="OCH9" s="2"/>
      <c r="OCI9" s="2"/>
      <c r="OCJ9" s="2"/>
      <c r="OCK9" s="2"/>
      <c r="OCL9" s="2"/>
      <c r="OCM9" s="2"/>
      <c r="OCN9" s="2"/>
      <c r="OCO9" s="2"/>
      <c r="OCP9" s="2"/>
      <c r="OCQ9" s="2"/>
      <c r="OCR9" s="2"/>
      <c r="OCS9" s="2"/>
      <c r="OCT9" s="2"/>
      <c r="OCU9" s="2"/>
      <c r="OCV9" s="2"/>
      <c r="OCW9" s="2"/>
      <c r="OCX9" s="2"/>
      <c r="OCY9" s="2"/>
      <c r="OCZ9" s="2"/>
      <c r="ODA9" s="2"/>
      <c r="ODB9" s="2"/>
      <c r="ODC9" s="2"/>
      <c r="ODD9" s="2"/>
      <c r="ODE9" s="2"/>
      <c r="ODF9" s="2"/>
      <c r="ODG9" s="2"/>
      <c r="ODH9" s="2"/>
      <c r="ODI9" s="2"/>
      <c r="ODJ9" s="2"/>
      <c r="ODK9" s="2"/>
      <c r="ODL9" s="2"/>
      <c r="ODM9" s="2"/>
      <c r="ODN9" s="2"/>
      <c r="ODO9" s="2"/>
      <c r="ODP9" s="2"/>
      <c r="ODQ9" s="2"/>
      <c r="ODR9" s="2"/>
      <c r="ODS9" s="2"/>
      <c r="ODT9" s="2"/>
      <c r="ODU9" s="2"/>
      <c r="ODV9" s="2"/>
      <c r="ODW9" s="2"/>
      <c r="ODX9" s="2"/>
      <c r="ODY9" s="2"/>
      <c r="ODZ9" s="2"/>
      <c r="OEA9" s="2"/>
      <c r="OEB9" s="2"/>
      <c r="OEC9" s="2"/>
      <c r="OED9" s="2"/>
      <c r="OEE9" s="2"/>
      <c r="OEF9" s="2"/>
      <c r="OEG9" s="2"/>
      <c r="OEH9" s="2"/>
      <c r="OEI9" s="2"/>
      <c r="OEJ9" s="2"/>
      <c r="OEK9" s="2"/>
      <c r="OEL9" s="2"/>
      <c r="OEM9" s="2"/>
      <c r="OEN9" s="2"/>
      <c r="OEO9" s="2"/>
      <c r="OEP9" s="2"/>
      <c r="OEQ9" s="2"/>
      <c r="OER9" s="2"/>
      <c r="OES9" s="2"/>
      <c r="OET9" s="2"/>
      <c r="OEU9" s="2"/>
      <c r="OEV9" s="2"/>
      <c r="OEW9" s="2"/>
      <c r="OEX9" s="2"/>
      <c r="OEY9" s="2"/>
      <c r="OEZ9" s="2"/>
      <c r="OFA9" s="2"/>
      <c r="OFB9" s="2"/>
      <c r="OFC9" s="2"/>
      <c r="OFD9" s="2"/>
      <c r="OFE9" s="2"/>
      <c r="OFF9" s="2"/>
      <c r="OFG9" s="2"/>
      <c r="OFH9" s="2"/>
      <c r="OFI9" s="2"/>
      <c r="OFJ9" s="2"/>
      <c r="OFK9" s="2"/>
      <c r="OFL9" s="2"/>
      <c r="OFM9" s="2"/>
      <c r="OFN9" s="2"/>
      <c r="OFO9" s="2"/>
      <c r="OFP9" s="2"/>
      <c r="OFQ9" s="2"/>
      <c r="OFR9" s="2"/>
      <c r="OFS9" s="2"/>
      <c r="OFT9" s="2"/>
      <c r="OFU9" s="2"/>
      <c r="OFV9" s="2"/>
      <c r="OFW9" s="2"/>
      <c r="OFX9" s="2"/>
      <c r="OFY9" s="2"/>
      <c r="OFZ9" s="2"/>
      <c r="OGA9" s="2"/>
      <c r="OGB9" s="2"/>
      <c r="OGC9" s="2"/>
      <c r="OGD9" s="2"/>
      <c r="OGE9" s="2"/>
      <c r="OGF9" s="2"/>
      <c r="OGG9" s="2"/>
      <c r="OGH9" s="2"/>
      <c r="OGI9" s="2"/>
      <c r="OGJ9" s="2"/>
      <c r="OGK9" s="2"/>
      <c r="OGL9" s="2"/>
      <c r="OGM9" s="2"/>
      <c r="OGN9" s="2"/>
      <c r="OGO9" s="2"/>
      <c r="OGP9" s="2"/>
      <c r="OGQ9" s="2"/>
      <c r="OGR9" s="2"/>
      <c r="OGS9" s="2"/>
      <c r="OGT9" s="2"/>
      <c r="OGU9" s="2"/>
      <c r="OGV9" s="2"/>
      <c r="OGW9" s="2"/>
      <c r="OGX9" s="2"/>
      <c r="OGY9" s="2"/>
      <c r="OGZ9" s="2"/>
      <c r="OHA9" s="2"/>
      <c r="OHB9" s="2"/>
      <c r="OHC9" s="2"/>
      <c r="OHD9" s="2"/>
      <c r="OHE9" s="2"/>
      <c r="OHF9" s="2"/>
      <c r="OHG9" s="2"/>
      <c r="OHH9" s="2"/>
      <c r="OHI9" s="2"/>
      <c r="OHJ9" s="2"/>
      <c r="OHK9" s="2"/>
      <c r="OHL9" s="2"/>
      <c r="OHM9" s="2"/>
      <c r="OHN9" s="2"/>
      <c r="OHO9" s="2"/>
      <c r="OHP9" s="2"/>
      <c r="OHQ9" s="2"/>
      <c r="OHR9" s="2"/>
      <c r="OHS9" s="2"/>
      <c r="OHT9" s="2"/>
      <c r="OHU9" s="2"/>
      <c r="OHV9" s="2"/>
      <c r="OHW9" s="2"/>
      <c r="OHX9" s="2"/>
      <c r="OHY9" s="2"/>
      <c r="OHZ9" s="2"/>
      <c r="OIA9" s="2"/>
      <c r="OIB9" s="2"/>
      <c r="OIC9" s="2"/>
      <c r="OID9" s="2"/>
      <c r="OIE9" s="2"/>
      <c r="OIF9" s="2"/>
      <c r="OIG9" s="2"/>
      <c r="OIH9" s="2"/>
      <c r="OII9" s="2"/>
      <c r="OIJ9" s="2"/>
      <c r="OIK9" s="2"/>
      <c r="OIL9" s="2"/>
      <c r="OIM9" s="2"/>
      <c r="OIN9" s="2"/>
      <c r="OIO9" s="2"/>
      <c r="OIP9" s="2"/>
      <c r="OIQ9" s="2"/>
      <c r="OIR9" s="2"/>
      <c r="OIS9" s="2"/>
      <c r="OIT9" s="2"/>
      <c r="OIU9" s="2"/>
      <c r="OIV9" s="2"/>
      <c r="OIW9" s="2"/>
      <c r="OIX9" s="2"/>
      <c r="OIY9" s="2"/>
      <c r="OIZ9" s="2"/>
      <c r="OJA9" s="2"/>
      <c r="OJB9" s="2"/>
      <c r="OJC9" s="2"/>
      <c r="OJD9" s="2"/>
      <c r="OJE9" s="2"/>
      <c r="OJF9" s="2"/>
      <c r="OJG9" s="2"/>
      <c r="OJH9" s="2"/>
      <c r="OJI9" s="2"/>
      <c r="OJJ9" s="2"/>
      <c r="OJK9" s="2"/>
      <c r="OJL9" s="2"/>
      <c r="OJM9" s="2"/>
      <c r="OJN9" s="2"/>
      <c r="OJO9" s="2"/>
      <c r="OJP9" s="2"/>
      <c r="OJQ9" s="2"/>
      <c r="OJR9" s="2"/>
      <c r="OJS9" s="2"/>
      <c r="OJT9" s="2"/>
      <c r="OJU9" s="2"/>
      <c r="OJV9" s="2"/>
      <c r="OJW9" s="2"/>
      <c r="OJX9" s="2"/>
      <c r="OJY9" s="2"/>
      <c r="OJZ9" s="2"/>
      <c r="OKA9" s="2"/>
      <c r="OKB9" s="2"/>
      <c r="OKC9" s="2"/>
      <c r="OKD9" s="2"/>
      <c r="OKE9" s="2"/>
      <c r="OKF9" s="2"/>
      <c r="OKG9" s="2"/>
      <c r="OKH9" s="2"/>
      <c r="OKI9" s="2"/>
      <c r="OKJ9" s="2"/>
      <c r="OKK9" s="2"/>
      <c r="OKL9" s="2"/>
      <c r="OKM9" s="2"/>
      <c r="OKN9" s="2"/>
      <c r="OKO9" s="2"/>
      <c r="OKP9" s="2"/>
      <c r="OKQ9" s="2"/>
      <c r="OKR9" s="2"/>
      <c r="OKS9" s="2"/>
      <c r="OKT9" s="2"/>
      <c r="OKU9" s="2"/>
      <c r="OKV9" s="2"/>
      <c r="OKW9" s="2"/>
      <c r="OKX9" s="2"/>
      <c r="OKY9" s="2"/>
      <c r="OKZ9" s="2"/>
      <c r="OLA9" s="2"/>
      <c r="OLB9" s="2"/>
      <c r="OLC9" s="2"/>
      <c r="OLD9" s="2"/>
      <c r="OLE9" s="2"/>
      <c r="OLF9" s="2"/>
      <c r="OLG9" s="2"/>
      <c r="OLH9" s="2"/>
      <c r="OLI9" s="2"/>
      <c r="OLJ9" s="2"/>
      <c r="OLK9" s="2"/>
      <c r="OLL9" s="2"/>
      <c r="OLM9" s="2"/>
      <c r="OLN9" s="2"/>
      <c r="OLO9" s="2"/>
      <c r="OLP9" s="2"/>
      <c r="OLQ9" s="2"/>
      <c r="OLR9" s="2"/>
      <c r="OLS9" s="2"/>
      <c r="OLT9" s="2"/>
      <c r="OLU9" s="2"/>
      <c r="OLV9" s="2"/>
      <c r="OLW9" s="2"/>
      <c r="OLX9" s="2"/>
      <c r="OLY9" s="2"/>
      <c r="OLZ9" s="2"/>
      <c r="OMA9" s="2"/>
      <c r="OMB9" s="2"/>
      <c r="OMC9" s="2"/>
      <c r="OMD9" s="2"/>
      <c r="OME9" s="2"/>
      <c r="OMF9" s="2"/>
      <c r="OMG9" s="2"/>
      <c r="OMH9" s="2"/>
      <c r="OMI9" s="2"/>
      <c r="OMJ9" s="2"/>
      <c r="OMK9" s="2"/>
      <c r="OML9" s="2"/>
      <c r="OMM9" s="2"/>
      <c r="OMN9" s="2"/>
      <c r="OMO9" s="2"/>
      <c r="OMP9" s="2"/>
      <c r="OMQ9" s="2"/>
      <c r="OMR9" s="2"/>
      <c r="OMS9" s="2"/>
      <c r="OMT9" s="2"/>
      <c r="OMU9" s="2"/>
      <c r="OMV9" s="2"/>
      <c r="OMW9" s="2"/>
      <c r="OMX9" s="2"/>
      <c r="OMY9" s="2"/>
      <c r="OMZ9" s="2"/>
      <c r="ONA9" s="2"/>
      <c r="ONB9" s="2"/>
      <c r="ONC9" s="2"/>
      <c r="OND9" s="2"/>
      <c r="ONE9" s="2"/>
      <c r="ONF9" s="2"/>
      <c r="ONG9" s="2"/>
      <c r="ONH9" s="2"/>
      <c r="ONI9" s="2"/>
      <c r="ONJ9" s="2"/>
      <c r="ONK9" s="2"/>
      <c r="ONL9" s="2"/>
      <c r="ONM9" s="2"/>
      <c r="ONN9" s="2"/>
      <c r="ONO9" s="2"/>
      <c r="ONP9" s="2"/>
      <c r="ONQ9" s="2"/>
      <c r="ONR9" s="2"/>
      <c r="ONS9" s="2"/>
      <c r="ONT9" s="2"/>
      <c r="ONU9" s="2"/>
      <c r="ONV9" s="2"/>
      <c r="ONW9" s="2"/>
      <c r="ONX9" s="2"/>
      <c r="ONY9" s="2"/>
      <c r="ONZ9" s="2"/>
      <c r="OOA9" s="2"/>
      <c r="OOB9" s="2"/>
      <c r="OOC9" s="2"/>
      <c r="OOD9" s="2"/>
      <c r="OOE9" s="2"/>
      <c r="OOF9" s="2"/>
      <c r="OOG9" s="2"/>
      <c r="OOH9" s="2"/>
      <c r="OOI9" s="2"/>
      <c r="OOJ9" s="2"/>
      <c r="OOK9" s="2"/>
      <c r="OOL9" s="2"/>
      <c r="OOM9" s="2"/>
      <c r="OON9" s="2"/>
      <c r="OOO9" s="2"/>
      <c r="OOP9" s="2"/>
      <c r="OOQ9" s="2"/>
      <c r="OOR9" s="2"/>
      <c r="OOS9" s="2"/>
      <c r="OOT9" s="2"/>
      <c r="OOU9" s="2"/>
      <c r="OOV9" s="2"/>
      <c r="OOW9" s="2"/>
      <c r="OOX9" s="2"/>
      <c r="OOY9" s="2"/>
      <c r="OOZ9" s="2"/>
      <c r="OPA9" s="2"/>
      <c r="OPB9" s="2"/>
      <c r="OPC9" s="2"/>
      <c r="OPD9" s="2"/>
      <c r="OPE9" s="2"/>
      <c r="OPF9" s="2"/>
      <c r="OPG9" s="2"/>
      <c r="OPH9" s="2"/>
      <c r="OPI9" s="2"/>
      <c r="OPJ9" s="2"/>
      <c r="OPK9" s="2"/>
      <c r="OPL9" s="2"/>
      <c r="OPM9" s="2"/>
      <c r="OPN9" s="2"/>
      <c r="OPO9" s="2"/>
      <c r="OPP9" s="2"/>
      <c r="OPQ9" s="2"/>
      <c r="OPR9" s="2"/>
      <c r="OPS9" s="2"/>
      <c r="OPT9" s="2"/>
      <c r="OPU9" s="2"/>
      <c r="OPV9" s="2"/>
      <c r="OPW9" s="2"/>
      <c r="OPX9" s="2"/>
      <c r="OPY9" s="2"/>
      <c r="OPZ9" s="2"/>
      <c r="OQA9" s="2"/>
      <c r="OQB9" s="2"/>
      <c r="OQC9" s="2"/>
      <c r="OQD9" s="2"/>
      <c r="OQE9" s="2"/>
      <c r="OQF9" s="2"/>
      <c r="OQG9" s="2"/>
      <c r="OQH9" s="2"/>
      <c r="OQI9" s="2"/>
      <c r="OQJ9" s="2"/>
      <c r="OQK9" s="2"/>
      <c r="OQL9" s="2"/>
      <c r="OQM9" s="2"/>
      <c r="OQN9" s="2"/>
      <c r="OQO9" s="2"/>
      <c r="OQP9" s="2"/>
      <c r="OQQ9" s="2"/>
      <c r="OQR9" s="2"/>
      <c r="OQS9" s="2"/>
      <c r="OQT9" s="2"/>
      <c r="OQU9" s="2"/>
      <c r="OQV9" s="2"/>
      <c r="OQW9" s="2"/>
      <c r="OQX9" s="2"/>
      <c r="OQY9" s="2"/>
      <c r="OQZ9" s="2"/>
      <c r="ORA9" s="2"/>
      <c r="ORB9" s="2"/>
      <c r="ORC9" s="2"/>
      <c r="ORD9" s="2"/>
      <c r="ORE9" s="2"/>
      <c r="ORF9" s="2"/>
      <c r="ORG9" s="2"/>
      <c r="ORH9" s="2"/>
      <c r="ORI9" s="2"/>
      <c r="ORJ9" s="2"/>
      <c r="ORK9" s="2"/>
      <c r="ORL9" s="2"/>
      <c r="ORM9" s="2"/>
      <c r="ORN9" s="2"/>
      <c r="ORO9" s="2"/>
      <c r="ORP9" s="2"/>
      <c r="ORQ9" s="2"/>
      <c r="ORR9" s="2"/>
      <c r="ORS9" s="2"/>
      <c r="ORT9" s="2"/>
      <c r="ORU9" s="2"/>
      <c r="ORV9" s="2"/>
      <c r="ORW9" s="2"/>
      <c r="ORX9" s="2"/>
      <c r="ORY9" s="2"/>
      <c r="ORZ9" s="2"/>
      <c r="OSA9" s="2"/>
      <c r="OSB9" s="2"/>
      <c r="OSC9" s="2"/>
      <c r="OSD9" s="2"/>
      <c r="OSE9" s="2"/>
      <c r="OSF9" s="2"/>
      <c r="OSG9" s="2"/>
      <c r="OSH9" s="2"/>
      <c r="OSI9" s="2"/>
      <c r="OSJ9" s="2"/>
      <c r="OSK9" s="2"/>
      <c r="OSL9" s="2"/>
      <c r="OSM9" s="2"/>
      <c r="OSN9" s="2"/>
      <c r="OSO9" s="2"/>
      <c r="OSP9" s="2"/>
      <c r="OSQ9" s="2"/>
      <c r="OSR9" s="2"/>
      <c r="OSS9" s="2"/>
      <c r="OST9" s="2"/>
      <c r="OSU9" s="2"/>
      <c r="OSV9" s="2"/>
      <c r="OSW9" s="2"/>
      <c r="OSX9" s="2"/>
      <c r="OSY9" s="2"/>
      <c r="OSZ9" s="2"/>
      <c r="OTA9" s="2"/>
      <c r="OTB9" s="2"/>
      <c r="OTC9" s="2"/>
      <c r="OTD9" s="2"/>
      <c r="OTE9" s="2"/>
      <c r="OTF9" s="2"/>
      <c r="OTG9" s="2"/>
      <c r="OTH9" s="2"/>
      <c r="OTI9" s="2"/>
      <c r="OTJ9" s="2"/>
      <c r="OTK9" s="2"/>
      <c r="OTL9" s="2"/>
      <c r="OTM9" s="2"/>
      <c r="OTN9" s="2"/>
      <c r="OTO9" s="2"/>
      <c r="OTP9" s="2"/>
      <c r="OTQ9" s="2"/>
      <c r="OTR9" s="2"/>
      <c r="OTS9" s="2"/>
      <c r="OTT9" s="2"/>
      <c r="OTU9" s="2"/>
      <c r="OTV9" s="2"/>
      <c r="OTW9" s="2"/>
      <c r="OTX9" s="2"/>
      <c r="OTY9" s="2"/>
      <c r="OTZ9" s="2"/>
      <c r="OUA9" s="2"/>
      <c r="OUB9" s="2"/>
      <c r="OUC9" s="2"/>
      <c r="OUD9" s="2"/>
      <c r="OUE9" s="2"/>
      <c r="OUF9" s="2"/>
      <c r="OUG9" s="2"/>
      <c r="OUH9" s="2"/>
      <c r="OUI9" s="2"/>
      <c r="OUJ9" s="2"/>
      <c r="OUK9" s="2"/>
      <c r="OUL9" s="2"/>
      <c r="OUM9" s="2"/>
      <c r="OUN9" s="2"/>
      <c r="OUO9" s="2"/>
      <c r="OUP9" s="2"/>
      <c r="OUQ9" s="2"/>
      <c r="OUR9" s="2"/>
      <c r="OUS9" s="2"/>
      <c r="OUT9" s="2"/>
      <c r="OUU9" s="2"/>
      <c r="OUV9" s="2"/>
      <c r="OUW9" s="2"/>
      <c r="OUX9" s="2"/>
      <c r="OUY9" s="2"/>
      <c r="OUZ9" s="2"/>
      <c r="OVA9" s="2"/>
      <c r="OVB9" s="2"/>
      <c r="OVC9" s="2"/>
      <c r="OVD9" s="2"/>
      <c r="OVE9" s="2"/>
      <c r="OVF9" s="2"/>
      <c r="OVG9" s="2"/>
      <c r="OVH9" s="2"/>
      <c r="OVI9" s="2"/>
      <c r="OVJ9" s="2"/>
      <c r="OVK9" s="2"/>
      <c r="OVL9" s="2"/>
      <c r="OVM9" s="2"/>
      <c r="OVN9" s="2"/>
      <c r="OVO9" s="2"/>
      <c r="OVP9" s="2"/>
      <c r="OVQ9" s="2"/>
      <c r="OVR9" s="2"/>
      <c r="OVS9" s="2"/>
      <c r="OVT9" s="2"/>
      <c r="OVU9" s="2"/>
      <c r="OVV9" s="2"/>
      <c r="OVW9" s="2"/>
      <c r="OVX9" s="2"/>
      <c r="OVY9" s="2"/>
      <c r="OVZ9" s="2"/>
      <c r="OWA9" s="2"/>
      <c r="OWB9" s="2"/>
      <c r="OWC9" s="2"/>
      <c r="OWD9" s="2"/>
      <c r="OWE9" s="2"/>
      <c r="OWF9" s="2"/>
      <c r="OWG9" s="2"/>
      <c r="OWH9" s="2"/>
      <c r="OWI9" s="2"/>
      <c r="OWJ9" s="2"/>
      <c r="OWK9" s="2"/>
      <c r="OWL9" s="2"/>
      <c r="OWM9" s="2"/>
      <c r="OWN9" s="2"/>
      <c r="OWO9" s="2"/>
      <c r="OWP9" s="2"/>
      <c r="OWQ9" s="2"/>
      <c r="OWR9" s="2"/>
      <c r="OWS9" s="2"/>
      <c r="OWT9" s="2"/>
      <c r="OWU9" s="2"/>
      <c r="OWV9" s="2"/>
      <c r="OWW9" s="2"/>
      <c r="OWX9" s="2"/>
      <c r="OWY9" s="2"/>
      <c r="OWZ9" s="2"/>
      <c r="OXA9" s="2"/>
      <c r="OXB9" s="2"/>
      <c r="OXC9" s="2"/>
      <c r="OXD9" s="2"/>
      <c r="OXE9" s="2"/>
      <c r="OXF9" s="2"/>
      <c r="OXG9" s="2"/>
      <c r="OXH9" s="2"/>
      <c r="OXI9" s="2"/>
      <c r="OXJ9" s="2"/>
      <c r="OXK9" s="2"/>
      <c r="OXL9" s="2"/>
      <c r="OXM9" s="2"/>
      <c r="OXN9" s="2"/>
      <c r="OXO9" s="2"/>
      <c r="OXP9" s="2"/>
      <c r="OXQ9" s="2"/>
      <c r="OXR9" s="2"/>
      <c r="OXS9" s="2"/>
      <c r="OXT9" s="2"/>
      <c r="OXU9" s="2"/>
      <c r="OXV9" s="2"/>
      <c r="OXW9" s="2"/>
      <c r="OXX9" s="2"/>
      <c r="OXY9" s="2"/>
      <c r="OXZ9" s="2"/>
      <c r="OYA9" s="2"/>
      <c r="OYB9" s="2"/>
      <c r="OYC9" s="2"/>
      <c r="OYD9" s="2"/>
      <c r="OYE9" s="2"/>
      <c r="OYF9" s="2"/>
      <c r="OYG9" s="2"/>
      <c r="OYH9" s="2"/>
      <c r="OYI9" s="2"/>
      <c r="OYJ9" s="2"/>
      <c r="OYK9" s="2"/>
      <c r="OYL9" s="2"/>
      <c r="OYM9" s="2"/>
      <c r="OYN9" s="2"/>
      <c r="OYO9" s="2"/>
      <c r="OYP9" s="2"/>
      <c r="OYQ9" s="2"/>
      <c r="OYR9" s="2"/>
      <c r="OYS9" s="2"/>
      <c r="OYT9" s="2"/>
      <c r="OYU9" s="2"/>
      <c r="OYV9" s="2"/>
      <c r="OYW9" s="2"/>
      <c r="OYX9" s="2"/>
      <c r="OYY9" s="2"/>
      <c r="OYZ9" s="2"/>
      <c r="OZA9" s="2"/>
      <c r="OZB9" s="2"/>
      <c r="OZC9" s="2"/>
      <c r="OZD9" s="2"/>
      <c r="OZE9" s="2"/>
      <c r="OZF9" s="2"/>
      <c r="OZG9" s="2"/>
      <c r="OZH9" s="2"/>
      <c r="OZI9" s="2"/>
      <c r="OZJ9" s="2"/>
      <c r="OZK9" s="2"/>
      <c r="OZL9" s="2"/>
      <c r="OZM9" s="2"/>
      <c r="OZN9" s="2"/>
      <c r="OZO9" s="2"/>
      <c r="OZP9" s="2"/>
      <c r="OZQ9" s="2"/>
      <c r="OZR9" s="2"/>
      <c r="OZS9" s="2"/>
      <c r="OZT9" s="2"/>
      <c r="OZU9" s="2"/>
      <c r="OZV9" s="2"/>
      <c r="OZW9" s="2"/>
      <c r="OZX9" s="2"/>
      <c r="OZY9" s="2"/>
      <c r="OZZ9" s="2"/>
      <c r="PAA9" s="2"/>
      <c r="PAB9" s="2"/>
      <c r="PAC9" s="2"/>
      <c r="PAD9" s="2"/>
      <c r="PAE9" s="2"/>
      <c r="PAF9" s="2"/>
      <c r="PAG9" s="2"/>
      <c r="PAH9" s="2"/>
      <c r="PAI9" s="2"/>
      <c r="PAJ9" s="2"/>
      <c r="PAK9" s="2"/>
      <c r="PAL9" s="2"/>
      <c r="PAM9" s="2"/>
      <c r="PAN9" s="2"/>
      <c r="PAO9" s="2"/>
      <c r="PAP9" s="2"/>
      <c r="PAQ9" s="2"/>
      <c r="PAR9" s="2"/>
      <c r="PAS9" s="2"/>
      <c r="PAT9" s="2"/>
      <c r="PAU9" s="2"/>
      <c r="PAV9" s="2"/>
      <c r="PAW9" s="2"/>
      <c r="PAX9" s="2"/>
      <c r="PAY9" s="2"/>
      <c r="PAZ9" s="2"/>
      <c r="PBA9" s="2"/>
      <c r="PBB9" s="2"/>
      <c r="PBC9" s="2"/>
      <c r="PBD9" s="2"/>
      <c r="PBE9" s="2"/>
      <c r="PBF9" s="2"/>
      <c r="PBG9" s="2"/>
      <c r="PBH9" s="2"/>
      <c r="PBI9" s="2"/>
      <c r="PBJ9" s="2"/>
      <c r="PBK9" s="2"/>
      <c r="PBL9" s="2"/>
      <c r="PBM9" s="2"/>
      <c r="PBN9" s="2"/>
      <c r="PBO9" s="2"/>
      <c r="PBP9" s="2"/>
      <c r="PBQ9" s="2"/>
      <c r="PBR9" s="2"/>
      <c r="PBS9" s="2"/>
      <c r="PBT9" s="2"/>
      <c r="PBU9" s="2"/>
      <c r="PBV9" s="2"/>
      <c r="PBW9" s="2"/>
      <c r="PBX9" s="2"/>
      <c r="PBY9" s="2"/>
      <c r="PBZ9" s="2"/>
      <c r="PCA9" s="2"/>
      <c r="PCB9" s="2"/>
      <c r="PCC9" s="2"/>
      <c r="PCD9" s="2"/>
      <c r="PCE9" s="2"/>
      <c r="PCF9" s="2"/>
      <c r="PCG9" s="2"/>
      <c r="PCH9" s="2"/>
      <c r="PCI9" s="2"/>
      <c r="PCJ9" s="2"/>
      <c r="PCK9" s="2"/>
      <c r="PCL9" s="2"/>
      <c r="PCM9" s="2"/>
      <c r="PCN9" s="2"/>
      <c r="PCO9" s="2"/>
      <c r="PCP9" s="2"/>
      <c r="PCQ9" s="2"/>
      <c r="PCR9" s="2"/>
      <c r="PCS9" s="2"/>
      <c r="PCT9" s="2"/>
      <c r="PCU9" s="2"/>
      <c r="PCV9" s="2"/>
      <c r="PCW9" s="2"/>
      <c r="PCX9" s="2"/>
      <c r="PCY9" s="2"/>
      <c r="PCZ9" s="2"/>
      <c r="PDA9" s="2"/>
      <c r="PDB9" s="2"/>
      <c r="PDC9" s="2"/>
      <c r="PDD9" s="2"/>
      <c r="PDE9" s="2"/>
      <c r="PDF9" s="2"/>
      <c r="PDG9" s="2"/>
      <c r="PDH9" s="2"/>
      <c r="PDI9" s="2"/>
      <c r="PDJ9" s="2"/>
      <c r="PDK9" s="2"/>
      <c r="PDL9" s="2"/>
      <c r="PDM9" s="2"/>
      <c r="PDN9" s="2"/>
      <c r="PDO9" s="2"/>
      <c r="PDP9" s="2"/>
      <c r="PDQ9" s="2"/>
      <c r="PDR9" s="2"/>
      <c r="PDS9" s="2"/>
      <c r="PDT9" s="2"/>
      <c r="PDU9" s="2"/>
      <c r="PDV9" s="2"/>
      <c r="PDW9" s="2"/>
      <c r="PDX9" s="2"/>
      <c r="PDY9" s="2"/>
      <c r="PDZ9" s="2"/>
      <c r="PEA9" s="2"/>
      <c r="PEB9" s="2"/>
      <c r="PEC9" s="2"/>
      <c r="PED9" s="2"/>
      <c r="PEE9" s="2"/>
      <c r="PEF9" s="2"/>
      <c r="PEG9" s="2"/>
      <c r="PEH9" s="2"/>
      <c r="PEI9" s="2"/>
      <c r="PEJ9" s="2"/>
      <c r="PEK9" s="2"/>
      <c r="PEL9" s="2"/>
      <c r="PEM9" s="2"/>
      <c r="PEN9" s="2"/>
      <c r="PEO9" s="2"/>
      <c r="PEP9" s="2"/>
      <c r="PEQ9" s="2"/>
      <c r="PER9" s="2"/>
      <c r="PES9" s="2"/>
      <c r="PET9" s="2"/>
      <c r="PEU9" s="2"/>
      <c r="PEV9" s="2"/>
      <c r="PEW9" s="2"/>
      <c r="PEX9" s="2"/>
      <c r="PEY9" s="2"/>
      <c r="PEZ9" s="2"/>
      <c r="PFA9" s="2"/>
      <c r="PFB9" s="2"/>
      <c r="PFC9" s="2"/>
      <c r="PFD9" s="2"/>
      <c r="PFE9" s="2"/>
      <c r="PFF9" s="2"/>
      <c r="PFG9" s="2"/>
      <c r="PFH9" s="2"/>
      <c r="PFI9" s="2"/>
      <c r="PFJ9" s="2"/>
      <c r="PFK9" s="2"/>
      <c r="PFL9" s="2"/>
      <c r="PFM9" s="2"/>
      <c r="PFN9" s="2"/>
      <c r="PFO9" s="2"/>
      <c r="PFP9" s="2"/>
      <c r="PFQ9" s="2"/>
      <c r="PFR9" s="2"/>
      <c r="PFS9" s="2"/>
      <c r="PFT9" s="2"/>
      <c r="PFU9" s="2"/>
      <c r="PFV9" s="2"/>
      <c r="PFW9" s="2"/>
      <c r="PFX9" s="2"/>
      <c r="PFY9" s="2"/>
      <c r="PFZ9" s="2"/>
      <c r="PGA9" s="2"/>
      <c r="PGB9" s="2"/>
      <c r="PGC9" s="2"/>
      <c r="PGD9" s="2"/>
      <c r="PGE9" s="2"/>
      <c r="PGF9" s="2"/>
      <c r="PGG9" s="2"/>
      <c r="PGH9" s="2"/>
      <c r="PGI9" s="2"/>
      <c r="PGJ9" s="2"/>
      <c r="PGK9" s="2"/>
      <c r="PGL9" s="2"/>
      <c r="PGM9" s="2"/>
      <c r="PGN9" s="2"/>
      <c r="PGO9" s="2"/>
      <c r="PGP9" s="2"/>
      <c r="PGQ9" s="2"/>
      <c r="PGR9" s="2"/>
      <c r="PGS9" s="2"/>
      <c r="PGT9" s="2"/>
      <c r="PGU9" s="2"/>
      <c r="PGV9" s="2"/>
      <c r="PGW9" s="2"/>
      <c r="PGX9" s="2"/>
      <c r="PGY9" s="2"/>
      <c r="PGZ9" s="2"/>
      <c r="PHA9" s="2"/>
      <c r="PHB9" s="2"/>
      <c r="PHC9" s="2"/>
      <c r="PHD9" s="2"/>
      <c r="PHE9" s="2"/>
      <c r="PHF9" s="2"/>
      <c r="PHG9" s="2"/>
      <c r="PHH9" s="2"/>
      <c r="PHI9" s="2"/>
      <c r="PHJ9" s="2"/>
      <c r="PHK9" s="2"/>
      <c r="PHL9" s="2"/>
      <c r="PHM9" s="2"/>
      <c r="PHN9" s="2"/>
      <c r="PHO9" s="2"/>
      <c r="PHP9" s="2"/>
      <c r="PHQ9" s="2"/>
      <c r="PHR9" s="2"/>
      <c r="PHS9" s="2"/>
      <c r="PHT9" s="2"/>
      <c r="PHU9" s="2"/>
      <c r="PHV9" s="2"/>
      <c r="PHW9" s="2"/>
      <c r="PHX9" s="2"/>
      <c r="PHY9" s="2"/>
      <c r="PHZ9" s="2"/>
      <c r="PIA9" s="2"/>
      <c r="PIB9" s="2"/>
      <c r="PIC9" s="2"/>
      <c r="PID9" s="2"/>
      <c r="PIE9" s="2"/>
      <c r="PIF9" s="2"/>
      <c r="PIG9" s="2"/>
      <c r="PIH9" s="2"/>
      <c r="PII9" s="2"/>
      <c r="PIJ9" s="2"/>
      <c r="PIK9" s="2"/>
      <c r="PIL9" s="2"/>
      <c r="PIM9" s="2"/>
      <c r="PIN9" s="2"/>
      <c r="PIO9" s="2"/>
      <c r="PIP9" s="2"/>
      <c r="PIQ9" s="2"/>
      <c r="PIR9" s="2"/>
      <c r="PIS9" s="2"/>
      <c r="PIT9" s="2"/>
      <c r="PIU9" s="2"/>
      <c r="PIV9" s="2"/>
      <c r="PIW9" s="2"/>
      <c r="PIX9" s="2"/>
      <c r="PIY9" s="2"/>
      <c r="PIZ9" s="2"/>
      <c r="PJA9" s="2"/>
      <c r="PJB9" s="2"/>
      <c r="PJC9" s="2"/>
      <c r="PJD9" s="2"/>
      <c r="PJE9" s="2"/>
      <c r="PJF9" s="2"/>
      <c r="PJG9" s="2"/>
      <c r="PJH9" s="2"/>
      <c r="PJI9" s="2"/>
      <c r="PJJ9" s="2"/>
      <c r="PJK9" s="2"/>
      <c r="PJL9" s="2"/>
      <c r="PJM9" s="2"/>
      <c r="PJN9" s="2"/>
      <c r="PJO9" s="2"/>
      <c r="PJP9" s="2"/>
      <c r="PJQ9" s="2"/>
      <c r="PJR9" s="2"/>
      <c r="PJS9" s="2"/>
      <c r="PJT9" s="2"/>
      <c r="PJU9" s="2"/>
      <c r="PJV9" s="2"/>
      <c r="PJW9" s="2"/>
      <c r="PJX9" s="2"/>
      <c r="PJY9" s="2"/>
      <c r="PJZ9" s="2"/>
      <c r="PKA9" s="2"/>
      <c r="PKB9" s="2"/>
      <c r="PKC9" s="2"/>
      <c r="PKD9" s="2"/>
      <c r="PKE9" s="2"/>
      <c r="PKF9" s="2"/>
      <c r="PKG9" s="2"/>
      <c r="PKH9" s="2"/>
      <c r="PKI9" s="2"/>
      <c r="PKJ9" s="2"/>
      <c r="PKK9" s="2"/>
      <c r="PKL9" s="2"/>
      <c r="PKM9" s="2"/>
      <c r="PKN9" s="2"/>
      <c r="PKO9" s="2"/>
      <c r="PKP9" s="2"/>
      <c r="PKQ9" s="2"/>
      <c r="PKR9" s="2"/>
      <c r="PKS9" s="2"/>
      <c r="PKT9" s="2"/>
      <c r="PKU9" s="2"/>
      <c r="PKV9" s="2"/>
      <c r="PKW9" s="2"/>
      <c r="PKX9" s="2"/>
      <c r="PKY9" s="2"/>
      <c r="PKZ9" s="2"/>
      <c r="PLA9" s="2"/>
      <c r="PLB9" s="2"/>
      <c r="PLC9" s="2"/>
      <c r="PLD9" s="2"/>
      <c r="PLE9" s="2"/>
      <c r="PLF9" s="2"/>
      <c r="PLG9" s="2"/>
      <c r="PLH9" s="2"/>
      <c r="PLI9" s="2"/>
      <c r="PLJ9" s="2"/>
      <c r="PLK9" s="2"/>
      <c r="PLL9" s="2"/>
      <c r="PLM9" s="2"/>
      <c r="PLN9" s="2"/>
      <c r="PLO9" s="2"/>
      <c r="PLP9" s="2"/>
      <c r="PLQ9" s="2"/>
      <c r="PLR9" s="2"/>
      <c r="PLS9" s="2"/>
      <c r="PLT9" s="2"/>
      <c r="PLU9" s="2"/>
      <c r="PLV9" s="2"/>
      <c r="PLW9" s="2"/>
      <c r="PLX9" s="2"/>
      <c r="PLY9" s="2"/>
      <c r="PLZ9" s="2"/>
      <c r="PMA9" s="2"/>
      <c r="PMB9" s="2"/>
      <c r="PMC9" s="2"/>
      <c r="PMD9" s="2"/>
      <c r="PME9" s="2"/>
      <c r="PMF9" s="2"/>
      <c r="PMG9" s="2"/>
      <c r="PMH9" s="2"/>
      <c r="PMI9" s="2"/>
      <c r="PMJ9" s="2"/>
      <c r="PMK9" s="2"/>
      <c r="PML9" s="2"/>
      <c r="PMM9" s="2"/>
      <c r="PMN9" s="2"/>
      <c r="PMO9" s="2"/>
      <c r="PMP9" s="2"/>
      <c r="PMQ9" s="2"/>
      <c r="PMR9" s="2"/>
      <c r="PMS9" s="2"/>
      <c r="PMT9" s="2"/>
      <c r="PMU9" s="2"/>
      <c r="PMV9" s="2"/>
      <c r="PMW9" s="2"/>
      <c r="PMX9" s="2"/>
      <c r="PMY9" s="2"/>
      <c r="PMZ9" s="2"/>
      <c r="PNA9" s="2"/>
      <c r="PNB9" s="2"/>
      <c r="PNC9" s="2"/>
      <c r="PND9" s="2"/>
      <c r="PNE9" s="2"/>
      <c r="PNF9" s="2"/>
      <c r="PNG9" s="2"/>
      <c r="PNH9" s="2"/>
      <c r="PNI9" s="2"/>
      <c r="PNJ9" s="2"/>
      <c r="PNK9" s="2"/>
      <c r="PNL9" s="2"/>
      <c r="PNM9" s="2"/>
      <c r="PNN9" s="2"/>
      <c r="PNO9" s="2"/>
      <c r="PNP9" s="2"/>
      <c r="PNQ9" s="2"/>
      <c r="PNR9" s="2"/>
      <c r="PNS9" s="2"/>
      <c r="PNT9" s="2"/>
      <c r="PNU9" s="2"/>
      <c r="PNV9" s="2"/>
      <c r="PNW9" s="2"/>
      <c r="PNX9" s="2"/>
      <c r="PNY9" s="2"/>
      <c r="PNZ9" s="2"/>
      <c r="POA9" s="2"/>
      <c r="POB9" s="2"/>
      <c r="POC9" s="2"/>
      <c r="POD9" s="2"/>
      <c r="POE9" s="2"/>
      <c r="POF9" s="2"/>
      <c r="POG9" s="2"/>
      <c r="POH9" s="2"/>
      <c r="POI9" s="2"/>
      <c r="POJ9" s="2"/>
      <c r="POK9" s="2"/>
      <c r="POL9" s="2"/>
      <c r="POM9" s="2"/>
      <c r="PON9" s="2"/>
      <c r="POO9" s="2"/>
      <c r="POP9" s="2"/>
      <c r="POQ9" s="2"/>
      <c r="POR9" s="2"/>
      <c r="POS9" s="2"/>
      <c r="POT9" s="2"/>
      <c r="POU9" s="2"/>
      <c r="POV9" s="2"/>
      <c r="POW9" s="2"/>
      <c r="POX9" s="2"/>
      <c r="POY9" s="2"/>
      <c r="POZ9" s="2"/>
      <c r="PPA9" s="2"/>
      <c r="PPB9" s="2"/>
      <c r="PPC9" s="2"/>
      <c r="PPD9" s="2"/>
      <c r="PPE9" s="2"/>
      <c r="PPF9" s="2"/>
      <c r="PPG9" s="2"/>
      <c r="PPH9" s="2"/>
      <c r="PPI9" s="2"/>
      <c r="PPJ9" s="2"/>
      <c r="PPK9" s="2"/>
      <c r="PPL9" s="2"/>
      <c r="PPM9" s="2"/>
      <c r="PPN9" s="2"/>
      <c r="PPO9" s="2"/>
      <c r="PPP9" s="2"/>
      <c r="PPQ9" s="2"/>
      <c r="PPR9" s="2"/>
      <c r="PPS9" s="2"/>
      <c r="PPT9" s="2"/>
      <c r="PPU9" s="2"/>
      <c r="PPV9" s="2"/>
      <c r="PPW9" s="2"/>
      <c r="PPX9" s="2"/>
      <c r="PPY9" s="2"/>
      <c r="PPZ9" s="2"/>
      <c r="PQA9" s="2"/>
      <c r="PQB9" s="2"/>
      <c r="PQC9" s="2"/>
      <c r="PQD9" s="2"/>
      <c r="PQE9" s="2"/>
      <c r="PQF9" s="2"/>
      <c r="PQG9" s="2"/>
      <c r="PQH9" s="2"/>
      <c r="PQI9" s="2"/>
      <c r="PQJ9" s="2"/>
      <c r="PQK9" s="2"/>
      <c r="PQL9" s="2"/>
      <c r="PQM9" s="2"/>
      <c r="PQN9" s="2"/>
      <c r="PQO9" s="2"/>
      <c r="PQP9" s="2"/>
      <c r="PQQ9" s="2"/>
      <c r="PQR9" s="2"/>
      <c r="PQS9" s="2"/>
      <c r="PQT9" s="2"/>
      <c r="PQU9" s="2"/>
      <c r="PQV9" s="2"/>
      <c r="PQW9" s="2"/>
      <c r="PQX9" s="2"/>
      <c r="PQY9" s="2"/>
      <c r="PQZ9" s="2"/>
      <c r="PRA9" s="2"/>
      <c r="PRB9" s="2"/>
      <c r="PRC9" s="2"/>
      <c r="PRD9" s="2"/>
      <c r="PRE9" s="2"/>
      <c r="PRF9" s="2"/>
      <c r="PRG9" s="2"/>
      <c r="PRH9" s="2"/>
      <c r="PRI9" s="2"/>
      <c r="PRJ9" s="2"/>
      <c r="PRK9" s="2"/>
      <c r="PRL9" s="2"/>
      <c r="PRM9" s="2"/>
      <c r="PRN9" s="2"/>
      <c r="PRO9" s="2"/>
      <c r="PRP9" s="2"/>
      <c r="PRQ9" s="2"/>
      <c r="PRR9" s="2"/>
      <c r="PRS9" s="2"/>
      <c r="PRT9" s="2"/>
      <c r="PRU9" s="2"/>
      <c r="PRV9" s="2"/>
      <c r="PRW9" s="2"/>
      <c r="PRX9" s="2"/>
      <c r="PRY9" s="2"/>
      <c r="PRZ9" s="2"/>
      <c r="PSA9" s="2"/>
      <c r="PSB9" s="2"/>
      <c r="PSC9" s="2"/>
      <c r="PSD9" s="2"/>
      <c r="PSE9" s="2"/>
      <c r="PSF9" s="2"/>
      <c r="PSG9" s="2"/>
      <c r="PSH9" s="2"/>
      <c r="PSI9" s="2"/>
      <c r="PSJ9" s="2"/>
      <c r="PSK9" s="2"/>
      <c r="PSL9" s="2"/>
      <c r="PSM9" s="2"/>
      <c r="PSN9" s="2"/>
      <c r="PSO9" s="2"/>
      <c r="PSP9" s="2"/>
      <c r="PSQ9" s="2"/>
      <c r="PSR9" s="2"/>
      <c r="PSS9" s="2"/>
      <c r="PST9" s="2"/>
      <c r="PSU9" s="2"/>
      <c r="PSV9" s="2"/>
      <c r="PSW9" s="2"/>
      <c r="PSX9" s="2"/>
      <c r="PSY9" s="2"/>
      <c r="PSZ9" s="2"/>
      <c r="PTA9" s="2"/>
      <c r="PTB9" s="2"/>
      <c r="PTC9" s="2"/>
      <c r="PTD9" s="2"/>
      <c r="PTE9" s="2"/>
      <c r="PTF9" s="2"/>
      <c r="PTG9" s="2"/>
      <c r="PTH9" s="2"/>
      <c r="PTI9" s="2"/>
      <c r="PTJ9" s="2"/>
      <c r="PTK9" s="2"/>
      <c r="PTL9" s="2"/>
      <c r="PTM9" s="2"/>
      <c r="PTN9" s="2"/>
      <c r="PTO9" s="2"/>
      <c r="PTP9" s="2"/>
      <c r="PTQ9" s="2"/>
      <c r="PTR9" s="2"/>
      <c r="PTS9" s="2"/>
      <c r="PTT9" s="2"/>
      <c r="PTU9" s="2"/>
      <c r="PTV9" s="2"/>
      <c r="PTW9" s="2"/>
      <c r="PTX9" s="2"/>
      <c r="PTY9" s="2"/>
      <c r="PTZ9" s="2"/>
      <c r="PUA9" s="2"/>
      <c r="PUB9" s="2"/>
      <c r="PUC9" s="2"/>
      <c r="PUD9" s="2"/>
      <c r="PUE9" s="2"/>
      <c r="PUF9" s="2"/>
      <c r="PUG9" s="2"/>
      <c r="PUH9" s="2"/>
      <c r="PUI9" s="2"/>
      <c r="PUJ9" s="2"/>
      <c r="PUK9" s="2"/>
      <c r="PUL9" s="2"/>
      <c r="PUM9" s="2"/>
      <c r="PUN9" s="2"/>
      <c r="PUO9" s="2"/>
      <c r="PUP9" s="2"/>
      <c r="PUQ9" s="2"/>
      <c r="PUR9" s="2"/>
      <c r="PUS9" s="2"/>
      <c r="PUT9" s="2"/>
      <c r="PUU9" s="2"/>
      <c r="PUV9" s="2"/>
      <c r="PUW9" s="2"/>
      <c r="PUX9" s="2"/>
      <c r="PUY9" s="2"/>
      <c r="PUZ9" s="2"/>
      <c r="PVA9" s="2"/>
      <c r="PVB9" s="2"/>
      <c r="PVC9" s="2"/>
      <c r="PVD9" s="2"/>
      <c r="PVE9" s="2"/>
      <c r="PVF9" s="2"/>
      <c r="PVG9" s="2"/>
      <c r="PVH9" s="2"/>
      <c r="PVI9" s="2"/>
      <c r="PVJ9" s="2"/>
      <c r="PVK9" s="2"/>
      <c r="PVL9" s="2"/>
      <c r="PVM9" s="2"/>
      <c r="PVN9" s="2"/>
      <c r="PVO9" s="2"/>
      <c r="PVP9" s="2"/>
      <c r="PVQ9" s="2"/>
      <c r="PVR9" s="2"/>
      <c r="PVS9" s="2"/>
      <c r="PVT9" s="2"/>
      <c r="PVU9" s="2"/>
      <c r="PVV9" s="2"/>
      <c r="PVW9" s="2"/>
      <c r="PVX9" s="2"/>
      <c r="PVY9" s="2"/>
      <c r="PVZ9" s="2"/>
      <c r="PWA9" s="2"/>
      <c r="PWB9" s="2"/>
      <c r="PWC9" s="2"/>
      <c r="PWD9" s="2"/>
      <c r="PWE9" s="2"/>
      <c r="PWF9" s="2"/>
      <c r="PWG9" s="2"/>
      <c r="PWH9" s="2"/>
      <c r="PWI9" s="2"/>
      <c r="PWJ9" s="2"/>
      <c r="PWK9" s="2"/>
      <c r="PWL9" s="2"/>
      <c r="PWM9" s="2"/>
      <c r="PWN9" s="2"/>
      <c r="PWO9" s="2"/>
      <c r="PWP9" s="2"/>
      <c r="PWQ9" s="2"/>
      <c r="PWR9" s="2"/>
      <c r="PWS9" s="2"/>
      <c r="PWT9" s="2"/>
      <c r="PWU9" s="2"/>
      <c r="PWV9" s="2"/>
      <c r="PWW9" s="2"/>
      <c r="PWX9" s="2"/>
      <c r="PWY9" s="2"/>
      <c r="PWZ9" s="2"/>
      <c r="PXA9" s="2"/>
      <c r="PXB9" s="2"/>
      <c r="PXC9" s="2"/>
      <c r="PXD9" s="2"/>
      <c r="PXE9" s="2"/>
      <c r="PXF9" s="2"/>
      <c r="PXG9" s="2"/>
      <c r="PXH9" s="2"/>
      <c r="PXI9" s="2"/>
      <c r="PXJ9" s="2"/>
      <c r="PXK9" s="2"/>
      <c r="PXL9" s="2"/>
      <c r="PXM9" s="2"/>
      <c r="PXN9" s="2"/>
      <c r="PXO9" s="2"/>
      <c r="PXP9" s="2"/>
      <c r="PXQ9" s="2"/>
      <c r="PXR9" s="2"/>
      <c r="PXS9" s="2"/>
      <c r="PXT9" s="2"/>
      <c r="PXU9" s="2"/>
      <c r="PXV9" s="2"/>
      <c r="PXW9" s="2"/>
      <c r="PXX9" s="2"/>
      <c r="PXY9" s="2"/>
      <c r="PXZ9" s="2"/>
      <c r="PYA9" s="2"/>
      <c r="PYB9" s="2"/>
      <c r="PYC9" s="2"/>
      <c r="PYD9" s="2"/>
      <c r="PYE9" s="2"/>
      <c r="PYF9" s="2"/>
      <c r="PYG9" s="2"/>
      <c r="PYH9" s="2"/>
      <c r="PYI9" s="2"/>
      <c r="PYJ9" s="2"/>
      <c r="PYK9" s="2"/>
      <c r="PYL9" s="2"/>
      <c r="PYM9" s="2"/>
      <c r="PYN9" s="2"/>
      <c r="PYO9" s="2"/>
      <c r="PYP9" s="2"/>
      <c r="PYQ9" s="2"/>
      <c r="PYR9" s="2"/>
      <c r="PYS9" s="2"/>
      <c r="PYT9" s="2"/>
      <c r="PYU9" s="2"/>
      <c r="PYV9" s="2"/>
      <c r="PYW9" s="2"/>
      <c r="PYX9" s="2"/>
      <c r="PYY9" s="2"/>
      <c r="PYZ9" s="2"/>
      <c r="PZA9" s="2"/>
      <c r="PZB9" s="2"/>
      <c r="PZC9" s="2"/>
      <c r="PZD9" s="2"/>
      <c r="PZE9" s="2"/>
      <c r="PZF9" s="2"/>
      <c r="PZG9" s="2"/>
      <c r="PZH9" s="2"/>
      <c r="PZI9" s="2"/>
      <c r="PZJ9" s="2"/>
      <c r="PZK9" s="2"/>
      <c r="PZL9" s="2"/>
      <c r="PZM9" s="2"/>
      <c r="PZN9" s="2"/>
      <c r="PZO9" s="2"/>
      <c r="PZP9" s="2"/>
      <c r="PZQ9" s="2"/>
      <c r="PZR9" s="2"/>
      <c r="PZS9" s="2"/>
      <c r="PZT9" s="2"/>
      <c r="PZU9" s="2"/>
      <c r="PZV9" s="2"/>
      <c r="PZW9" s="2"/>
      <c r="PZX9" s="2"/>
      <c r="PZY9" s="2"/>
      <c r="PZZ9" s="2"/>
      <c r="QAA9" s="2"/>
      <c r="QAB9" s="2"/>
      <c r="QAC9" s="2"/>
      <c r="QAD9" s="2"/>
      <c r="QAE9" s="2"/>
      <c r="QAF9" s="2"/>
      <c r="QAG9" s="2"/>
      <c r="QAH9" s="2"/>
      <c r="QAI9" s="2"/>
      <c r="QAJ9" s="2"/>
      <c r="QAK9" s="2"/>
      <c r="QAL9" s="2"/>
      <c r="QAM9" s="2"/>
      <c r="QAN9" s="2"/>
      <c r="QAO9" s="2"/>
      <c r="QAP9" s="2"/>
      <c r="QAQ9" s="2"/>
      <c r="QAR9" s="2"/>
      <c r="QAS9" s="2"/>
      <c r="QAT9" s="2"/>
      <c r="QAU9" s="2"/>
      <c r="QAV9" s="2"/>
      <c r="QAW9" s="2"/>
      <c r="QAX9" s="2"/>
      <c r="QAY9" s="2"/>
      <c r="QAZ9" s="2"/>
      <c r="QBA9" s="2"/>
      <c r="QBB9" s="2"/>
      <c r="QBC9" s="2"/>
      <c r="QBD9" s="2"/>
      <c r="QBE9" s="2"/>
      <c r="QBF9" s="2"/>
      <c r="QBG9" s="2"/>
      <c r="QBH9" s="2"/>
      <c r="QBI9" s="2"/>
      <c r="QBJ9" s="2"/>
      <c r="QBK9" s="2"/>
      <c r="QBL9" s="2"/>
      <c r="QBM9" s="2"/>
      <c r="QBN9" s="2"/>
      <c r="QBO9" s="2"/>
      <c r="QBP9" s="2"/>
      <c r="QBQ9" s="2"/>
      <c r="QBR9" s="2"/>
      <c r="QBS9" s="2"/>
      <c r="QBT9" s="2"/>
      <c r="QBU9" s="2"/>
      <c r="QBV9" s="2"/>
      <c r="QBW9" s="2"/>
      <c r="QBX9" s="2"/>
      <c r="QBY9" s="2"/>
      <c r="QBZ9" s="2"/>
      <c r="QCA9" s="2"/>
      <c r="QCB9" s="2"/>
      <c r="QCC9" s="2"/>
      <c r="QCD9" s="2"/>
      <c r="QCE9" s="2"/>
      <c r="QCF9" s="2"/>
      <c r="QCG9" s="2"/>
      <c r="QCH9" s="2"/>
      <c r="QCI9" s="2"/>
      <c r="QCJ9" s="2"/>
      <c r="QCK9" s="2"/>
      <c r="QCL9" s="2"/>
      <c r="QCM9" s="2"/>
      <c r="QCN9" s="2"/>
      <c r="QCO9" s="2"/>
      <c r="QCP9" s="2"/>
      <c r="QCQ9" s="2"/>
      <c r="QCR9" s="2"/>
      <c r="QCS9" s="2"/>
      <c r="QCT9" s="2"/>
      <c r="QCU9" s="2"/>
      <c r="QCV9" s="2"/>
      <c r="QCW9" s="2"/>
      <c r="QCX9" s="2"/>
      <c r="QCY9" s="2"/>
      <c r="QCZ9" s="2"/>
      <c r="QDA9" s="2"/>
      <c r="QDB9" s="2"/>
      <c r="QDC9" s="2"/>
      <c r="QDD9" s="2"/>
      <c r="QDE9" s="2"/>
      <c r="QDF9" s="2"/>
      <c r="QDG9" s="2"/>
      <c r="QDH9" s="2"/>
      <c r="QDI9" s="2"/>
      <c r="QDJ9" s="2"/>
      <c r="QDK9" s="2"/>
      <c r="QDL9" s="2"/>
      <c r="QDM9" s="2"/>
      <c r="QDN9" s="2"/>
      <c r="QDO9" s="2"/>
      <c r="QDP9" s="2"/>
      <c r="QDQ9" s="2"/>
      <c r="QDR9" s="2"/>
      <c r="QDS9" s="2"/>
      <c r="QDT9" s="2"/>
      <c r="QDU9" s="2"/>
      <c r="QDV9" s="2"/>
      <c r="QDW9" s="2"/>
      <c r="QDX9" s="2"/>
      <c r="QDY9" s="2"/>
      <c r="QDZ9" s="2"/>
      <c r="QEA9" s="2"/>
      <c r="QEB9" s="2"/>
      <c r="QEC9" s="2"/>
      <c r="QED9" s="2"/>
      <c r="QEE9" s="2"/>
      <c r="QEF9" s="2"/>
      <c r="QEG9" s="2"/>
      <c r="QEH9" s="2"/>
      <c r="QEI9" s="2"/>
      <c r="QEJ9" s="2"/>
      <c r="QEK9" s="2"/>
      <c r="QEL9" s="2"/>
      <c r="QEM9" s="2"/>
      <c r="QEN9" s="2"/>
      <c r="QEO9" s="2"/>
      <c r="QEP9" s="2"/>
      <c r="QEQ9" s="2"/>
      <c r="QER9" s="2"/>
      <c r="QES9" s="2"/>
      <c r="QET9" s="2"/>
      <c r="QEU9" s="2"/>
      <c r="QEV9" s="2"/>
      <c r="QEW9" s="2"/>
      <c r="QEX9" s="2"/>
      <c r="QEY9" s="2"/>
      <c r="QEZ9" s="2"/>
      <c r="QFA9" s="2"/>
      <c r="QFB9" s="2"/>
      <c r="QFC9" s="2"/>
      <c r="QFD9" s="2"/>
      <c r="QFE9" s="2"/>
      <c r="QFF9" s="2"/>
      <c r="QFG9" s="2"/>
      <c r="QFH9" s="2"/>
      <c r="QFI9" s="2"/>
      <c r="QFJ9" s="2"/>
      <c r="QFK9" s="2"/>
      <c r="QFL9" s="2"/>
      <c r="QFM9" s="2"/>
      <c r="QFN9" s="2"/>
      <c r="QFO9" s="2"/>
      <c r="QFP9" s="2"/>
      <c r="QFQ9" s="2"/>
      <c r="QFR9" s="2"/>
      <c r="QFS9" s="2"/>
      <c r="QFT9" s="2"/>
      <c r="QFU9" s="2"/>
      <c r="QFV9" s="2"/>
      <c r="QFW9" s="2"/>
      <c r="QFX9" s="2"/>
      <c r="QFY9" s="2"/>
      <c r="QFZ9" s="2"/>
      <c r="QGA9" s="2"/>
      <c r="QGB9" s="2"/>
      <c r="QGC9" s="2"/>
      <c r="QGD9" s="2"/>
      <c r="QGE9" s="2"/>
      <c r="QGF9" s="2"/>
      <c r="QGG9" s="2"/>
      <c r="QGH9" s="2"/>
      <c r="QGI9" s="2"/>
      <c r="QGJ9" s="2"/>
      <c r="QGK9" s="2"/>
      <c r="QGL9" s="2"/>
      <c r="QGM9" s="2"/>
      <c r="QGN9" s="2"/>
      <c r="QGO9" s="2"/>
      <c r="QGP9" s="2"/>
      <c r="QGQ9" s="2"/>
      <c r="QGR9" s="2"/>
      <c r="QGS9" s="2"/>
      <c r="QGT9" s="2"/>
      <c r="QGU9" s="2"/>
      <c r="QGV9" s="2"/>
      <c r="QGW9" s="2"/>
      <c r="QGX9" s="2"/>
      <c r="QGY9" s="2"/>
      <c r="QGZ9" s="2"/>
      <c r="QHA9" s="2"/>
      <c r="QHB9" s="2"/>
      <c r="QHC9" s="2"/>
      <c r="QHD9" s="2"/>
      <c r="QHE9" s="2"/>
      <c r="QHF9" s="2"/>
      <c r="QHG9" s="2"/>
      <c r="QHH9" s="2"/>
      <c r="QHI9" s="2"/>
      <c r="QHJ9" s="2"/>
      <c r="QHK9" s="2"/>
      <c r="QHL9" s="2"/>
      <c r="QHM9" s="2"/>
      <c r="QHN9" s="2"/>
      <c r="QHO9" s="2"/>
      <c r="QHP9" s="2"/>
      <c r="QHQ9" s="2"/>
      <c r="QHR9" s="2"/>
      <c r="QHS9" s="2"/>
      <c r="QHT9" s="2"/>
      <c r="QHU9" s="2"/>
      <c r="QHV9" s="2"/>
      <c r="QHW9" s="2"/>
      <c r="QHX9" s="2"/>
      <c r="QHY9" s="2"/>
      <c r="QHZ9" s="2"/>
      <c r="QIA9" s="2"/>
      <c r="QIB9" s="2"/>
      <c r="QIC9" s="2"/>
      <c r="QID9" s="2"/>
      <c r="QIE9" s="2"/>
      <c r="QIF9" s="2"/>
      <c r="QIG9" s="2"/>
      <c r="QIH9" s="2"/>
      <c r="QII9" s="2"/>
      <c r="QIJ9" s="2"/>
      <c r="QIK9" s="2"/>
      <c r="QIL9" s="2"/>
      <c r="QIM9" s="2"/>
      <c r="QIN9" s="2"/>
      <c r="QIO9" s="2"/>
      <c r="QIP9" s="2"/>
      <c r="QIQ9" s="2"/>
      <c r="QIR9" s="2"/>
      <c r="QIS9" s="2"/>
      <c r="QIT9" s="2"/>
      <c r="QIU9" s="2"/>
      <c r="QIV9" s="2"/>
      <c r="QIW9" s="2"/>
      <c r="QIX9" s="2"/>
      <c r="QIY9" s="2"/>
      <c r="QIZ9" s="2"/>
      <c r="QJA9" s="2"/>
      <c r="QJB9" s="2"/>
      <c r="QJC9" s="2"/>
      <c r="QJD9" s="2"/>
      <c r="QJE9" s="2"/>
      <c r="QJF9" s="2"/>
      <c r="QJG9" s="2"/>
      <c r="QJH9" s="2"/>
      <c r="QJI9" s="2"/>
      <c r="QJJ9" s="2"/>
      <c r="QJK9" s="2"/>
      <c r="QJL9" s="2"/>
      <c r="QJM9" s="2"/>
      <c r="QJN9" s="2"/>
      <c r="QJO9" s="2"/>
      <c r="QJP9" s="2"/>
      <c r="QJQ9" s="2"/>
      <c r="QJR9" s="2"/>
      <c r="QJS9" s="2"/>
      <c r="QJT9" s="2"/>
      <c r="QJU9" s="2"/>
      <c r="QJV9" s="2"/>
      <c r="QJW9" s="2"/>
      <c r="QJX9" s="2"/>
      <c r="QJY9" s="2"/>
      <c r="QJZ9" s="2"/>
      <c r="QKA9" s="2"/>
      <c r="QKB9" s="2"/>
      <c r="QKC9" s="2"/>
      <c r="QKD9" s="2"/>
      <c r="QKE9" s="2"/>
      <c r="QKF9" s="2"/>
      <c r="QKG9" s="2"/>
      <c r="QKH9" s="2"/>
      <c r="QKI9" s="2"/>
      <c r="QKJ9" s="2"/>
      <c r="QKK9" s="2"/>
      <c r="QKL9" s="2"/>
      <c r="QKM9" s="2"/>
      <c r="QKN9" s="2"/>
      <c r="QKO9" s="2"/>
      <c r="QKP9" s="2"/>
      <c r="QKQ9" s="2"/>
      <c r="QKR9" s="2"/>
      <c r="QKS9" s="2"/>
      <c r="QKT9" s="2"/>
      <c r="QKU9" s="2"/>
      <c r="QKV9" s="2"/>
      <c r="QKW9" s="2"/>
      <c r="QKX9" s="2"/>
      <c r="QKY9" s="2"/>
      <c r="QKZ9" s="2"/>
      <c r="QLA9" s="2"/>
      <c r="QLB9" s="2"/>
      <c r="QLC9" s="2"/>
      <c r="QLD9" s="2"/>
      <c r="QLE9" s="2"/>
      <c r="QLF9" s="2"/>
      <c r="QLG9" s="2"/>
      <c r="QLH9" s="2"/>
      <c r="QLI9" s="2"/>
      <c r="QLJ9" s="2"/>
      <c r="QLK9" s="2"/>
      <c r="QLL9" s="2"/>
      <c r="QLM9" s="2"/>
      <c r="QLN9" s="2"/>
      <c r="QLO9" s="2"/>
      <c r="QLP9" s="2"/>
      <c r="QLQ9" s="2"/>
      <c r="QLR9" s="2"/>
      <c r="QLS9" s="2"/>
      <c r="QLT9" s="2"/>
      <c r="QLU9" s="2"/>
      <c r="QLV9" s="2"/>
      <c r="QLW9" s="2"/>
      <c r="QLX9" s="2"/>
      <c r="QLY9" s="2"/>
      <c r="QLZ9" s="2"/>
      <c r="QMA9" s="2"/>
      <c r="QMB9" s="2"/>
      <c r="QMC9" s="2"/>
      <c r="QMD9" s="2"/>
      <c r="QME9" s="2"/>
      <c r="QMF9" s="2"/>
      <c r="QMG9" s="2"/>
      <c r="QMH9" s="2"/>
      <c r="QMI9" s="2"/>
      <c r="QMJ9" s="2"/>
      <c r="QMK9" s="2"/>
      <c r="QML9" s="2"/>
      <c r="QMM9" s="2"/>
      <c r="QMN9" s="2"/>
      <c r="QMO9" s="2"/>
      <c r="QMP9" s="2"/>
      <c r="QMQ9" s="2"/>
      <c r="QMR9" s="2"/>
      <c r="QMS9" s="2"/>
      <c r="QMT9" s="2"/>
      <c r="QMU9" s="2"/>
      <c r="QMV9" s="2"/>
      <c r="QMW9" s="2"/>
      <c r="QMX9" s="2"/>
      <c r="QMY9" s="2"/>
      <c r="QMZ9" s="2"/>
      <c r="QNA9" s="2"/>
      <c r="QNB9" s="2"/>
      <c r="QNC9" s="2"/>
      <c r="QND9" s="2"/>
      <c r="QNE9" s="2"/>
      <c r="QNF9" s="2"/>
      <c r="QNG9" s="2"/>
      <c r="QNH9" s="2"/>
      <c r="QNI9" s="2"/>
      <c r="QNJ9" s="2"/>
      <c r="QNK9" s="2"/>
      <c r="QNL9" s="2"/>
      <c r="QNM9" s="2"/>
      <c r="QNN9" s="2"/>
      <c r="QNO9" s="2"/>
      <c r="QNP9" s="2"/>
      <c r="QNQ9" s="2"/>
      <c r="QNR9" s="2"/>
      <c r="QNS9" s="2"/>
      <c r="QNT9" s="2"/>
      <c r="QNU9" s="2"/>
      <c r="QNV9" s="2"/>
      <c r="QNW9" s="2"/>
      <c r="QNX9" s="2"/>
      <c r="QNY9" s="2"/>
      <c r="QNZ9" s="2"/>
      <c r="QOA9" s="2"/>
      <c r="QOB9" s="2"/>
      <c r="QOC9" s="2"/>
      <c r="QOD9" s="2"/>
      <c r="QOE9" s="2"/>
      <c r="QOF9" s="2"/>
      <c r="QOG9" s="2"/>
      <c r="QOH9" s="2"/>
      <c r="QOI9" s="2"/>
      <c r="QOJ9" s="2"/>
      <c r="QOK9" s="2"/>
      <c r="QOL9" s="2"/>
      <c r="QOM9" s="2"/>
      <c r="QON9" s="2"/>
      <c r="QOO9" s="2"/>
      <c r="QOP9" s="2"/>
      <c r="QOQ9" s="2"/>
      <c r="QOR9" s="2"/>
      <c r="QOS9" s="2"/>
      <c r="QOT9" s="2"/>
      <c r="QOU9" s="2"/>
      <c r="QOV9" s="2"/>
      <c r="QOW9" s="2"/>
      <c r="QOX9" s="2"/>
      <c r="QOY9" s="2"/>
      <c r="QOZ9" s="2"/>
      <c r="QPA9" s="2"/>
      <c r="QPB9" s="2"/>
      <c r="QPC9" s="2"/>
      <c r="QPD9" s="2"/>
      <c r="QPE9" s="2"/>
      <c r="QPF9" s="2"/>
      <c r="QPG9" s="2"/>
      <c r="QPH9" s="2"/>
      <c r="QPI9" s="2"/>
      <c r="QPJ9" s="2"/>
      <c r="QPK9" s="2"/>
      <c r="QPL9" s="2"/>
      <c r="QPM9" s="2"/>
      <c r="QPN9" s="2"/>
      <c r="QPO9" s="2"/>
      <c r="QPP9" s="2"/>
      <c r="QPQ9" s="2"/>
      <c r="QPR9" s="2"/>
      <c r="QPS9" s="2"/>
      <c r="QPT9" s="2"/>
      <c r="QPU9" s="2"/>
      <c r="QPV9" s="2"/>
      <c r="QPW9" s="2"/>
      <c r="QPX9" s="2"/>
      <c r="QPY9" s="2"/>
      <c r="QPZ9" s="2"/>
      <c r="QQA9" s="2"/>
      <c r="QQB9" s="2"/>
      <c r="QQC9" s="2"/>
      <c r="QQD9" s="2"/>
      <c r="QQE9" s="2"/>
      <c r="QQF9" s="2"/>
      <c r="QQG9" s="2"/>
      <c r="QQH9" s="2"/>
      <c r="QQI9" s="2"/>
      <c r="QQJ9" s="2"/>
      <c r="QQK9" s="2"/>
      <c r="QQL9" s="2"/>
      <c r="QQM9" s="2"/>
      <c r="QQN9" s="2"/>
      <c r="QQO9" s="2"/>
      <c r="QQP9" s="2"/>
      <c r="QQQ9" s="2"/>
      <c r="QQR9" s="2"/>
      <c r="QQS9" s="2"/>
      <c r="QQT9" s="2"/>
      <c r="QQU9" s="2"/>
      <c r="QQV9" s="2"/>
      <c r="QQW9" s="2"/>
      <c r="QQX9" s="2"/>
      <c r="QQY9" s="2"/>
      <c r="QQZ9" s="2"/>
      <c r="QRA9" s="2"/>
      <c r="QRB9" s="2"/>
      <c r="QRC9" s="2"/>
      <c r="QRD9" s="2"/>
      <c r="QRE9" s="2"/>
      <c r="QRF9" s="2"/>
      <c r="QRG9" s="2"/>
      <c r="QRH9" s="2"/>
      <c r="QRI9" s="2"/>
      <c r="QRJ9" s="2"/>
      <c r="QRK9" s="2"/>
      <c r="QRL9" s="2"/>
      <c r="QRM9" s="2"/>
      <c r="QRN9" s="2"/>
      <c r="QRO9" s="2"/>
      <c r="QRP9" s="2"/>
      <c r="QRQ9" s="2"/>
      <c r="QRR9" s="2"/>
      <c r="QRS9" s="2"/>
      <c r="QRT9" s="2"/>
      <c r="QRU9" s="2"/>
      <c r="QRV9" s="2"/>
      <c r="QRW9" s="2"/>
      <c r="QRX9" s="2"/>
      <c r="QRY9" s="2"/>
      <c r="QRZ9" s="2"/>
      <c r="QSA9" s="2"/>
      <c r="QSB9" s="2"/>
      <c r="QSC9" s="2"/>
      <c r="QSD9" s="2"/>
      <c r="QSE9" s="2"/>
      <c r="QSF9" s="2"/>
      <c r="QSG9" s="2"/>
      <c r="QSH9" s="2"/>
      <c r="QSI9" s="2"/>
      <c r="QSJ9" s="2"/>
      <c r="QSK9" s="2"/>
      <c r="QSL9" s="2"/>
      <c r="QSM9" s="2"/>
      <c r="QSN9" s="2"/>
      <c r="QSO9" s="2"/>
      <c r="QSP9" s="2"/>
      <c r="QSQ9" s="2"/>
      <c r="QSR9" s="2"/>
      <c r="QSS9" s="2"/>
      <c r="QST9" s="2"/>
      <c r="QSU9" s="2"/>
      <c r="QSV9" s="2"/>
      <c r="QSW9" s="2"/>
      <c r="QSX9" s="2"/>
      <c r="QSY9" s="2"/>
      <c r="QSZ9" s="2"/>
      <c r="QTA9" s="2"/>
      <c r="QTB9" s="2"/>
      <c r="QTC9" s="2"/>
      <c r="QTD9" s="2"/>
      <c r="QTE9" s="2"/>
      <c r="QTF9" s="2"/>
      <c r="QTG9" s="2"/>
      <c r="QTH9" s="2"/>
      <c r="QTI9" s="2"/>
      <c r="QTJ9" s="2"/>
      <c r="QTK9" s="2"/>
      <c r="QTL9" s="2"/>
      <c r="QTM9" s="2"/>
      <c r="QTN9" s="2"/>
      <c r="QTO9" s="2"/>
      <c r="QTP9" s="2"/>
      <c r="QTQ9" s="2"/>
      <c r="QTR9" s="2"/>
      <c r="QTS9" s="2"/>
      <c r="QTT9" s="2"/>
      <c r="QTU9" s="2"/>
      <c r="QTV9" s="2"/>
      <c r="QTW9" s="2"/>
      <c r="QTX9" s="2"/>
      <c r="QTY9" s="2"/>
      <c r="QTZ9" s="2"/>
      <c r="QUA9" s="2"/>
      <c r="QUB9" s="2"/>
      <c r="QUC9" s="2"/>
      <c r="QUD9" s="2"/>
      <c r="QUE9" s="2"/>
      <c r="QUF9" s="2"/>
      <c r="QUG9" s="2"/>
      <c r="QUH9" s="2"/>
      <c r="QUI9" s="2"/>
      <c r="QUJ9" s="2"/>
      <c r="QUK9" s="2"/>
      <c r="QUL9" s="2"/>
      <c r="QUM9" s="2"/>
      <c r="QUN9" s="2"/>
      <c r="QUO9" s="2"/>
      <c r="QUP9" s="2"/>
      <c r="QUQ9" s="2"/>
      <c r="QUR9" s="2"/>
      <c r="QUS9" s="2"/>
      <c r="QUT9" s="2"/>
      <c r="QUU9" s="2"/>
      <c r="QUV9" s="2"/>
      <c r="QUW9" s="2"/>
      <c r="QUX9" s="2"/>
      <c r="QUY9" s="2"/>
      <c r="QUZ9" s="2"/>
      <c r="QVA9" s="2"/>
      <c r="QVB9" s="2"/>
      <c r="QVC9" s="2"/>
      <c r="QVD9" s="2"/>
      <c r="QVE9" s="2"/>
      <c r="QVF9" s="2"/>
      <c r="QVG9" s="2"/>
      <c r="QVH9" s="2"/>
      <c r="QVI9" s="2"/>
      <c r="QVJ9" s="2"/>
      <c r="QVK9" s="2"/>
      <c r="QVL9" s="2"/>
      <c r="QVM9" s="2"/>
      <c r="QVN9" s="2"/>
      <c r="QVO9" s="2"/>
      <c r="QVP9" s="2"/>
      <c r="QVQ9" s="2"/>
      <c r="QVR9" s="2"/>
      <c r="QVS9" s="2"/>
      <c r="QVT9" s="2"/>
      <c r="QVU9" s="2"/>
      <c r="QVV9" s="2"/>
      <c r="QVW9" s="2"/>
      <c r="QVX9" s="2"/>
      <c r="QVY9" s="2"/>
      <c r="QVZ9" s="2"/>
      <c r="QWA9" s="2"/>
      <c r="QWB9" s="2"/>
      <c r="QWC9" s="2"/>
      <c r="QWD9" s="2"/>
      <c r="QWE9" s="2"/>
      <c r="QWF9" s="2"/>
      <c r="QWG9" s="2"/>
      <c r="QWH9" s="2"/>
      <c r="QWI9" s="2"/>
      <c r="QWJ9" s="2"/>
      <c r="QWK9" s="2"/>
      <c r="QWL9" s="2"/>
      <c r="QWM9" s="2"/>
      <c r="QWN9" s="2"/>
      <c r="QWO9" s="2"/>
      <c r="QWP9" s="2"/>
      <c r="QWQ9" s="2"/>
      <c r="QWR9" s="2"/>
      <c r="QWS9" s="2"/>
      <c r="QWT9" s="2"/>
      <c r="QWU9" s="2"/>
      <c r="QWV9" s="2"/>
      <c r="QWW9" s="2"/>
      <c r="QWX9" s="2"/>
      <c r="QWY9" s="2"/>
      <c r="QWZ9" s="2"/>
      <c r="QXA9" s="2"/>
      <c r="QXB9" s="2"/>
      <c r="QXC9" s="2"/>
      <c r="QXD9" s="2"/>
      <c r="QXE9" s="2"/>
      <c r="QXF9" s="2"/>
      <c r="QXG9" s="2"/>
      <c r="QXH9" s="2"/>
      <c r="QXI9" s="2"/>
      <c r="QXJ9" s="2"/>
      <c r="QXK9" s="2"/>
      <c r="QXL9" s="2"/>
      <c r="QXM9" s="2"/>
      <c r="QXN9" s="2"/>
      <c r="QXO9" s="2"/>
      <c r="QXP9" s="2"/>
      <c r="QXQ9" s="2"/>
      <c r="QXR9" s="2"/>
      <c r="QXS9" s="2"/>
      <c r="QXT9" s="2"/>
      <c r="QXU9" s="2"/>
      <c r="QXV9" s="2"/>
      <c r="QXW9" s="2"/>
      <c r="QXX9" s="2"/>
      <c r="QXY9" s="2"/>
      <c r="QXZ9" s="2"/>
      <c r="QYA9" s="2"/>
      <c r="QYB9" s="2"/>
      <c r="QYC9" s="2"/>
      <c r="QYD9" s="2"/>
      <c r="QYE9" s="2"/>
      <c r="QYF9" s="2"/>
      <c r="QYG9" s="2"/>
      <c r="QYH9" s="2"/>
      <c r="QYI9" s="2"/>
      <c r="QYJ9" s="2"/>
      <c r="QYK9" s="2"/>
      <c r="QYL9" s="2"/>
      <c r="QYM9" s="2"/>
      <c r="QYN9" s="2"/>
      <c r="QYO9" s="2"/>
      <c r="QYP9" s="2"/>
      <c r="QYQ9" s="2"/>
      <c r="QYR9" s="2"/>
      <c r="QYS9" s="2"/>
      <c r="QYT9" s="2"/>
      <c r="QYU9" s="2"/>
      <c r="QYV9" s="2"/>
      <c r="QYW9" s="2"/>
      <c r="QYX9" s="2"/>
      <c r="QYY9" s="2"/>
      <c r="QYZ9" s="2"/>
      <c r="QZA9" s="2"/>
      <c r="QZB9" s="2"/>
      <c r="QZC9" s="2"/>
      <c r="QZD9" s="2"/>
      <c r="QZE9" s="2"/>
      <c r="QZF9" s="2"/>
      <c r="QZG9" s="2"/>
      <c r="QZH9" s="2"/>
      <c r="QZI9" s="2"/>
      <c r="QZJ9" s="2"/>
      <c r="QZK9" s="2"/>
      <c r="QZL9" s="2"/>
      <c r="QZM9" s="2"/>
      <c r="QZN9" s="2"/>
      <c r="QZO9" s="2"/>
      <c r="QZP9" s="2"/>
      <c r="QZQ9" s="2"/>
      <c r="QZR9" s="2"/>
      <c r="QZS9" s="2"/>
      <c r="QZT9" s="2"/>
      <c r="QZU9" s="2"/>
      <c r="QZV9" s="2"/>
      <c r="QZW9" s="2"/>
      <c r="QZX9" s="2"/>
      <c r="QZY9" s="2"/>
      <c r="QZZ9" s="2"/>
      <c r="RAA9" s="2"/>
      <c r="RAB9" s="2"/>
      <c r="RAC9" s="2"/>
      <c r="RAD9" s="2"/>
      <c r="RAE9" s="2"/>
      <c r="RAF9" s="2"/>
      <c r="RAG9" s="2"/>
      <c r="RAH9" s="2"/>
      <c r="RAI9" s="2"/>
      <c r="RAJ9" s="2"/>
      <c r="RAK9" s="2"/>
      <c r="RAL9" s="2"/>
      <c r="RAM9" s="2"/>
      <c r="RAN9" s="2"/>
      <c r="RAO9" s="2"/>
      <c r="RAP9" s="2"/>
      <c r="RAQ9" s="2"/>
      <c r="RAR9" s="2"/>
      <c r="RAS9" s="2"/>
      <c r="RAT9" s="2"/>
      <c r="RAU9" s="2"/>
      <c r="RAV9" s="2"/>
      <c r="RAW9" s="2"/>
      <c r="RAX9" s="2"/>
      <c r="RAY9" s="2"/>
      <c r="RAZ9" s="2"/>
      <c r="RBA9" s="2"/>
      <c r="RBB9" s="2"/>
      <c r="RBC9" s="2"/>
      <c r="RBD9" s="2"/>
      <c r="RBE9" s="2"/>
      <c r="RBF9" s="2"/>
      <c r="RBG9" s="2"/>
      <c r="RBH9" s="2"/>
      <c r="RBI9" s="2"/>
      <c r="RBJ9" s="2"/>
      <c r="RBK9" s="2"/>
      <c r="RBL9" s="2"/>
      <c r="RBM9" s="2"/>
      <c r="RBN9" s="2"/>
      <c r="RBO9" s="2"/>
      <c r="RBP9" s="2"/>
      <c r="RBQ9" s="2"/>
      <c r="RBR9" s="2"/>
      <c r="RBS9" s="2"/>
      <c r="RBT9" s="2"/>
      <c r="RBU9" s="2"/>
      <c r="RBV9" s="2"/>
      <c r="RBW9" s="2"/>
      <c r="RBX9" s="2"/>
      <c r="RBY9" s="2"/>
      <c r="RBZ9" s="2"/>
      <c r="RCA9" s="2"/>
      <c r="RCB9" s="2"/>
      <c r="RCC9" s="2"/>
      <c r="RCD9" s="2"/>
      <c r="RCE9" s="2"/>
      <c r="RCF9" s="2"/>
      <c r="RCG9" s="2"/>
      <c r="RCH9" s="2"/>
      <c r="RCI9" s="2"/>
      <c r="RCJ9" s="2"/>
      <c r="RCK9" s="2"/>
      <c r="RCL9" s="2"/>
      <c r="RCM9" s="2"/>
      <c r="RCN9" s="2"/>
      <c r="RCO9" s="2"/>
      <c r="RCP9" s="2"/>
      <c r="RCQ9" s="2"/>
      <c r="RCR9" s="2"/>
      <c r="RCS9" s="2"/>
      <c r="RCT9" s="2"/>
      <c r="RCU9" s="2"/>
      <c r="RCV9" s="2"/>
      <c r="RCW9" s="2"/>
      <c r="RCX9" s="2"/>
      <c r="RCY9" s="2"/>
      <c r="RCZ9" s="2"/>
      <c r="RDA9" s="2"/>
      <c r="RDB9" s="2"/>
      <c r="RDC9" s="2"/>
      <c r="RDD9" s="2"/>
      <c r="RDE9" s="2"/>
      <c r="RDF9" s="2"/>
      <c r="RDG9" s="2"/>
      <c r="RDH9" s="2"/>
      <c r="RDI9" s="2"/>
      <c r="RDJ9" s="2"/>
      <c r="RDK9" s="2"/>
      <c r="RDL9" s="2"/>
      <c r="RDM9" s="2"/>
      <c r="RDN9" s="2"/>
      <c r="RDO9" s="2"/>
      <c r="RDP9" s="2"/>
      <c r="RDQ9" s="2"/>
      <c r="RDR9" s="2"/>
      <c r="RDS9" s="2"/>
      <c r="RDT9" s="2"/>
      <c r="RDU9" s="2"/>
      <c r="RDV9" s="2"/>
      <c r="RDW9" s="2"/>
      <c r="RDX9" s="2"/>
      <c r="RDY9" s="2"/>
      <c r="RDZ9" s="2"/>
      <c r="REA9" s="2"/>
      <c r="REB9" s="2"/>
      <c r="REC9" s="2"/>
      <c r="RED9" s="2"/>
      <c r="REE9" s="2"/>
      <c r="REF9" s="2"/>
      <c r="REG9" s="2"/>
      <c r="REH9" s="2"/>
      <c r="REI9" s="2"/>
      <c r="REJ9" s="2"/>
      <c r="REK9" s="2"/>
      <c r="REL9" s="2"/>
      <c r="REM9" s="2"/>
      <c r="REN9" s="2"/>
      <c r="REO9" s="2"/>
      <c r="REP9" s="2"/>
      <c r="REQ9" s="2"/>
      <c r="RER9" s="2"/>
      <c r="RES9" s="2"/>
      <c r="RET9" s="2"/>
      <c r="REU9" s="2"/>
      <c r="REV9" s="2"/>
      <c r="REW9" s="2"/>
      <c r="REX9" s="2"/>
      <c r="REY9" s="2"/>
      <c r="REZ9" s="2"/>
      <c r="RFA9" s="2"/>
      <c r="RFB9" s="2"/>
      <c r="RFC9" s="2"/>
      <c r="RFD9" s="2"/>
      <c r="RFE9" s="2"/>
      <c r="RFF9" s="2"/>
      <c r="RFG9" s="2"/>
      <c r="RFH9" s="2"/>
      <c r="RFI9" s="2"/>
      <c r="RFJ9" s="2"/>
      <c r="RFK9" s="2"/>
      <c r="RFL9" s="2"/>
      <c r="RFM9" s="2"/>
      <c r="RFN9" s="2"/>
      <c r="RFO9" s="2"/>
      <c r="RFP9" s="2"/>
      <c r="RFQ9" s="2"/>
      <c r="RFR9" s="2"/>
      <c r="RFS9" s="2"/>
      <c r="RFT9" s="2"/>
      <c r="RFU9" s="2"/>
      <c r="RFV9" s="2"/>
      <c r="RFW9" s="2"/>
      <c r="RFX9" s="2"/>
      <c r="RFY9" s="2"/>
      <c r="RFZ9" s="2"/>
      <c r="RGA9" s="2"/>
      <c r="RGB9" s="2"/>
      <c r="RGC9" s="2"/>
      <c r="RGD9" s="2"/>
      <c r="RGE9" s="2"/>
      <c r="RGF9" s="2"/>
      <c r="RGG9" s="2"/>
      <c r="RGH9" s="2"/>
      <c r="RGI9" s="2"/>
      <c r="RGJ9" s="2"/>
      <c r="RGK9" s="2"/>
      <c r="RGL9" s="2"/>
      <c r="RGM9" s="2"/>
      <c r="RGN9" s="2"/>
      <c r="RGO9" s="2"/>
      <c r="RGP9" s="2"/>
      <c r="RGQ9" s="2"/>
      <c r="RGR9" s="2"/>
      <c r="RGS9" s="2"/>
      <c r="RGT9" s="2"/>
      <c r="RGU9" s="2"/>
      <c r="RGV9" s="2"/>
      <c r="RGW9" s="2"/>
      <c r="RGX9" s="2"/>
      <c r="RGY9" s="2"/>
      <c r="RGZ9" s="2"/>
      <c r="RHA9" s="2"/>
      <c r="RHB9" s="2"/>
      <c r="RHC9" s="2"/>
      <c r="RHD9" s="2"/>
      <c r="RHE9" s="2"/>
      <c r="RHF9" s="2"/>
      <c r="RHG9" s="2"/>
      <c r="RHH9" s="2"/>
      <c r="RHI9" s="2"/>
      <c r="RHJ9" s="2"/>
      <c r="RHK9" s="2"/>
      <c r="RHL9" s="2"/>
      <c r="RHM9" s="2"/>
      <c r="RHN9" s="2"/>
      <c r="RHO9" s="2"/>
      <c r="RHP9" s="2"/>
      <c r="RHQ9" s="2"/>
      <c r="RHR9" s="2"/>
      <c r="RHS9" s="2"/>
      <c r="RHT9" s="2"/>
      <c r="RHU9" s="2"/>
      <c r="RHV9" s="2"/>
      <c r="RHW9" s="2"/>
      <c r="RHX9" s="2"/>
      <c r="RHY9" s="2"/>
      <c r="RHZ9" s="2"/>
      <c r="RIA9" s="2"/>
      <c r="RIB9" s="2"/>
      <c r="RIC9" s="2"/>
      <c r="RID9" s="2"/>
      <c r="RIE9" s="2"/>
      <c r="RIF9" s="2"/>
      <c r="RIG9" s="2"/>
      <c r="RIH9" s="2"/>
      <c r="RII9" s="2"/>
      <c r="RIJ9" s="2"/>
      <c r="RIK9" s="2"/>
      <c r="RIL9" s="2"/>
      <c r="RIM9" s="2"/>
      <c r="RIN9" s="2"/>
      <c r="RIO9" s="2"/>
      <c r="RIP9" s="2"/>
      <c r="RIQ9" s="2"/>
      <c r="RIR9" s="2"/>
      <c r="RIS9" s="2"/>
      <c r="RIT9" s="2"/>
      <c r="RIU9" s="2"/>
      <c r="RIV9" s="2"/>
      <c r="RIW9" s="2"/>
      <c r="RIX9" s="2"/>
      <c r="RIY9" s="2"/>
      <c r="RIZ9" s="2"/>
      <c r="RJA9" s="2"/>
      <c r="RJB9" s="2"/>
      <c r="RJC9" s="2"/>
      <c r="RJD9" s="2"/>
      <c r="RJE9" s="2"/>
      <c r="RJF9" s="2"/>
      <c r="RJG9" s="2"/>
      <c r="RJH9" s="2"/>
      <c r="RJI9" s="2"/>
      <c r="RJJ9" s="2"/>
      <c r="RJK9" s="2"/>
      <c r="RJL9" s="2"/>
      <c r="RJM9" s="2"/>
      <c r="RJN9" s="2"/>
      <c r="RJO9" s="2"/>
      <c r="RJP9" s="2"/>
      <c r="RJQ9" s="2"/>
      <c r="RJR9" s="2"/>
      <c r="RJS9" s="2"/>
      <c r="RJT9" s="2"/>
      <c r="RJU9" s="2"/>
      <c r="RJV9" s="2"/>
      <c r="RJW9" s="2"/>
      <c r="RJX9" s="2"/>
      <c r="RJY9" s="2"/>
      <c r="RJZ9" s="2"/>
      <c r="RKA9" s="2"/>
      <c r="RKB9" s="2"/>
      <c r="RKC9" s="2"/>
      <c r="RKD9" s="2"/>
      <c r="RKE9" s="2"/>
      <c r="RKF9" s="2"/>
      <c r="RKG9" s="2"/>
      <c r="RKH9" s="2"/>
      <c r="RKI9" s="2"/>
      <c r="RKJ9" s="2"/>
      <c r="RKK9" s="2"/>
      <c r="RKL9" s="2"/>
      <c r="RKM9" s="2"/>
      <c r="RKN9" s="2"/>
      <c r="RKO9" s="2"/>
      <c r="RKP9" s="2"/>
      <c r="RKQ9" s="2"/>
      <c r="RKR9" s="2"/>
      <c r="RKS9" s="2"/>
      <c r="RKT9" s="2"/>
      <c r="RKU9" s="2"/>
      <c r="RKV9" s="2"/>
      <c r="RKW9" s="2"/>
      <c r="RKX9" s="2"/>
      <c r="RKY9" s="2"/>
      <c r="RKZ9" s="2"/>
      <c r="RLA9" s="2"/>
      <c r="RLB9" s="2"/>
      <c r="RLC9" s="2"/>
      <c r="RLD9" s="2"/>
      <c r="RLE9" s="2"/>
      <c r="RLF9" s="2"/>
      <c r="RLG9" s="2"/>
      <c r="RLH9" s="2"/>
      <c r="RLI9" s="2"/>
      <c r="RLJ9" s="2"/>
      <c r="RLK9" s="2"/>
      <c r="RLL9" s="2"/>
      <c r="RLM9" s="2"/>
      <c r="RLN9" s="2"/>
      <c r="RLO9" s="2"/>
      <c r="RLP9" s="2"/>
      <c r="RLQ9" s="2"/>
      <c r="RLR9" s="2"/>
      <c r="RLS9" s="2"/>
      <c r="RLT9" s="2"/>
      <c r="RLU9" s="2"/>
      <c r="RLV9" s="2"/>
      <c r="RLW9" s="2"/>
      <c r="RLX9" s="2"/>
      <c r="RLY9" s="2"/>
      <c r="RLZ9" s="2"/>
      <c r="RMA9" s="2"/>
      <c r="RMB9" s="2"/>
      <c r="RMC9" s="2"/>
      <c r="RMD9" s="2"/>
      <c r="RME9" s="2"/>
      <c r="RMF9" s="2"/>
      <c r="RMG9" s="2"/>
      <c r="RMH9" s="2"/>
      <c r="RMI9" s="2"/>
      <c r="RMJ9" s="2"/>
      <c r="RMK9" s="2"/>
      <c r="RML9" s="2"/>
      <c r="RMM9" s="2"/>
      <c r="RMN9" s="2"/>
      <c r="RMO9" s="2"/>
      <c r="RMP9" s="2"/>
      <c r="RMQ9" s="2"/>
      <c r="RMR9" s="2"/>
      <c r="RMS9" s="2"/>
      <c r="RMT9" s="2"/>
      <c r="RMU9" s="2"/>
      <c r="RMV9" s="2"/>
      <c r="RMW9" s="2"/>
      <c r="RMX9" s="2"/>
      <c r="RMY9" s="2"/>
      <c r="RMZ9" s="2"/>
      <c r="RNA9" s="2"/>
      <c r="RNB9" s="2"/>
      <c r="RNC9" s="2"/>
      <c r="RND9" s="2"/>
      <c r="RNE9" s="2"/>
      <c r="RNF9" s="2"/>
      <c r="RNG9" s="2"/>
      <c r="RNH9" s="2"/>
      <c r="RNI9" s="2"/>
      <c r="RNJ9" s="2"/>
      <c r="RNK9" s="2"/>
      <c r="RNL9" s="2"/>
      <c r="RNM9" s="2"/>
      <c r="RNN9" s="2"/>
      <c r="RNO9" s="2"/>
      <c r="RNP9" s="2"/>
      <c r="RNQ9" s="2"/>
      <c r="RNR9" s="2"/>
      <c r="RNS9" s="2"/>
      <c r="RNT9" s="2"/>
      <c r="RNU9" s="2"/>
      <c r="RNV9" s="2"/>
      <c r="RNW9" s="2"/>
      <c r="RNX9" s="2"/>
      <c r="RNY9" s="2"/>
      <c r="RNZ9" s="2"/>
      <c r="ROA9" s="2"/>
      <c r="ROB9" s="2"/>
      <c r="ROC9" s="2"/>
      <c r="ROD9" s="2"/>
      <c r="ROE9" s="2"/>
      <c r="ROF9" s="2"/>
      <c r="ROG9" s="2"/>
      <c r="ROH9" s="2"/>
      <c r="ROI9" s="2"/>
      <c r="ROJ9" s="2"/>
      <c r="ROK9" s="2"/>
      <c r="ROL9" s="2"/>
      <c r="ROM9" s="2"/>
      <c r="RON9" s="2"/>
      <c r="ROO9" s="2"/>
      <c r="ROP9" s="2"/>
      <c r="ROQ9" s="2"/>
      <c r="ROR9" s="2"/>
      <c r="ROS9" s="2"/>
      <c r="ROT9" s="2"/>
      <c r="ROU9" s="2"/>
      <c r="ROV9" s="2"/>
      <c r="ROW9" s="2"/>
      <c r="ROX9" s="2"/>
      <c r="ROY9" s="2"/>
      <c r="ROZ9" s="2"/>
      <c r="RPA9" s="2"/>
      <c r="RPB9" s="2"/>
      <c r="RPC9" s="2"/>
      <c r="RPD9" s="2"/>
      <c r="RPE9" s="2"/>
      <c r="RPF9" s="2"/>
      <c r="RPG9" s="2"/>
      <c r="RPH9" s="2"/>
      <c r="RPI9" s="2"/>
      <c r="RPJ9" s="2"/>
      <c r="RPK9" s="2"/>
      <c r="RPL9" s="2"/>
      <c r="RPM9" s="2"/>
      <c r="RPN9" s="2"/>
      <c r="RPO9" s="2"/>
      <c r="RPP9" s="2"/>
      <c r="RPQ9" s="2"/>
      <c r="RPR9" s="2"/>
      <c r="RPS9" s="2"/>
      <c r="RPT9" s="2"/>
      <c r="RPU9" s="2"/>
      <c r="RPV9" s="2"/>
      <c r="RPW9" s="2"/>
      <c r="RPX9" s="2"/>
      <c r="RPY9" s="2"/>
      <c r="RPZ9" s="2"/>
      <c r="RQA9" s="2"/>
      <c r="RQB9" s="2"/>
      <c r="RQC9" s="2"/>
      <c r="RQD9" s="2"/>
      <c r="RQE9" s="2"/>
      <c r="RQF9" s="2"/>
      <c r="RQG9" s="2"/>
      <c r="RQH9" s="2"/>
      <c r="RQI9" s="2"/>
      <c r="RQJ9" s="2"/>
      <c r="RQK9" s="2"/>
      <c r="RQL9" s="2"/>
      <c r="RQM9" s="2"/>
      <c r="RQN9" s="2"/>
      <c r="RQO9" s="2"/>
      <c r="RQP9" s="2"/>
      <c r="RQQ9" s="2"/>
      <c r="RQR9" s="2"/>
      <c r="RQS9" s="2"/>
      <c r="RQT9" s="2"/>
      <c r="RQU9" s="2"/>
      <c r="RQV9" s="2"/>
      <c r="RQW9" s="2"/>
      <c r="RQX9" s="2"/>
      <c r="RQY9" s="2"/>
      <c r="RQZ9" s="2"/>
      <c r="RRA9" s="2"/>
      <c r="RRB9" s="2"/>
      <c r="RRC9" s="2"/>
      <c r="RRD9" s="2"/>
      <c r="RRE9" s="2"/>
      <c r="RRF9" s="2"/>
      <c r="RRG9" s="2"/>
      <c r="RRH9" s="2"/>
      <c r="RRI9" s="2"/>
      <c r="RRJ9" s="2"/>
      <c r="RRK9" s="2"/>
      <c r="RRL9" s="2"/>
      <c r="RRM9" s="2"/>
      <c r="RRN9" s="2"/>
      <c r="RRO9" s="2"/>
      <c r="RRP9" s="2"/>
      <c r="RRQ9" s="2"/>
      <c r="RRR9" s="2"/>
      <c r="RRS9" s="2"/>
      <c r="RRT9" s="2"/>
      <c r="RRU9" s="2"/>
      <c r="RRV9" s="2"/>
      <c r="RRW9" s="2"/>
      <c r="RRX9" s="2"/>
      <c r="RRY9" s="2"/>
      <c r="RRZ9" s="2"/>
      <c r="RSA9" s="2"/>
      <c r="RSB9" s="2"/>
      <c r="RSC9" s="2"/>
      <c r="RSD9" s="2"/>
      <c r="RSE9" s="2"/>
      <c r="RSF9" s="2"/>
      <c r="RSG9" s="2"/>
      <c r="RSH9" s="2"/>
      <c r="RSI9" s="2"/>
      <c r="RSJ9" s="2"/>
      <c r="RSK9" s="2"/>
      <c r="RSL9" s="2"/>
      <c r="RSM9" s="2"/>
      <c r="RSN9" s="2"/>
      <c r="RSO9" s="2"/>
      <c r="RSP9" s="2"/>
      <c r="RSQ9" s="2"/>
      <c r="RSR9" s="2"/>
      <c r="RSS9" s="2"/>
      <c r="RST9" s="2"/>
      <c r="RSU9" s="2"/>
      <c r="RSV9" s="2"/>
      <c r="RSW9" s="2"/>
      <c r="RSX9" s="2"/>
      <c r="RSY9" s="2"/>
      <c r="RSZ9" s="2"/>
      <c r="RTA9" s="2"/>
      <c r="RTB9" s="2"/>
      <c r="RTC9" s="2"/>
      <c r="RTD9" s="2"/>
      <c r="RTE9" s="2"/>
      <c r="RTF9" s="2"/>
      <c r="RTG9" s="2"/>
      <c r="RTH9" s="2"/>
      <c r="RTI9" s="2"/>
      <c r="RTJ9" s="2"/>
      <c r="RTK9" s="2"/>
      <c r="RTL9" s="2"/>
      <c r="RTM9" s="2"/>
      <c r="RTN9" s="2"/>
      <c r="RTO9" s="2"/>
      <c r="RTP9" s="2"/>
      <c r="RTQ9" s="2"/>
      <c r="RTR9" s="2"/>
      <c r="RTS9" s="2"/>
      <c r="RTT9" s="2"/>
      <c r="RTU9" s="2"/>
      <c r="RTV9" s="2"/>
      <c r="RTW9" s="2"/>
      <c r="RTX9" s="2"/>
      <c r="RTY9" s="2"/>
      <c r="RTZ9" s="2"/>
      <c r="RUA9" s="2"/>
      <c r="RUB9" s="2"/>
      <c r="RUC9" s="2"/>
      <c r="RUD9" s="2"/>
      <c r="RUE9" s="2"/>
      <c r="RUF9" s="2"/>
      <c r="RUG9" s="2"/>
      <c r="RUH9" s="2"/>
      <c r="RUI9" s="2"/>
      <c r="RUJ9" s="2"/>
      <c r="RUK9" s="2"/>
      <c r="RUL9" s="2"/>
      <c r="RUM9" s="2"/>
      <c r="RUN9" s="2"/>
      <c r="RUO9" s="2"/>
      <c r="RUP9" s="2"/>
      <c r="RUQ9" s="2"/>
      <c r="RUR9" s="2"/>
      <c r="RUS9" s="2"/>
      <c r="RUT9" s="2"/>
      <c r="RUU9" s="2"/>
      <c r="RUV9" s="2"/>
      <c r="RUW9" s="2"/>
      <c r="RUX9" s="2"/>
      <c r="RUY9" s="2"/>
      <c r="RUZ9" s="2"/>
      <c r="RVA9" s="2"/>
      <c r="RVB9" s="2"/>
      <c r="RVC9" s="2"/>
      <c r="RVD9" s="2"/>
      <c r="RVE9" s="2"/>
      <c r="RVF9" s="2"/>
      <c r="RVG9" s="2"/>
      <c r="RVH9" s="2"/>
      <c r="RVI9" s="2"/>
      <c r="RVJ9" s="2"/>
      <c r="RVK9" s="2"/>
      <c r="RVL9" s="2"/>
      <c r="RVM9" s="2"/>
      <c r="RVN9" s="2"/>
      <c r="RVO9" s="2"/>
      <c r="RVP9" s="2"/>
      <c r="RVQ9" s="2"/>
      <c r="RVR9" s="2"/>
      <c r="RVS9" s="2"/>
      <c r="RVT9" s="2"/>
      <c r="RVU9" s="2"/>
      <c r="RVV9" s="2"/>
      <c r="RVW9" s="2"/>
      <c r="RVX9" s="2"/>
      <c r="RVY9" s="2"/>
      <c r="RVZ9" s="2"/>
      <c r="RWA9" s="2"/>
      <c r="RWB9" s="2"/>
      <c r="RWC9" s="2"/>
      <c r="RWD9" s="2"/>
      <c r="RWE9" s="2"/>
      <c r="RWF9" s="2"/>
      <c r="RWG9" s="2"/>
      <c r="RWH9" s="2"/>
      <c r="RWI9" s="2"/>
      <c r="RWJ9" s="2"/>
      <c r="RWK9" s="2"/>
      <c r="RWL9" s="2"/>
      <c r="RWM9" s="2"/>
      <c r="RWN9" s="2"/>
      <c r="RWO9" s="2"/>
      <c r="RWP9" s="2"/>
      <c r="RWQ9" s="2"/>
      <c r="RWR9" s="2"/>
      <c r="RWS9" s="2"/>
      <c r="RWT9" s="2"/>
      <c r="RWU9" s="2"/>
      <c r="RWV9" s="2"/>
      <c r="RWW9" s="2"/>
      <c r="RWX9" s="2"/>
      <c r="RWY9" s="2"/>
      <c r="RWZ9" s="2"/>
      <c r="RXA9" s="2"/>
      <c r="RXB9" s="2"/>
      <c r="RXC9" s="2"/>
      <c r="RXD9" s="2"/>
      <c r="RXE9" s="2"/>
      <c r="RXF9" s="2"/>
      <c r="RXG9" s="2"/>
      <c r="RXH9" s="2"/>
      <c r="RXI9" s="2"/>
      <c r="RXJ9" s="2"/>
      <c r="RXK9" s="2"/>
      <c r="RXL9" s="2"/>
      <c r="RXM9" s="2"/>
      <c r="RXN9" s="2"/>
      <c r="RXO9" s="2"/>
      <c r="RXP9" s="2"/>
      <c r="RXQ9" s="2"/>
      <c r="RXR9" s="2"/>
      <c r="RXS9" s="2"/>
      <c r="RXT9" s="2"/>
      <c r="RXU9" s="2"/>
      <c r="RXV9" s="2"/>
      <c r="RXW9" s="2"/>
      <c r="RXX9" s="2"/>
      <c r="RXY9" s="2"/>
      <c r="RXZ9" s="2"/>
      <c r="RYA9" s="2"/>
      <c r="RYB9" s="2"/>
      <c r="RYC9" s="2"/>
      <c r="RYD9" s="2"/>
      <c r="RYE9" s="2"/>
      <c r="RYF9" s="2"/>
      <c r="RYG9" s="2"/>
      <c r="RYH9" s="2"/>
      <c r="RYI9" s="2"/>
      <c r="RYJ9" s="2"/>
      <c r="RYK9" s="2"/>
      <c r="RYL9" s="2"/>
      <c r="RYM9" s="2"/>
      <c r="RYN9" s="2"/>
      <c r="RYO9" s="2"/>
      <c r="RYP9" s="2"/>
      <c r="RYQ9" s="2"/>
      <c r="RYR9" s="2"/>
      <c r="RYS9" s="2"/>
      <c r="RYT9" s="2"/>
      <c r="RYU9" s="2"/>
      <c r="RYV9" s="2"/>
      <c r="RYW9" s="2"/>
      <c r="RYX9" s="2"/>
      <c r="RYY9" s="2"/>
      <c r="RYZ9" s="2"/>
      <c r="RZA9" s="2"/>
      <c r="RZB9" s="2"/>
      <c r="RZC9" s="2"/>
      <c r="RZD9" s="2"/>
      <c r="RZE9" s="2"/>
      <c r="RZF9" s="2"/>
      <c r="RZG9" s="2"/>
      <c r="RZH9" s="2"/>
      <c r="RZI9" s="2"/>
      <c r="RZJ9" s="2"/>
      <c r="RZK9" s="2"/>
      <c r="RZL9" s="2"/>
      <c r="RZM9" s="2"/>
      <c r="RZN9" s="2"/>
      <c r="RZO9" s="2"/>
      <c r="RZP9" s="2"/>
      <c r="RZQ9" s="2"/>
      <c r="RZR9" s="2"/>
      <c r="RZS9" s="2"/>
      <c r="RZT9" s="2"/>
      <c r="RZU9" s="2"/>
      <c r="RZV9" s="2"/>
      <c r="RZW9" s="2"/>
      <c r="RZX9" s="2"/>
      <c r="RZY9" s="2"/>
      <c r="RZZ9" s="2"/>
      <c r="SAA9" s="2"/>
      <c r="SAB9" s="2"/>
      <c r="SAC9" s="2"/>
      <c r="SAD9" s="2"/>
      <c r="SAE9" s="2"/>
      <c r="SAF9" s="2"/>
      <c r="SAG9" s="2"/>
      <c r="SAH9" s="2"/>
      <c r="SAI9" s="2"/>
      <c r="SAJ9" s="2"/>
      <c r="SAK9" s="2"/>
      <c r="SAL9" s="2"/>
      <c r="SAM9" s="2"/>
      <c r="SAN9" s="2"/>
      <c r="SAO9" s="2"/>
      <c r="SAP9" s="2"/>
      <c r="SAQ9" s="2"/>
      <c r="SAR9" s="2"/>
      <c r="SAS9" s="2"/>
      <c r="SAT9" s="2"/>
      <c r="SAU9" s="2"/>
      <c r="SAV9" s="2"/>
      <c r="SAW9" s="2"/>
      <c r="SAX9" s="2"/>
      <c r="SAY9" s="2"/>
      <c r="SAZ9" s="2"/>
      <c r="SBA9" s="2"/>
      <c r="SBB9" s="2"/>
      <c r="SBC9" s="2"/>
      <c r="SBD9" s="2"/>
      <c r="SBE9" s="2"/>
      <c r="SBF9" s="2"/>
      <c r="SBG9" s="2"/>
      <c r="SBH9" s="2"/>
      <c r="SBI9" s="2"/>
      <c r="SBJ9" s="2"/>
      <c r="SBK9" s="2"/>
      <c r="SBL9" s="2"/>
      <c r="SBM9" s="2"/>
      <c r="SBN9" s="2"/>
      <c r="SBO9" s="2"/>
      <c r="SBP9" s="2"/>
      <c r="SBQ9" s="2"/>
      <c r="SBR9" s="2"/>
      <c r="SBS9" s="2"/>
      <c r="SBT9" s="2"/>
      <c r="SBU9" s="2"/>
      <c r="SBV9" s="2"/>
      <c r="SBW9" s="2"/>
      <c r="SBX9" s="2"/>
      <c r="SBY9" s="2"/>
      <c r="SBZ9" s="2"/>
      <c r="SCA9" s="2"/>
      <c r="SCB9" s="2"/>
      <c r="SCC9" s="2"/>
      <c r="SCD9" s="2"/>
      <c r="SCE9" s="2"/>
      <c r="SCF9" s="2"/>
      <c r="SCG9" s="2"/>
      <c r="SCH9" s="2"/>
      <c r="SCI9" s="2"/>
      <c r="SCJ9" s="2"/>
      <c r="SCK9" s="2"/>
      <c r="SCL9" s="2"/>
      <c r="SCM9" s="2"/>
      <c r="SCN9" s="2"/>
      <c r="SCO9" s="2"/>
      <c r="SCP9" s="2"/>
      <c r="SCQ9" s="2"/>
      <c r="SCR9" s="2"/>
      <c r="SCS9" s="2"/>
      <c r="SCT9" s="2"/>
      <c r="SCU9" s="2"/>
      <c r="SCV9" s="2"/>
      <c r="SCW9" s="2"/>
      <c r="SCX9" s="2"/>
      <c r="SCY9" s="2"/>
      <c r="SCZ9" s="2"/>
      <c r="SDA9" s="2"/>
      <c r="SDB9" s="2"/>
      <c r="SDC9" s="2"/>
      <c r="SDD9" s="2"/>
      <c r="SDE9" s="2"/>
      <c r="SDF9" s="2"/>
      <c r="SDG9" s="2"/>
      <c r="SDH9" s="2"/>
      <c r="SDI9" s="2"/>
      <c r="SDJ9" s="2"/>
      <c r="SDK9" s="2"/>
      <c r="SDL9" s="2"/>
      <c r="SDM9" s="2"/>
      <c r="SDN9" s="2"/>
      <c r="SDO9" s="2"/>
      <c r="SDP9" s="2"/>
      <c r="SDQ9" s="2"/>
      <c r="SDR9" s="2"/>
      <c r="SDS9" s="2"/>
      <c r="SDT9" s="2"/>
      <c r="SDU9" s="2"/>
      <c r="SDV9" s="2"/>
      <c r="SDW9" s="2"/>
      <c r="SDX9" s="2"/>
      <c r="SDY9" s="2"/>
      <c r="SDZ9" s="2"/>
      <c r="SEA9" s="2"/>
      <c r="SEB9" s="2"/>
      <c r="SEC9" s="2"/>
      <c r="SED9" s="2"/>
      <c r="SEE9" s="2"/>
      <c r="SEF9" s="2"/>
      <c r="SEG9" s="2"/>
      <c r="SEH9" s="2"/>
      <c r="SEI9" s="2"/>
      <c r="SEJ9" s="2"/>
      <c r="SEK9" s="2"/>
      <c r="SEL9" s="2"/>
      <c r="SEM9" s="2"/>
      <c r="SEN9" s="2"/>
      <c r="SEO9" s="2"/>
      <c r="SEP9" s="2"/>
      <c r="SEQ9" s="2"/>
      <c r="SER9" s="2"/>
      <c r="SES9" s="2"/>
      <c r="SET9" s="2"/>
      <c r="SEU9" s="2"/>
      <c r="SEV9" s="2"/>
      <c r="SEW9" s="2"/>
      <c r="SEX9" s="2"/>
      <c r="SEY9" s="2"/>
      <c r="SEZ9" s="2"/>
      <c r="SFA9" s="2"/>
      <c r="SFB9" s="2"/>
      <c r="SFC9" s="2"/>
      <c r="SFD9" s="2"/>
      <c r="SFE9" s="2"/>
      <c r="SFF9" s="2"/>
      <c r="SFG9" s="2"/>
      <c r="SFH9" s="2"/>
      <c r="SFI9" s="2"/>
      <c r="SFJ9" s="2"/>
      <c r="SFK9" s="2"/>
      <c r="SFL9" s="2"/>
      <c r="SFM9" s="2"/>
      <c r="SFN9" s="2"/>
      <c r="SFO9" s="2"/>
      <c r="SFP9" s="2"/>
      <c r="SFQ9" s="2"/>
      <c r="SFR9" s="2"/>
      <c r="SFS9" s="2"/>
      <c r="SFT9" s="2"/>
      <c r="SFU9" s="2"/>
      <c r="SFV9" s="2"/>
      <c r="SFW9" s="2"/>
      <c r="SFX9" s="2"/>
      <c r="SFY9" s="2"/>
      <c r="SFZ9" s="2"/>
      <c r="SGA9" s="2"/>
      <c r="SGB9" s="2"/>
      <c r="SGC9" s="2"/>
      <c r="SGD9" s="2"/>
      <c r="SGE9" s="2"/>
      <c r="SGF9" s="2"/>
      <c r="SGG9" s="2"/>
      <c r="SGH9" s="2"/>
      <c r="SGI9" s="2"/>
      <c r="SGJ9" s="2"/>
      <c r="SGK9" s="2"/>
      <c r="SGL9" s="2"/>
      <c r="SGM9" s="2"/>
      <c r="SGN9" s="2"/>
      <c r="SGO9" s="2"/>
      <c r="SGP9" s="2"/>
      <c r="SGQ9" s="2"/>
      <c r="SGR9" s="2"/>
      <c r="SGS9" s="2"/>
      <c r="SGT9" s="2"/>
      <c r="SGU9" s="2"/>
      <c r="SGV9" s="2"/>
      <c r="SGW9" s="2"/>
      <c r="SGX9" s="2"/>
      <c r="SGY9" s="2"/>
      <c r="SGZ9" s="2"/>
      <c r="SHA9" s="2"/>
      <c r="SHB9" s="2"/>
      <c r="SHC9" s="2"/>
      <c r="SHD9" s="2"/>
      <c r="SHE9" s="2"/>
      <c r="SHF9" s="2"/>
      <c r="SHG9" s="2"/>
      <c r="SHH9" s="2"/>
      <c r="SHI9" s="2"/>
      <c r="SHJ9" s="2"/>
      <c r="SHK9" s="2"/>
      <c r="SHL9" s="2"/>
      <c r="SHM9" s="2"/>
      <c r="SHN9" s="2"/>
      <c r="SHO9" s="2"/>
      <c r="SHP9" s="2"/>
      <c r="SHQ9" s="2"/>
      <c r="SHR9" s="2"/>
      <c r="SHS9" s="2"/>
      <c r="SHT9" s="2"/>
      <c r="SHU9" s="2"/>
      <c r="SHV9" s="2"/>
      <c r="SHW9" s="2"/>
      <c r="SHX9" s="2"/>
      <c r="SHY9" s="2"/>
      <c r="SHZ9" s="2"/>
      <c r="SIA9" s="2"/>
      <c r="SIB9" s="2"/>
      <c r="SIC9" s="2"/>
      <c r="SID9" s="2"/>
      <c r="SIE9" s="2"/>
      <c r="SIF9" s="2"/>
      <c r="SIG9" s="2"/>
      <c r="SIH9" s="2"/>
      <c r="SII9" s="2"/>
      <c r="SIJ9" s="2"/>
      <c r="SIK9" s="2"/>
      <c r="SIL9" s="2"/>
      <c r="SIM9" s="2"/>
      <c r="SIN9" s="2"/>
      <c r="SIO9" s="2"/>
      <c r="SIP9" s="2"/>
      <c r="SIQ9" s="2"/>
      <c r="SIR9" s="2"/>
      <c r="SIS9" s="2"/>
      <c r="SIT9" s="2"/>
      <c r="SIU9" s="2"/>
      <c r="SIV9" s="2"/>
      <c r="SIW9" s="2"/>
      <c r="SIX9" s="2"/>
      <c r="SIY9" s="2"/>
      <c r="SIZ9" s="2"/>
      <c r="SJA9" s="2"/>
      <c r="SJB9" s="2"/>
      <c r="SJC9" s="2"/>
      <c r="SJD9" s="2"/>
      <c r="SJE9" s="2"/>
      <c r="SJF9" s="2"/>
      <c r="SJG9" s="2"/>
      <c r="SJH9" s="2"/>
      <c r="SJI9" s="2"/>
      <c r="SJJ9" s="2"/>
      <c r="SJK9" s="2"/>
      <c r="SJL9" s="2"/>
      <c r="SJM9" s="2"/>
      <c r="SJN9" s="2"/>
      <c r="SJO9" s="2"/>
      <c r="SJP9" s="2"/>
      <c r="SJQ9" s="2"/>
      <c r="SJR9" s="2"/>
      <c r="SJS9" s="2"/>
      <c r="SJT9" s="2"/>
      <c r="SJU9" s="2"/>
      <c r="SJV9" s="2"/>
      <c r="SJW9" s="2"/>
      <c r="SJX9" s="2"/>
      <c r="SJY9" s="2"/>
      <c r="SJZ9" s="2"/>
      <c r="SKA9" s="2"/>
      <c r="SKB9" s="2"/>
      <c r="SKC9" s="2"/>
      <c r="SKD9" s="2"/>
      <c r="SKE9" s="2"/>
      <c r="SKF9" s="2"/>
      <c r="SKG9" s="2"/>
      <c r="SKH9" s="2"/>
      <c r="SKI9" s="2"/>
      <c r="SKJ9" s="2"/>
      <c r="SKK9" s="2"/>
      <c r="SKL9" s="2"/>
      <c r="SKM9" s="2"/>
      <c r="SKN9" s="2"/>
      <c r="SKO9" s="2"/>
      <c r="SKP9" s="2"/>
      <c r="SKQ9" s="2"/>
      <c r="SKR9" s="2"/>
      <c r="SKS9" s="2"/>
      <c r="SKT9" s="2"/>
      <c r="SKU9" s="2"/>
      <c r="SKV9" s="2"/>
      <c r="SKW9" s="2"/>
      <c r="SKX9" s="2"/>
      <c r="SKY9" s="2"/>
      <c r="SKZ9" s="2"/>
      <c r="SLA9" s="2"/>
      <c r="SLB9" s="2"/>
      <c r="SLC9" s="2"/>
      <c r="SLD9" s="2"/>
      <c r="SLE9" s="2"/>
      <c r="SLF9" s="2"/>
      <c r="SLG9" s="2"/>
      <c r="SLH9" s="2"/>
      <c r="SLI9" s="2"/>
      <c r="SLJ9" s="2"/>
      <c r="SLK9" s="2"/>
      <c r="SLL9" s="2"/>
      <c r="SLM9" s="2"/>
      <c r="SLN9" s="2"/>
      <c r="SLO9" s="2"/>
      <c r="SLP9" s="2"/>
      <c r="SLQ9" s="2"/>
      <c r="SLR9" s="2"/>
      <c r="SLS9" s="2"/>
      <c r="SLT9" s="2"/>
      <c r="SLU9" s="2"/>
      <c r="SLV9" s="2"/>
      <c r="SLW9" s="2"/>
      <c r="SLX9" s="2"/>
      <c r="SLY9" s="2"/>
      <c r="SLZ9" s="2"/>
      <c r="SMA9" s="2"/>
      <c r="SMB9" s="2"/>
      <c r="SMC9" s="2"/>
      <c r="SMD9" s="2"/>
      <c r="SME9" s="2"/>
      <c r="SMF9" s="2"/>
      <c r="SMG9" s="2"/>
      <c r="SMH9" s="2"/>
      <c r="SMI9" s="2"/>
      <c r="SMJ9" s="2"/>
      <c r="SMK9" s="2"/>
      <c r="SML9" s="2"/>
      <c r="SMM9" s="2"/>
      <c r="SMN9" s="2"/>
      <c r="SMO9" s="2"/>
      <c r="SMP9" s="2"/>
      <c r="SMQ9" s="2"/>
      <c r="SMR9" s="2"/>
      <c r="SMS9" s="2"/>
      <c r="SMT9" s="2"/>
      <c r="SMU9" s="2"/>
      <c r="SMV9" s="2"/>
      <c r="SMW9" s="2"/>
      <c r="SMX9" s="2"/>
      <c r="SMY9" s="2"/>
      <c r="SMZ9" s="2"/>
      <c r="SNA9" s="2"/>
      <c r="SNB9" s="2"/>
      <c r="SNC9" s="2"/>
      <c r="SND9" s="2"/>
      <c r="SNE9" s="2"/>
      <c r="SNF9" s="2"/>
      <c r="SNG9" s="2"/>
      <c r="SNH9" s="2"/>
      <c r="SNI9" s="2"/>
      <c r="SNJ9" s="2"/>
      <c r="SNK9" s="2"/>
      <c r="SNL9" s="2"/>
      <c r="SNM9" s="2"/>
      <c r="SNN9" s="2"/>
      <c r="SNO9" s="2"/>
      <c r="SNP9" s="2"/>
      <c r="SNQ9" s="2"/>
      <c r="SNR9" s="2"/>
      <c r="SNS9" s="2"/>
      <c r="SNT9" s="2"/>
      <c r="SNU9" s="2"/>
      <c r="SNV9" s="2"/>
      <c r="SNW9" s="2"/>
      <c r="SNX9" s="2"/>
      <c r="SNY9" s="2"/>
      <c r="SNZ9" s="2"/>
      <c r="SOA9" s="2"/>
      <c r="SOB9" s="2"/>
      <c r="SOC9" s="2"/>
      <c r="SOD9" s="2"/>
      <c r="SOE9" s="2"/>
      <c r="SOF9" s="2"/>
      <c r="SOG9" s="2"/>
      <c r="SOH9" s="2"/>
      <c r="SOI9" s="2"/>
      <c r="SOJ9" s="2"/>
      <c r="SOK9" s="2"/>
      <c r="SOL9" s="2"/>
      <c r="SOM9" s="2"/>
      <c r="SON9" s="2"/>
      <c r="SOO9" s="2"/>
      <c r="SOP9" s="2"/>
      <c r="SOQ9" s="2"/>
      <c r="SOR9" s="2"/>
      <c r="SOS9" s="2"/>
      <c r="SOT9" s="2"/>
      <c r="SOU9" s="2"/>
      <c r="SOV9" s="2"/>
      <c r="SOW9" s="2"/>
      <c r="SOX9" s="2"/>
      <c r="SOY9" s="2"/>
      <c r="SOZ9" s="2"/>
      <c r="SPA9" s="2"/>
      <c r="SPB9" s="2"/>
      <c r="SPC9" s="2"/>
      <c r="SPD9" s="2"/>
      <c r="SPE9" s="2"/>
      <c r="SPF9" s="2"/>
      <c r="SPG9" s="2"/>
      <c r="SPH9" s="2"/>
      <c r="SPI9" s="2"/>
      <c r="SPJ9" s="2"/>
      <c r="SPK9" s="2"/>
      <c r="SPL9" s="2"/>
      <c r="SPM9" s="2"/>
      <c r="SPN9" s="2"/>
      <c r="SPO9" s="2"/>
      <c r="SPP9" s="2"/>
      <c r="SPQ9" s="2"/>
      <c r="SPR9" s="2"/>
      <c r="SPS9" s="2"/>
      <c r="SPT9" s="2"/>
      <c r="SPU9" s="2"/>
      <c r="SPV9" s="2"/>
      <c r="SPW9" s="2"/>
      <c r="SPX9" s="2"/>
      <c r="SPY9" s="2"/>
      <c r="SPZ9" s="2"/>
      <c r="SQA9" s="2"/>
      <c r="SQB9" s="2"/>
      <c r="SQC9" s="2"/>
      <c r="SQD9" s="2"/>
      <c r="SQE9" s="2"/>
      <c r="SQF9" s="2"/>
      <c r="SQG9" s="2"/>
      <c r="SQH9" s="2"/>
      <c r="SQI9" s="2"/>
      <c r="SQJ9" s="2"/>
      <c r="SQK9" s="2"/>
      <c r="SQL9" s="2"/>
      <c r="SQM9" s="2"/>
      <c r="SQN9" s="2"/>
      <c r="SQO9" s="2"/>
      <c r="SQP9" s="2"/>
      <c r="SQQ9" s="2"/>
      <c r="SQR9" s="2"/>
      <c r="SQS9" s="2"/>
      <c r="SQT9" s="2"/>
      <c r="SQU9" s="2"/>
      <c r="SQV9" s="2"/>
      <c r="SQW9" s="2"/>
      <c r="SQX9" s="2"/>
      <c r="SQY9" s="2"/>
      <c r="SQZ9" s="2"/>
      <c r="SRA9" s="2"/>
      <c r="SRB9" s="2"/>
      <c r="SRC9" s="2"/>
      <c r="SRD9" s="2"/>
      <c r="SRE9" s="2"/>
      <c r="SRF9" s="2"/>
      <c r="SRG9" s="2"/>
      <c r="SRH9" s="2"/>
      <c r="SRI9" s="2"/>
      <c r="SRJ9" s="2"/>
      <c r="SRK9" s="2"/>
      <c r="SRL9" s="2"/>
      <c r="SRM9" s="2"/>
      <c r="SRN9" s="2"/>
      <c r="SRO9" s="2"/>
      <c r="SRP9" s="2"/>
      <c r="SRQ9" s="2"/>
      <c r="SRR9" s="2"/>
      <c r="SRS9" s="2"/>
      <c r="SRT9" s="2"/>
      <c r="SRU9" s="2"/>
      <c r="SRV9" s="2"/>
      <c r="SRW9" s="2"/>
      <c r="SRX9" s="2"/>
      <c r="SRY9" s="2"/>
      <c r="SRZ9" s="2"/>
      <c r="SSA9" s="2"/>
      <c r="SSB9" s="2"/>
      <c r="SSC9" s="2"/>
      <c r="SSD9" s="2"/>
      <c r="SSE9" s="2"/>
      <c r="SSF9" s="2"/>
      <c r="SSG9" s="2"/>
      <c r="SSH9" s="2"/>
      <c r="SSI9" s="2"/>
      <c r="SSJ9" s="2"/>
      <c r="SSK9" s="2"/>
      <c r="SSL9" s="2"/>
      <c r="SSM9" s="2"/>
      <c r="SSN9" s="2"/>
      <c r="SSO9" s="2"/>
      <c r="SSP9" s="2"/>
      <c r="SSQ9" s="2"/>
      <c r="SSR9" s="2"/>
      <c r="SSS9" s="2"/>
      <c r="SST9" s="2"/>
      <c r="SSU9" s="2"/>
      <c r="SSV9" s="2"/>
      <c r="SSW9" s="2"/>
      <c r="SSX9" s="2"/>
      <c r="SSY9" s="2"/>
      <c r="SSZ9" s="2"/>
      <c r="STA9" s="2"/>
      <c r="STB9" s="2"/>
      <c r="STC9" s="2"/>
      <c r="STD9" s="2"/>
      <c r="STE9" s="2"/>
      <c r="STF9" s="2"/>
      <c r="STG9" s="2"/>
      <c r="STH9" s="2"/>
      <c r="STI9" s="2"/>
      <c r="STJ9" s="2"/>
      <c r="STK9" s="2"/>
      <c r="STL9" s="2"/>
      <c r="STM9" s="2"/>
      <c r="STN9" s="2"/>
      <c r="STO9" s="2"/>
      <c r="STP9" s="2"/>
      <c r="STQ9" s="2"/>
      <c r="STR9" s="2"/>
      <c r="STS9" s="2"/>
      <c r="STT9" s="2"/>
      <c r="STU9" s="2"/>
      <c r="STV9" s="2"/>
      <c r="STW9" s="2"/>
      <c r="STX9" s="2"/>
      <c r="STY9" s="2"/>
      <c r="STZ9" s="2"/>
      <c r="SUA9" s="2"/>
      <c r="SUB9" s="2"/>
      <c r="SUC9" s="2"/>
      <c r="SUD9" s="2"/>
      <c r="SUE9" s="2"/>
      <c r="SUF9" s="2"/>
      <c r="SUG9" s="2"/>
      <c r="SUH9" s="2"/>
      <c r="SUI9" s="2"/>
      <c r="SUJ9" s="2"/>
      <c r="SUK9" s="2"/>
      <c r="SUL9" s="2"/>
      <c r="SUM9" s="2"/>
      <c r="SUN9" s="2"/>
      <c r="SUO9" s="2"/>
      <c r="SUP9" s="2"/>
      <c r="SUQ9" s="2"/>
      <c r="SUR9" s="2"/>
      <c r="SUS9" s="2"/>
      <c r="SUT9" s="2"/>
      <c r="SUU9" s="2"/>
      <c r="SUV9" s="2"/>
      <c r="SUW9" s="2"/>
      <c r="SUX9" s="2"/>
      <c r="SUY9" s="2"/>
      <c r="SUZ9" s="2"/>
      <c r="SVA9" s="2"/>
      <c r="SVB9" s="2"/>
      <c r="SVC9" s="2"/>
      <c r="SVD9" s="2"/>
      <c r="SVE9" s="2"/>
      <c r="SVF9" s="2"/>
      <c r="SVG9" s="2"/>
      <c r="SVH9" s="2"/>
      <c r="SVI9" s="2"/>
      <c r="SVJ9" s="2"/>
      <c r="SVK9" s="2"/>
      <c r="SVL9" s="2"/>
      <c r="SVM9" s="2"/>
      <c r="SVN9" s="2"/>
      <c r="SVO9" s="2"/>
      <c r="SVP9" s="2"/>
      <c r="SVQ9" s="2"/>
      <c r="SVR9" s="2"/>
      <c r="SVS9" s="2"/>
      <c r="SVT9" s="2"/>
      <c r="SVU9" s="2"/>
      <c r="SVV9" s="2"/>
      <c r="SVW9" s="2"/>
      <c r="SVX9" s="2"/>
      <c r="SVY9" s="2"/>
      <c r="SVZ9" s="2"/>
      <c r="SWA9" s="2"/>
      <c r="SWB9" s="2"/>
      <c r="SWC9" s="2"/>
      <c r="SWD9" s="2"/>
      <c r="SWE9" s="2"/>
      <c r="SWF9" s="2"/>
      <c r="SWG9" s="2"/>
      <c r="SWH9" s="2"/>
      <c r="SWI9" s="2"/>
      <c r="SWJ9" s="2"/>
      <c r="SWK9" s="2"/>
      <c r="SWL9" s="2"/>
      <c r="SWM9" s="2"/>
      <c r="SWN9" s="2"/>
      <c r="SWO9" s="2"/>
      <c r="SWP9" s="2"/>
      <c r="SWQ9" s="2"/>
      <c r="SWR9" s="2"/>
      <c r="SWS9" s="2"/>
      <c r="SWT9" s="2"/>
      <c r="SWU9" s="2"/>
      <c r="SWV9" s="2"/>
      <c r="SWW9" s="2"/>
      <c r="SWX9" s="2"/>
      <c r="SWY9" s="2"/>
      <c r="SWZ9" s="2"/>
      <c r="SXA9" s="2"/>
      <c r="SXB9" s="2"/>
      <c r="SXC9" s="2"/>
      <c r="SXD9" s="2"/>
      <c r="SXE9" s="2"/>
      <c r="SXF9" s="2"/>
      <c r="SXG9" s="2"/>
      <c r="SXH9" s="2"/>
      <c r="SXI9" s="2"/>
      <c r="SXJ9" s="2"/>
      <c r="SXK9" s="2"/>
      <c r="SXL9" s="2"/>
      <c r="SXM9" s="2"/>
      <c r="SXN9" s="2"/>
      <c r="SXO9" s="2"/>
      <c r="SXP9" s="2"/>
      <c r="SXQ9" s="2"/>
      <c r="SXR9" s="2"/>
      <c r="SXS9" s="2"/>
      <c r="SXT9" s="2"/>
      <c r="SXU9" s="2"/>
      <c r="SXV9" s="2"/>
      <c r="SXW9" s="2"/>
      <c r="SXX9" s="2"/>
      <c r="SXY9" s="2"/>
      <c r="SXZ9" s="2"/>
      <c r="SYA9" s="2"/>
      <c r="SYB9" s="2"/>
      <c r="SYC9" s="2"/>
      <c r="SYD9" s="2"/>
      <c r="SYE9" s="2"/>
      <c r="SYF9" s="2"/>
      <c r="SYG9" s="2"/>
      <c r="SYH9" s="2"/>
      <c r="SYI9" s="2"/>
      <c r="SYJ9" s="2"/>
      <c r="SYK9" s="2"/>
      <c r="SYL9" s="2"/>
      <c r="SYM9" s="2"/>
      <c r="SYN9" s="2"/>
      <c r="SYO9" s="2"/>
      <c r="SYP9" s="2"/>
      <c r="SYQ9" s="2"/>
      <c r="SYR9" s="2"/>
      <c r="SYS9" s="2"/>
      <c r="SYT9" s="2"/>
      <c r="SYU9" s="2"/>
      <c r="SYV9" s="2"/>
      <c r="SYW9" s="2"/>
      <c r="SYX9" s="2"/>
      <c r="SYY9" s="2"/>
      <c r="SYZ9" s="2"/>
      <c r="SZA9" s="2"/>
      <c r="SZB9" s="2"/>
      <c r="SZC9" s="2"/>
      <c r="SZD9" s="2"/>
      <c r="SZE9" s="2"/>
      <c r="SZF9" s="2"/>
      <c r="SZG9" s="2"/>
      <c r="SZH9" s="2"/>
      <c r="SZI9" s="2"/>
      <c r="SZJ9" s="2"/>
      <c r="SZK9" s="2"/>
      <c r="SZL9" s="2"/>
      <c r="SZM9" s="2"/>
      <c r="SZN9" s="2"/>
      <c r="SZO9" s="2"/>
      <c r="SZP9" s="2"/>
      <c r="SZQ9" s="2"/>
      <c r="SZR9" s="2"/>
      <c r="SZS9" s="2"/>
      <c r="SZT9" s="2"/>
      <c r="SZU9" s="2"/>
      <c r="SZV9" s="2"/>
      <c r="SZW9" s="2"/>
      <c r="SZX9" s="2"/>
      <c r="SZY9" s="2"/>
      <c r="SZZ9" s="2"/>
      <c r="TAA9" s="2"/>
      <c r="TAB9" s="2"/>
      <c r="TAC9" s="2"/>
      <c r="TAD9" s="2"/>
      <c r="TAE9" s="2"/>
      <c r="TAF9" s="2"/>
      <c r="TAG9" s="2"/>
      <c r="TAH9" s="2"/>
      <c r="TAI9" s="2"/>
      <c r="TAJ9" s="2"/>
      <c r="TAK9" s="2"/>
      <c r="TAL9" s="2"/>
      <c r="TAM9" s="2"/>
      <c r="TAN9" s="2"/>
      <c r="TAO9" s="2"/>
      <c r="TAP9" s="2"/>
      <c r="TAQ9" s="2"/>
      <c r="TAR9" s="2"/>
      <c r="TAS9" s="2"/>
      <c r="TAT9" s="2"/>
      <c r="TAU9" s="2"/>
      <c r="TAV9" s="2"/>
      <c r="TAW9" s="2"/>
      <c r="TAX9" s="2"/>
      <c r="TAY9" s="2"/>
      <c r="TAZ9" s="2"/>
      <c r="TBA9" s="2"/>
      <c r="TBB9" s="2"/>
      <c r="TBC9" s="2"/>
      <c r="TBD9" s="2"/>
      <c r="TBE9" s="2"/>
      <c r="TBF9" s="2"/>
      <c r="TBG9" s="2"/>
      <c r="TBH9" s="2"/>
      <c r="TBI9" s="2"/>
      <c r="TBJ9" s="2"/>
      <c r="TBK9" s="2"/>
      <c r="TBL9" s="2"/>
      <c r="TBM9" s="2"/>
      <c r="TBN9" s="2"/>
      <c r="TBO9" s="2"/>
      <c r="TBP9" s="2"/>
      <c r="TBQ9" s="2"/>
      <c r="TBR9" s="2"/>
      <c r="TBS9" s="2"/>
      <c r="TBT9" s="2"/>
      <c r="TBU9" s="2"/>
      <c r="TBV9" s="2"/>
      <c r="TBW9" s="2"/>
      <c r="TBX9" s="2"/>
      <c r="TBY9" s="2"/>
      <c r="TBZ9" s="2"/>
      <c r="TCA9" s="2"/>
      <c r="TCB9" s="2"/>
      <c r="TCC9" s="2"/>
      <c r="TCD9" s="2"/>
      <c r="TCE9" s="2"/>
      <c r="TCF9" s="2"/>
      <c r="TCG9" s="2"/>
      <c r="TCH9" s="2"/>
      <c r="TCI9" s="2"/>
      <c r="TCJ9" s="2"/>
      <c r="TCK9" s="2"/>
      <c r="TCL9" s="2"/>
      <c r="TCM9" s="2"/>
      <c r="TCN9" s="2"/>
      <c r="TCO9" s="2"/>
      <c r="TCP9" s="2"/>
      <c r="TCQ9" s="2"/>
      <c r="TCR9" s="2"/>
      <c r="TCS9" s="2"/>
      <c r="TCT9" s="2"/>
      <c r="TCU9" s="2"/>
      <c r="TCV9" s="2"/>
      <c r="TCW9" s="2"/>
      <c r="TCX9" s="2"/>
      <c r="TCY9" s="2"/>
      <c r="TCZ9" s="2"/>
      <c r="TDA9" s="2"/>
      <c r="TDB9" s="2"/>
      <c r="TDC9" s="2"/>
      <c r="TDD9" s="2"/>
      <c r="TDE9" s="2"/>
      <c r="TDF9" s="2"/>
      <c r="TDG9" s="2"/>
      <c r="TDH9" s="2"/>
      <c r="TDI9" s="2"/>
      <c r="TDJ9" s="2"/>
      <c r="TDK9" s="2"/>
      <c r="TDL9" s="2"/>
      <c r="TDM9" s="2"/>
      <c r="TDN9" s="2"/>
      <c r="TDO9" s="2"/>
      <c r="TDP9" s="2"/>
      <c r="TDQ9" s="2"/>
      <c r="TDR9" s="2"/>
      <c r="TDS9" s="2"/>
      <c r="TDT9" s="2"/>
      <c r="TDU9" s="2"/>
      <c r="TDV9" s="2"/>
      <c r="TDW9" s="2"/>
      <c r="TDX9" s="2"/>
      <c r="TDY9" s="2"/>
      <c r="TDZ9" s="2"/>
      <c r="TEA9" s="2"/>
      <c r="TEB9" s="2"/>
      <c r="TEC9" s="2"/>
      <c r="TED9" s="2"/>
      <c r="TEE9" s="2"/>
      <c r="TEF9" s="2"/>
      <c r="TEG9" s="2"/>
      <c r="TEH9" s="2"/>
      <c r="TEI9" s="2"/>
      <c r="TEJ9" s="2"/>
      <c r="TEK9" s="2"/>
      <c r="TEL9" s="2"/>
      <c r="TEM9" s="2"/>
      <c r="TEN9" s="2"/>
      <c r="TEO9" s="2"/>
      <c r="TEP9" s="2"/>
      <c r="TEQ9" s="2"/>
      <c r="TER9" s="2"/>
      <c r="TES9" s="2"/>
      <c r="TET9" s="2"/>
      <c r="TEU9" s="2"/>
      <c r="TEV9" s="2"/>
      <c r="TEW9" s="2"/>
      <c r="TEX9" s="2"/>
      <c r="TEY9" s="2"/>
      <c r="TEZ9" s="2"/>
      <c r="TFA9" s="2"/>
      <c r="TFB9" s="2"/>
      <c r="TFC9" s="2"/>
      <c r="TFD9" s="2"/>
      <c r="TFE9" s="2"/>
      <c r="TFF9" s="2"/>
      <c r="TFG9" s="2"/>
      <c r="TFH9" s="2"/>
      <c r="TFI9" s="2"/>
      <c r="TFJ9" s="2"/>
      <c r="TFK9" s="2"/>
      <c r="TFL9" s="2"/>
      <c r="TFM9" s="2"/>
      <c r="TFN9" s="2"/>
      <c r="TFO9" s="2"/>
      <c r="TFP9" s="2"/>
      <c r="TFQ9" s="2"/>
      <c r="TFR9" s="2"/>
      <c r="TFS9" s="2"/>
      <c r="TFT9" s="2"/>
      <c r="TFU9" s="2"/>
      <c r="TFV9" s="2"/>
      <c r="TFW9" s="2"/>
      <c r="TFX9" s="2"/>
      <c r="TFY9" s="2"/>
      <c r="TFZ9" s="2"/>
      <c r="TGA9" s="2"/>
      <c r="TGB9" s="2"/>
      <c r="TGC9" s="2"/>
      <c r="TGD9" s="2"/>
      <c r="TGE9" s="2"/>
      <c r="TGF9" s="2"/>
      <c r="TGG9" s="2"/>
      <c r="TGH9" s="2"/>
      <c r="TGI9" s="2"/>
      <c r="TGJ9" s="2"/>
      <c r="TGK9" s="2"/>
      <c r="TGL9" s="2"/>
      <c r="TGM9" s="2"/>
      <c r="TGN9" s="2"/>
      <c r="TGO9" s="2"/>
      <c r="TGP9" s="2"/>
      <c r="TGQ9" s="2"/>
      <c r="TGR9" s="2"/>
      <c r="TGS9" s="2"/>
      <c r="TGT9" s="2"/>
      <c r="TGU9" s="2"/>
      <c r="TGV9" s="2"/>
      <c r="TGW9" s="2"/>
      <c r="TGX9" s="2"/>
      <c r="TGY9" s="2"/>
      <c r="TGZ9" s="2"/>
      <c r="THA9" s="2"/>
      <c r="THB9" s="2"/>
      <c r="THC9" s="2"/>
      <c r="THD9" s="2"/>
      <c r="THE9" s="2"/>
      <c r="THF9" s="2"/>
      <c r="THG9" s="2"/>
      <c r="THH9" s="2"/>
      <c r="THI9" s="2"/>
      <c r="THJ9" s="2"/>
      <c r="THK9" s="2"/>
      <c r="THL9" s="2"/>
      <c r="THM9" s="2"/>
      <c r="THN9" s="2"/>
      <c r="THO9" s="2"/>
      <c r="THP9" s="2"/>
      <c r="THQ9" s="2"/>
      <c r="THR9" s="2"/>
      <c r="THS9" s="2"/>
      <c r="THT9" s="2"/>
      <c r="THU9" s="2"/>
      <c r="THV9" s="2"/>
      <c r="THW9" s="2"/>
      <c r="THX9" s="2"/>
      <c r="THY9" s="2"/>
      <c r="THZ9" s="2"/>
      <c r="TIA9" s="2"/>
      <c r="TIB9" s="2"/>
      <c r="TIC9" s="2"/>
      <c r="TID9" s="2"/>
      <c r="TIE9" s="2"/>
      <c r="TIF9" s="2"/>
      <c r="TIG9" s="2"/>
      <c r="TIH9" s="2"/>
      <c r="TII9" s="2"/>
      <c r="TIJ9" s="2"/>
      <c r="TIK9" s="2"/>
      <c r="TIL9" s="2"/>
      <c r="TIM9" s="2"/>
      <c r="TIN9" s="2"/>
      <c r="TIO9" s="2"/>
      <c r="TIP9" s="2"/>
      <c r="TIQ9" s="2"/>
      <c r="TIR9" s="2"/>
      <c r="TIS9" s="2"/>
      <c r="TIT9" s="2"/>
      <c r="TIU9" s="2"/>
      <c r="TIV9" s="2"/>
      <c r="TIW9" s="2"/>
      <c r="TIX9" s="2"/>
      <c r="TIY9" s="2"/>
      <c r="TIZ9" s="2"/>
      <c r="TJA9" s="2"/>
      <c r="TJB9" s="2"/>
      <c r="TJC9" s="2"/>
      <c r="TJD9" s="2"/>
      <c r="TJE9" s="2"/>
      <c r="TJF9" s="2"/>
      <c r="TJG9" s="2"/>
      <c r="TJH9" s="2"/>
      <c r="TJI9" s="2"/>
      <c r="TJJ9" s="2"/>
      <c r="TJK9" s="2"/>
      <c r="TJL9" s="2"/>
      <c r="TJM9" s="2"/>
      <c r="TJN9" s="2"/>
      <c r="TJO9" s="2"/>
      <c r="TJP9" s="2"/>
      <c r="TJQ9" s="2"/>
      <c r="TJR9" s="2"/>
      <c r="TJS9" s="2"/>
      <c r="TJT9" s="2"/>
      <c r="TJU9" s="2"/>
      <c r="TJV9" s="2"/>
      <c r="TJW9" s="2"/>
      <c r="TJX9" s="2"/>
      <c r="TJY9" s="2"/>
      <c r="TJZ9" s="2"/>
      <c r="TKA9" s="2"/>
      <c r="TKB9" s="2"/>
      <c r="TKC9" s="2"/>
      <c r="TKD9" s="2"/>
      <c r="TKE9" s="2"/>
      <c r="TKF9" s="2"/>
      <c r="TKG9" s="2"/>
      <c r="TKH9" s="2"/>
      <c r="TKI9" s="2"/>
      <c r="TKJ9" s="2"/>
      <c r="TKK9" s="2"/>
      <c r="TKL9" s="2"/>
      <c r="TKM9" s="2"/>
      <c r="TKN9" s="2"/>
      <c r="TKO9" s="2"/>
      <c r="TKP9" s="2"/>
      <c r="TKQ9" s="2"/>
      <c r="TKR9" s="2"/>
      <c r="TKS9" s="2"/>
      <c r="TKT9" s="2"/>
      <c r="TKU9" s="2"/>
      <c r="TKV9" s="2"/>
      <c r="TKW9" s="2"/>
      <c r="TKX9" s="2"/>
      <c r="TKY9" s="2"/>
      <c r="TKZ9" s="2"/>
      <c r="TLA9" s="2"/>
      <c r="TLB9" s="2"/>
      <c r="TLC9" s="2"/>
      <c r="TLD9" s="2"/>
      <c r="TLE9" s="2"/>
      <c r="TLF9" s="2"/>
      <c r="TLG9" s="2"/>
      <c r="TLH9" s="2"/>
      <c r="TLI9" s="2"/>
      <c r="TLJ9" s="2"/>
      <c r="TLK9" s="2"/>
      <c r="TLL9" s="2"/>
      <c r="TLM9" s="2"/>
      <c r="TLN9" s="2"/>
      <c r="TLO9" s="2"/>
      <c r="TLP9" s="2"/>
      <c r="TLQ9" s="2"/>
      <c r="TLR9" s="2"/>
      <c r="TLS9" s="2"/>
      <c r="TLT9" s="2"/>
      <c r="TLU9" s="2"/>
      <c r="TLV9" s="2"/>
      <c r="TLW9" s="2"/>
      <c r="TLX9" s="2"/>
      <c r="TLY9" s="2"/>
      <c r="TLZ9" s="2"/>
      <c r="TMA9" s="2"/>
      <c r="TMB9" s="2"/>
      <c r="TMC9" s="2"/>
      <c r="TMD9" s="2"/>
      <c r="TME9" s="2"/>
      <c r="TMF9" s="2"/>
      <c r="TMG9" s="2"/>
      <c r="TMH9" s="2"/>
      <c r="TMI9" s="2"/>
      <c r="TMJ9" s="2"/>
      <c r="TMK9" s="2"/>
      <c r="TML9" s="2"/>
      <c r="TMM9" s="2"/>
      <c r="TMN9" s="2"/>
      <c r="TMO9" s="2"/>
      <c r="TMP9" s="2"/>
      <c r="TMQ9" s="2"/>
      <c r="TMR9" s="2"/>
      <c r="TMS9" s="2"/>
      <c r="TMT9" s="2"/>
      <c r="TMU9" s="2"/>
      <c r="TMV9" s="2"/>
      <c r="TMW9" s="2"/>
      <c r="TMX9" s="2"/>
      <c r="TMY9" s="2"/>
      <c r="TMZ9" s="2"/>
      <c r="TNA9" s="2"/>
      <c r="TNB9" s="2"/>
      <c r="TNC9" s="2"/>
      <c r="TND9" s="2"/>
      <c r="TNE9" s="2"/>
      <c r="TNF9" s="2"/>
      <c r="TNG9" s="2"/>
      <c r="TNH9" s="2"/>
      <c r="TNI9" s="2"/>
      <c r="TNJ9" s="2"/>
      <c r="TNK9" s="2"/>
      <c r="TNL9" s="2"/>
      <c r="TNM9" s="2"/>
      <c r="TNN9" s="2"/>
      <c r="TNO9" s="2"/>
      <c r="TNP9" s="2"/>
      <c r="TNQ9" s="2"/>
      <c r="TNR9" s="2"/>
      <c r="TNS9" s="2"/>
      <c r="TNT9" s="2"/>
      <c r="TNU9" s="2"/>
      <c r="TNV9" s="2"/>
      <c r="TNW9" s="2"/>
      <c r="TNX9" s="2"/>
      <c r="TNY9" s="2"/>
      <c r="TNZ9" s="2"/>
      <c r="TOA9" s="2"/>
      <c r="TOB9" s="2"/>
      <c r="TOC9" s="2"/>
      <c r="TOD9" s="2"/>
      <c r="TOE9" s="2"/>
      <c r="TOF9" s="2"/>
      <c r="TOG9" s="2"/>
      <c r="TOH9" s="2"/>
      <c r="TOI9" s="2"/>
      <c r="TOJ9" s="2"/>
      <c r="TOK9" s="2"/>
      <c r="TOL9" s="2"/>
      <c r="TOM9" s="2"/>
      <c r="TON9" s="2"/>
      <c r="TOO9" s="2"/>
      <c r="TOP9" s="2"/>
      <c r="TOQ9" s="2"/>
      <c r="TOR9" s="2"/>
      <c r="TOS9" s="2"/>
      <c r="TOT9" s="2"/>
      <c r="TOU9" s="2"/>
      <c r="TOV9" s="2"/>
      <c r="TOW9" s="2"/>
      <c r="TOX9" s="2"/>
      <c r="TOY9" s="2"/>
      <c r="TOZ9" s="2"/>
      <c r="TPA9" s="2"/>
      <c r="TPB9" s="2"/>
      <c r="TPC9" s="2"/>
      <c r="TPD9" s="2"/>
      <c r="TPE9" s="2"/>
      <c r="TPF9" s="2"/>
      <c r="TPG9" s="2"/>
      <c r="TPH9" s="2"/>
      <c r="TPI9" s="2"/>
      <c r="TPJ9" s="2"/>
      <c r="TPK9" s="2"/>
      <c r="TPL9" s="2"/>
      <c r="TPM9" s="2"/>
      <c r="TPN9" s="2"/>
      <c r="TPO9" s="2"/>
      <c r="TPP9" s="2"/>
      <c r="TPQ9" s="2"/>
      <c r="TPR9" s="2"/>
      <c r="TPS9" s="2"/>
      <c r="TPT9" s="2"/>
      <c r="TPU9" s="2"/>
      <c r="TPV9" s="2"/>
      <c r="TPW9" s="2"/>
      <c r="TPX9" s="2"/>
      <c r="TPY9" s="2"/>
      <c r="TPZ9" s="2"/>
      <c r="TQA9" s="2"/>
      <c r="TQB9" s="2"/>
      <c r="TQC9" s="2"/>
      <c r="TQD9" s="2"/>
      <c r="TQE9" s="2"/>
      <c r="TQF9" s="2"/>
      <c r="TQG9" s="2"/>
      <c r="TQH9" s="2"/>
      <c r="TQI9" s="2"/>
      <c r="TQJ9" s="2"/>
      <c r="TQK9" s="2"/>
      <c r="TQL9" s="2"/>
      <c r="TQM9" s="2"/>
      <c r="TQN9" s="2"/>
      <c r="TQO9" s="2"/>
      <c r="TQP9" s="2"/>
      <c r="TQQ9" s="2"/>
      <c r="TQR9" s="2"/>
      <c r="TQS9" s="2"/>
      <c r="TQT9" s="2"/>
      <c r="TQU9" s="2"/>
      <c r="TQV9" s="2"/>
      <c r="TQW9" s="2"/>
      <c r="TQX9" s="2"/>
      <c r="TQY9" s="2"/>
      <c r="TQZ9" s="2"/>
      <c r="TRA9" s="2"/>
      <c r="TRB9" s="2"/>
      <c r="TRC9" s="2"/>
      <c r="TRD9" s="2"/>
      <c r="TRE9" s="2"/>
      <c r="TRF9" s="2"/>
      <c r="TRG9" s="2"/>
      <c r="TRH9" s="2"/>
      <c r="TRI9" s="2"/>
      <c r="TRJ9" s="2"/>
      <c r="TRK9" s="2"/>
      <c r="TRL9" s="2"/>
      <c r="TRM9" s="2"/>
      <c r="TRN9" s="2"/>
      <c r="TRO9" s="2"/>
      <c r="TRP9" s="2"/>
      <c r="TRQ9" s="2"/>
      <c r="TRR9" s="2"/>
      <c r="TRS9" s="2"/>
      <c r="TRT9" s="2"/>
      <c r="TRU9" s="2"/>
      <c r="TRV9" s="2"/>
      <c r="TRW9" s="2"/>
      <c r="TRX9" s="2"/>
      <c r="TRY9" s="2"/>
      <c r="TRZ9" s="2"/>
      <c r="TSA9" s="2"/>
      <c r="TSB9" s="2"/>
      <c r="TSC9" s="2"/>
      <c r="TSD9" s="2"/>
      <c r="TSE9" s="2"/>
      <c r="TSF9" s="2"/>
      <c r="TSG9" s="2"/>
      <c r="TSH9" s="2"/>
      <c r="TSI9" s="2"/>
      <c r="TSJ9" s="2"/>
      <c r="TSK9" s="2"/>
      <c r="TSL9" s="2"/>
      <c r="TSM9" s="2"/>
      <c r="TSN9" s="2"/>
      <c r="TSO9" s="2"/>
      <c r="TSP9" s="2"/>
      <c r="TSQ9" s="2"/>
      <c r="TSR9" s="2"/>
      <c r="TSS9" s="2"/>
      <c r="TST9" s="2"/>
      <c r="TSU9" s="2"/>
      <c r="TSV9" s="2"/>
      <c r="TSW9" s="2"/>
      <c r="TSX9" s="2"/>
      <c r="TSY9" s="2"/>
      <c r="TSZ9" s="2"/>
      <c r="TTA9" s="2"/>
      <c r="TTB9" s="2"/>
      <c r="TTC9" s="2"/>
      <c r="TTD9" s="2"/>
      <c r="TTE9" s="2"/>
      <c r="TTF9" s="2"/>
      <c r="TTG9" s="2"/>
      <c r="TTH9" s="2"/>
      <c r="TTI9" s="2"/>
      <c r="TTJ9" s="2"/>
      <c r="TTK9" s="2"/>
      <c r="TTL9" s="2"/>
      <c r="TTM9" s="2"/>
      <c r="TTN9" s="2"/>
      <c r="TTO9" s="2"/>
      <c r="TTP9" s="2"/>
      <c r="TTQ9" s="2"/>
      <c r="TTR9" s="2"/>
      <c r="TTS9" s="2"/>
      <c r="TTT9" s="2"/>
      <c r="TTU9" s="2"/>
      <c r="TTV9" s="2"/>
      <c r="TTW9" s="2"/>
      <c r="TTX9" s="2"/>
      <c r="TTY9" s="2"/>
      <c r="TTZ9" s="2"/>
      <c r="TUA9" s="2"/>
      <c r="TUB9" s="2"/>
      <c r="TUC9" s="2"/>
      <c r="TUD9" s="2"/>
      <c r="TUE9" s="2"/>
      <c r="TUF9" s="2"/>
      <c r="TUG9" s="2"/>
      <c r="TUH9" s="2"/>
      <c r="TUI9" s="2"/>
      <c r="TUJ9" s="2"/>
      <c r="TUK9" s="2"/>
      <c r="TUL9" s="2"/>
      <c r="TUM9" s="2"/>
      <c r="TUN9" s="2"/>
      <c r="TUO9" s="2"/>
      <c r="TUP9" s="2"/>
      <c r="TUQ9" s="2"/>
      <c r="TUR9" s="2"/>
      <c r="TUS9" s="2"/>
      <c r="TUT9" s="2"/>
      <c r="TUU9" s="2"/>
      <c r="TUV9" s="2"/>
      <c r="TUW9" s="2"/>
      <c r="TUX9" s="2"/>
      <c r="TUY9" s="2"/>
      <c r="TUZ9" s="2"/>
      <c r="TVA9" s="2"/>
      <c r="TVB9" s="2"/>
      <c r="TVC9" s="2"/>
      <c r="TVD9" s="2"/>
      <c r="TVE9" s="2"/>
      <c r="TVF9" s="2"/>
      <c r="TVG9" s="2"/>
      <c r="TVH9" s="2"/>
      <c r="TVI9" s="2"/>
      <c r="TVJ9" s="2"/>
      <c r="TVK9" s="2"/>
      <c r="TVL9" s="2"/>
      <c r="TVM9" s="2"/>
      <c r="TVN9" s="2"/>
      <c r="TVO9" s="2"/>
      <c r="TVP9" s="2"/>
      <c r="TVQ9" s="2"/>
      <c r="TVR9" s="2"/>
      <c r="TVS9" s="2"/>
      <c r="TVT9" s="2"/>
      <c r="TVU9" s="2"/>
      <c r="TVV9" s="2"/>
      <c r="TVW9" s="2"/>
      <c r="TVX9" s="2"/>
      <c r="TVY9" s="2"/>
      <c r="TVZ9" s="2"/>
      <c r="TWA9" s="2"/>
      <c r="TWB9" s="2"/>
      <c r="TWC9" s="2"/>
      <c r="TWD9" s="2"/>
      <c r="TWE9" s="2"/>
      <c r="TWF9" s="2"/>
      <c r="TWG9" s="2"/>
      <c r="TWH9" s="2"/>
      <c r="TWI9" s="2"/>
      <c r="TWJ9" s="2"/>
      <c r="TWK9" s="2"/>
      <c r="TWL9" s="2"/>
      <c r="TWM9" s="2"/>
      <c r="TWN9" s="2"/>
      <c r="TWO9" s="2"/>
      <c r="TWP9" s="2"/>
      <c r="TWQ9" s="2"/>
      <c r="TWR9" s="2"/>
      <c r="TWS9" s="2"/>
      <c r="TWT9" s="2"/>
      <c r="TWU9" s="2"/>
      <c r="TWV9" s="2"/>
      <c r="TWW9" s="2"/>
      <c r="TWX9" s="2"/>
      <c r="TWY9" s="2"/>
      <c r="TWZ9" s="2"/>
      <c r="TXA9" s="2"/>
      <c r="TXB9" s="2"/>
      <c r="TXC9" s="2"/>
      <c r="TXD9" s="2"/>
      <c r="TXE9" s="2"/>
      <c r="TXF9" s="2"/>
      <c r="TXG9" s="2"/>
      <c r="TXH9" s="2"/>
      <c r="TXI9" s="2"/>
      <c r="TXJ9" s="2"/>
      <c r="TXK9" s="2"/>
      <c r="TXL9" s="2"/>
      <c r="TXM9" s="2"/>
      <c r="TXN9" s="2"/>
      <c r="TXO9" s="2"/>
      <c r="TXP9" s="2"/>
      <c r="TXQ9" s="2"/>
      <c r="TXR9" s="2"/>
      <c r="TXS9" s="2"/>
      <c r="TXT9" s="2"/>
      <c r="TXU9" s="2"/>
      <c r="TXV9" s="2"/>
      <c r="TXW9" s="2"/>
      <c r="TXX9" s="2"/>
      <c r="TXY9" s="2"/>
      <c r="TXZ9" s="2"/>
      <c r="TYA9" s="2"/>
      <c r="TYB9" s="2"/>
      <c r="TYC9" s="2"/>
      <c r="TYD9" s="2"/>
      <c r="TYE9" s="2"/>
      <c r="TYF9" s="2"/>
      <c r="TYG9" s="2"/>
      <c r="TYH9" s="2"/>
      <c r="TYI9" s="2"/>
      <c r="TYJ9" s="2"/>
      <c r="TYK9" s="2"/>
      <c r="TYL9" s="2"/>
      <c r="TYM9" s="2"/>
      <c r="TYN9" s="2"/>
      <c r="TYO9" s="2"/>
      <c r="TYP9" s="2"/>
      <c r="TYQ9" s="2"/>
      <c r="TYR9" s="2"/>
      <c r="TYS9" s="2"/>
      <c r="TYT9" s="2"/>
      <c r="TYU9" s="2"/>
      <c r="TYV9" s="2"/>
      <c r="TYW9" s="2"/>
      <c r="TYX9" s="2"/>
      <c r="TYY9" s="2"/>
      <c r="TYZ9" s="2"/>
      <c r="TZA9" s="2"/>
      <c r="TZB9" s="2"/>
      <c r="TZC9" s="2"/>
      <c r="TZD9" s="2"/>
      <c r="TZE9" s="2"/>
      <c r="TZF9" s="2"/>
      <c r="TZG9" s="2"/>
      <c r="TZH9" s="2"/>
      <c r="TZI9" s="2"/>
      <c r="TZJ9" s="2"/>
      <c r="TZK9" s="2"/>
      <c r="TZL9" s="2"/>
      <c r="TZM9" s="2"/>
      <c r="TZN9" s="2"/>
      <c r="TZO9" s="2"/>
      <c r="TZP9" s="2"/>
      <c r="TZQ9" s="2"/>
      <c r="TZR9" s="2"/>
      <c r="TZS9" s="2"/>
      <c r="TZT9" s="2"/>
      <c r="TZU9" s="2"/>
      <c r="TZV9" s="2"/>
      <c r="TZW9" s="2"/>
      <c r="TZX9" s="2"/>
      <c r="TZY9" s="2"/>
      <c r="TZZ9" s="2"/>
      <c r="UAA9" s="2"/>
      <c r="UAB9" s="2"/>
      <c r="UAC9" s="2"/>
      <c r="UAD9" s="2"/>
      <c r="UAE9" s="2"/>
      <c r="UAF9" s="2"/>
      <c r="UAG9" s="2"/>
      <c r="UAH9" s="2"/>
      <c r="UAI9" s="2"/>
      <c r="UAJ9" s="2"/>
      <c r="UAK9" s="2"/>
      <c r="UAL9" s="2"/>
      <c r="UAM9" s="2"/>
      <c r="UAN9" s="2"/>
      <c r="UAO9" s="2"/>
      <c r="UAP9" s="2"/>
      <c r="UAQ9" s="2"/>
      <c r="UAR9" s="2"/>
      <c r="UAS9" s="2"/>
      <c r="UAT9" s="2"/>
      <c r="UAU9" s="2"/>
      <c r="UAV9" s="2"/>
      <c r="UAW9" s="2"/>
      <c r="UAX9" s="2"/>
      <c r="UAY9" s="2"/>
      <c r="UAZ9" s="2"/>
      <c r="UBA9" s="2"/>
      <c r="UBB9" s="2"/>
      <c r="UBC9" s="2"/>
      <c r="UBD9" s="2"/>
      <c r="UBE9" s="2"/>
      <c r="UBF9" s="2"/>
      <c r="UBG9" s="2"/>
      <c r="UBH9" s="2"/>
      <c r="UBI9" s="2"/>
      <c r="UBJ9" s="2"/>
      <c r="UBK9" s="2"/>
      <c r="UBL9" s="2"/>
      <c r="UBM9" s="2"/>
      <c r="UBN9" s="2"/>
      <c r="UBO9" s="2"/>
      <c r="UBP9" s="2"/>
      <c r="UBQ9" s="2"/>
      <c r="UBR9" s="2"/>
      <c r="UBS9" s="2"/>
      <c r="UBT9" s="2"/>
      <c r="UBU9" s="2"/>
      <c r="UBV9" s="2"/>
      <c r="UBW9" s="2"/>
      <c r="UBX9" s="2"/>
      <c r="UBY9" s="2"/>
      <c r="UBZ9" s="2"/>
      <c r="UCA9" s="2"/>
      <c r="UCB9" s="2"/>
      <c r="UCC9" s="2"/>
      <c r="UCD9" s="2"/>
      <c r="UCE9" s="2"/>
      <c r="UCF9" s="2"/>
      <c r="UCG9" s="2"/>
      <c r="UCH9" s="2"/>
      <c r="UCI9" s="2"/>
      <c r="UCJ9" s="2"/>
      <c r="UCK9" s="2"/>
      <c r="UCL9" s="2"/>
      <c r="UCM9" s="2"/>
      <c r="UCN9" s="2"/>
      <c r="UCO9" s="2"/>
      <c r="UCP9" s="2"/>
      <c r="UCQ9" s="2"/>
      <c r="UCR9" s="2"/>
      <c r="UCS9" s="2"/>
      <c r="UCT9" s="2"/>
      <c r="UCU9" s="2"/>
      <c r="UCV9" s="2"/>
      <c r="UCW9" s="2"/>
      <c r="UCX9" s="2"/>
      <c r="UCY9" s="2"/>
      <c r="UCZ9" s="2"/>
      <c r="UDA9" s="2"/>
      <c r="UDB9" s="2"/>
      <c r="UDC9" s="2"/>
      <c r="UDD9" s="2"/>
      <c r="UDE9" s="2"/>
      <c r="UDF9" s="2"/>
      <c r="UDG9" s="2"/>
      <c r="UDH9" s="2"/>
      <c r="UDI9" s="2"/>
      <c r="UDJ9" s="2"/>
      <c r="UDK9" s="2"/>
      <c r="UDL9" s="2"/>
      <c r="UDM9" s="2"/>
      <c r="UDN9" s="2"/>
      <c r="UDO9" s="2"/>
      <c r="UDP9" s="2"/>
      <c r="UDQ9" s="2"/>
      <c r="UDR9" s="2"/>
      <c r="UDS9" s="2"/>
      <c r="UDT9" s="2"/>
      <c r="UDU9" s="2"/>
      <c r="UDV9" s="2"/>
      <c r="UDW9" s="2"/>
      <c r="UDX9" s="2"/>
      <c r="UDY9" s="2"/>
      <c r="UDZ9" s="2"/>
      <c r="UEA9" s="2"/>
      <c r="UEB9" s="2"/>
      <c r="UEC9" s="2"/>
      <c r="UED9" s="2"/>
      <c r="UEE9" s="2"/>
      <c r="UEF9" s="2"/>
      <c r="UEG9" s="2"/>
      <c r="UEH9" s="2"/>
      <c r="UEI9" s="2"/>
      <c r="UEJ9" s="2"/>
      <c r="UEK9" s="2"/>
      <c r="UEL9" s="2"/>
      <c r="UEM9" s="2"/>
      <c r="UEN9" s="2"/>
      <c r="UEO9" s="2"/>
      <c r="UEP9" s="2"/>
      <c r="UEQ9" s="2"/>
      <c r="UER9" s="2"/>
      <c r="UES9" s="2"/>
      <c r="UET9" s="2"/>
      <c r="UEU9" s="2"/>
      <c r="UEV9" s="2"/>
      <c r="UEW9" s="2"/>
      <c r="UEX9" s="2"/>
      <c r="UEY9" s="2"/>
      <c r="UEZ9" s="2"/>
      <c r="UFA9" s="2"/>
      <c r="UFB9" s="2"/>
      <c r="UFC9" s="2"/>
      <c r="UFD9" s="2"/>
      <c r="UFE9" s="2"/>
      <c r="UFF9" s="2"/>
      <c r="UFG9" s="2"/>
      <c r="UFH9" s="2"/>
      <c r="UFI9" s="2"/>
      <c r="UFJ9" s="2"/>
      <c r="UFK9" s="2"/>
      <c r="UFL9" s="2"/>
      <c r="UFM9" s="2"/>
      <c r="UFN9" s="2"/>
      <c r="UFO9" s="2"/>
      <c r="UFP9" s="2"/>
      <c r="UFQ9" s="2"/>
      <c r="UFR9" s="2"/>
      <c r="UFS9" s="2"/>
      <c r="UFT9" s="2"/>
      <c r="UFU9" s="2"/>
      <c r="UFV9" s="2"/>
      <c r="UFW9" s="2"/>
      <c r="UFX9" s="2"/>
      <c r="UFY9" s="2"/>
      <c r="UFZ9" s="2"/>
      <c r="UGA9" s="2"/>
      <c r="UGB9" s="2"/>
      <c r="UGC9" s="2"/>
      <c r="UGD9" s="2"/>
      <c r="UGE9" s="2"/>
      <c r="UGF9" s="2"/>
      <c r="UGG9" s="2"/>
      <c r="UGH9" s="2"/>
      <c r="UGI9" s="2"/>
      <c r="UGJ9" s="2"/>
      <c r="UGK9" s="2"/>
      <c r="UGL9" s="2"/>
      <c r="UGM9" s="2"/>
      <c r="UGN9" s="2"/>
      <c r="UGO9" s="2"/>
      <c r="UGP9" s="2"/>
      <c r="UGQ9" s="2"/>
      <c r="UGR9" s="2"/>
      <c r="UGS9" s="2"/>
      <c r="UGT9" s="2"/>
      <c r="UGU9" s="2"/>
      <c r="UGV9" s="2"/>
      <c r="UGW9" s="2"/>
      <c r="UGX9" s="2"/>
      <c r="UGY9" s="2"/>
      <c r="UGZ9" s="2"/>
      <c r="UHA9" s="2"/>
      <c r="UHB9" s="2"/>
      <c r="UHC9" s="2"/>
      <c r="UHD9" s="2"/>
      <c r="UHE9" s="2"/>
      <c r="UHF9" s="2"/>
      <c r="UHG9" s="2"/>
      <c r="UHH9" s="2"/>
      <c r="UHI9" s="2"/>
      <c r="UHJ9" s="2"/>
      <c r="UHK9" s="2"/>
      <c r="UHL9" s="2"/>
      <c r="UHM9" s="2"/>
      <c r="UHN9" s="2"/>
      <c r="UHO9" s="2"/>
      <c r="UHP9" s="2"/>
      <c r="UHQ9" s="2"/>
      <c r="UHR9" s="2"/>
      <c r="UHS9" s="2"/>
      <c r="UHT9" s="2"/>
      <c r="UHU9" s="2"/>
      <c r="UHV9" s="2"/>
      <c r="UHW9" s="2"/>
      <c r="UHX9" s="2"/>
      <c r="UHY9" s="2"/>
      <c r="UHZ9" s="2"/>
      <c r="UIA9" s="2"/>
      <c r="UIB9" s="2"/>
      <c r="UIC9" s="2"/>
      <c r="UID9" s="2"/>
      <c r="UIE9" s="2"/>
      <c r="UIF9" s="2"/>
      <c r="UIG9" s="2"/>
      <c r="UIH9" s="2"/>
      <c r="UII9" s="2"/>
      <c r="UIJ9" s="2"/>
      <c r="UIK9" s="2"/>
      <c r="UIL9" s="2"/>
      <c r="UIM9" s="2"/>
      <c r="UIN9" s="2"/>
      <c r="UIO9" s="2"/>
      <c r="UIP9" s="2"/>
      <c r="UIQ9" s="2"/>
      <c r="UIR9" s="2"/>
      <c r="UIS9" s="2"/>
      <c r="UIT9" s="2"/>
      <c r="UIU9" s="2"/>
      <c r="UIV9" s="2"/>
      <c r="UIW9" s="2"/>
      <c r="UIX9" s="2"/>
      <c r="UIY9" s="2"/>
      <c r="UIZ9" s="2"/>
      <c r="UJA9" s="2"/>
      <c r="UJB9" s="2"/>
      <c r="UJC9" s="2"/>
      <c r="UJD9" s="2"/>
      <c r="UJE9" s="2"/>
      <c r="UJF9" s="2"/>
      <c r="UJG9" s="2"/>
      <c r="UJH9" s="2"/>
      <c r="UJI9" s="2"/>
      <c r="UJJ9" s="2"/>
      <c r="UJK9" s="2"/>
      <c r="UJL9" s="2"/>
      <c r="UJM9" s="2"/>
      <c r="UJN9" s="2"/>
      <c r="UJO9" s="2"/>
      <c r="UJP9" s="2"/>
      <c r="UJQ9" s="2"/>
      <c r="UJR9" s="2"/>
      <c r="UJS9" s="2"/>
      <c r="UJT9" s="2"/>
      <c r="UJU9" s="2"/>
      <c r="UJV9" s="2"/>
      <c r="UJW9" s="2"/>
      <c r="UJX9" s="2"/>
      <c r="UJY9" s="2"/>
      <c r="UJZ9" s="2"/>
      <c r="UKA9" s="2"/>
      <c r="UKB9" s="2"/>
      <c r="UKC9" s="2"/>
      <c r="UKD9" s="2"/>
      <c r="UKE9" s="2"/>
      <c r="UKF9" s="2"/>
      <c r="UKG9" s="2"/>
      <c r="UKH9" s="2"/>
      <c r="UKI9" s="2"/>
      <c r="UKJ9" s="2"/>
      <c r="UKK9" s="2"/>
      <c r="UKL9" s="2"/>
      <c r="UKM9" s="2"/>
      <c r="UKN9" s="2"/>
      <c r="UKO9" s="2"/>
      <c r="UKP9" s="2"/>
      <c r="UKQ9" s="2"/>
      <c r="UKR9" s="2"/>
      <c r="UKS9" s="2"/>
      <c r="UKT9" s="2"/>
      <c r="UKU9" s="2"/>
      <c r="UKV9" s="2"/>
      <c r="UKW9" s="2"/>
      <c r="UKX9" s="2"/>
      <c r="UKY9" s="2"/>
      <c r="UKZ9" s="2"/>
      <c r="ULA9" s="2"/>
      <c r="ULB9" s="2"/>
      <c r="ULC9" s="2"/>
      <c r="ULD9" s="2"/>
      <c r="ULE9" s="2"/>
      <c r="ULF9" s="2"/>
      <c r="ULG9" s="2"/>
      <c r="ULH9" s="2"/>
      <c r="ULI9" s="2"/>
      <c r="ULJ9" s="2"/>
      <c r="ULK9" s="2"/>
      <c r="ULL9" s="2"/>
      <c r="ULM9" s="2"/>
      <c r="ULN9" s="2"/>
      <c r="ULO9" s="2"/>
      <c r="ULP9" s="2"/>
      <c r="ULQ9" s="2"/>
      <c r="ULR9" s="2"/>
      <c r="ULS9" s="2"/>
      <c r="ULT9" s="2"/>
      <c r="ULU9" s="2"/>
      <c r="ULV9" s="2"/>
      <c r="ULW9" s="2"/>
      <c r="ULX9" s="2"/>
      <c r="ULY9" s="2"/>
      <c r="ULZ9" s="2"/>
      <c r="UMA9" s="2"/>
      <c r="UMB9" s="2"/>
      <c r="UMC9" s="2"/>
      <c r="UMD9" s="2"/>
      <c r="UME9" s="2"/>
      <c r="UMF9" s="2"/>
      <c r="UMG9" s="2"/>
      <c r="UMH9" s="2"/>
      <c r="UMI9" s="2"/>
      <c r="UMJ9" s="2"/>
      <c r="UMK9" s="2"/>
      <c r="UML9" s="2"/>
      <c r="UMM9" s="2"/>
      <c r="UMN9" s="2"/>
      <c r="UMO9" s="2"/>
      <c r="UMP9" s="2"/>
      <c r="UMQ9" s="2"/>
      <c r="UMR9" s="2"/>
      <c r="UMS9" s="2"/>
      <c r="UMT9" s="2"/>
      <c r="UMU9" s="2"/>
      <c r="UMV9" s="2"/>
      <c r="UMW9" s="2"/>
      <c r="UMX9" s="2"/>
      <c r="UMY9" s="2"/>
      <c r="UMZ9" s="2"/>
      <c r="UNA9" s="2"/>
      <c r="UNB9" s="2"/>
      <c r="UNC9" s="2"/>
      <c r="UND9" s="2"/>
      <c r="UNE9" s="2"/>
      <c r="UNF9" s="2"/>
      <c r="UNG9" s="2"/>
      <c r="UNH9" s="2"/>
      <c r="UNI9" s="2"/>
      <c r="UNJ9" s="2"/>
      <c r="UNK9" s="2"/>
      <c r="UNL9" s="2"/>
      <c r="UNM9" s="2"/>
      <c r="UNN9" s="2"/>
      <c r="UNO9" s="2"/>
      <c r="UNP9" s="2"/>
      <c r="UNQ9" s="2"/>
      <c r="UNR9" s="2"/>
      <c r="UNS9" s="2"/>
      <c r="UNT9" s="2"/>
      <c r="UNU9" s="2"/>
      <c r="UNV9" s="2"/>
      <c r="UNW9" s="2"/>
      <c r="UNX9" s="2"/>
      <c r="UNY9" s="2"/>
      <c r="UNZ9" s="2"/>
      <c r="UOA9" s="2"/>
      <c r="UOB9" s="2"/>
      <c r="UOC9" s="2"/>
      <c r="UOD9" s="2"/>
      <c r="UOE9" s="2"/>
      <c r="UOF9" s="2"/>
      <c r="UOG9" s="2"/>
      <c r="UOH9" s="2"/>
      <c r="UOI9" s="2"/>
      <c r="UOJ9" s="2"/>
      <c r="UOK9" s="2"/>
      <c r="UOL9" s="2"/>
      <c r="UOM9" s="2"/>
      <c r="UON9" s="2"/>
      <c r="UOO9" s="2"/>
      <c r="UOP9" s="2"/>
      <c r="UOQ9" s="2"/>
      <c r="UOR9" s="2"/>
      <c r="UOS9" s="2"/>
      <c r="UOT9" s="2"/>
      <c r="UOU9" s="2"/>
      <c r="UOV9" s="2"/>
      <c r="UOW9" s="2"/>
      <c r="UOX9" s="2"/>
      <c r="UOY9" s="2"/>
      <c r="UOZ9" s="2"/>
      <c r="UPA9" s="2"/>
      <c r="UPB9" s="2"/>
      <c r="UPC9" s="2"/>
      <c r="UPD9" s="2"/>
      <c r="UPE9" s="2"/>
      <c r="UPF9" s="2"/>
      <c r="UPG9" s="2"/>
      <c r="UPH9" s="2"/>
      <c r="UPI9" s="2"/>
      <c r="UPJ9" s="2"/>
      <c r="UPK9" s="2"/>
      <c r="UPL9" s="2"/>
      <c r="UPM9" s="2"/>
      <c r="UPN9" s="2"/>
      <c r="UPO9" s="2"/>
      <c r="UPP9" s="2"/>
      <c r="UPQ9" s="2"/>
      <c r="UPR9" s="2"/>
      <c r="UPS9" s="2"/>
      <c r="UPT9" s="2"/>
      <c r="UPU9" s="2"/>
      <c r="UPV9" s="2"/>
      <c r="UPW9" s="2"/>
      <c r="UPX9" s="2"/>
      <c r="UPY9" s="2"/>
      <c r="UPZ9" s="2"/>
      <c r="UQA9" s="2"/>
      <c r="UQB9" s="2"/>
      <c r="UQC9" s="2"/>
      <c r="UQD9" s="2"/>
      <c r="UQE9" s="2"/>
      <c r="UQF9" s="2"/>
      <c r="UQG9" s="2"/>
      <c r="UQH9" s="2"/>
      <c r="UQI9" s="2"/>
      <c r="UQJ9" s="2"/>
      <c r="UQK9" s="2"/>
      <c r="UQL9" s="2"/>
      <c r="UQM9" s="2"/>
      <c r="UQN9" s="2"/>
      <c r="UQO9" s="2"/>
      <c r="UQP9" s="2"/>
      <c r="UQQ9" s="2"/>
      <c r="UQR9" s="2"/>
      <c r="UQS9" s="2"/>
      <c r="UQT9" s="2"/>
      <c r="UQU9" s="2"/>
      <c r="UQV9" s="2"/>
      <c r="UQW9" s="2"/>
      <c r="UQX9" s="2"/>
      <c r="UQY9" s="2"/>
      <c r="UQZ9" s="2"/>
      <c r="URA9" s="2"/>
      <c r="URB9" s="2"/>
      <c r="URC9" s="2"/>
      <c r="URD9" s="2"/>
      <c r="URE9" s="2"/>
      <c r="URF9" s="2"/>
      <c r="URG9" s="2"/>
      <c r="URH9" s="2"/>
      <c r="URI9" s="2"/>
      <c r="URJ9" s="2"/>
      <c r="URK9" s="2"/>
      <c r="URL9" s="2"/>
      <c r="URM9" s="2"/>
      <c r="URN9" s="2"/>
      <c r="URO9" s="2"/>
      <c r="URP9" s="2"/>
      <c r="URQ9" s="2"/>
      <c r="URR9" s="2"/>
      <c r="URS9" s="2"/>
      <c r="URT9" s="2"/>
      <c r="URU9" s="2"/>
      <c r="URV9" s="2"/>
      <c r="URW9" s="2"/>
      <c r="URX9" s="2"/>
      <c r="URY9" s="2"/>
      <c r="URZ9" s="2"/>
      <c r="USA9" s="2"/>
      <c r="USB9" s="2"/>
      <c r="USC9" s="2"/>
      <c r="USD9" s="2"/>
      <c r="USE9" s="2"/>
      <c r="USF9" s="2"/>
      <c r="USG9" s="2"/>
      <c r="USH9" s="2"/>
      <c r="USI9" s="2"/>
      <c r="USJ9" s="2"/>
      <c r="USK9" s="2"/>
      <c r="USL9" s="2"/>
      <c r="USM9" s="2"/>
      <c r="USN9" s="2"/>
      <c r="USO9" s="2"/>
      <c r="USP9" s="2"/>
      <c r="USQ9" s="2"/>
      <c r="USR9" s="2"/>
      <c r="USS9" s="2"/>
      <c r="UST9" s="2"/>
      <c r="USU9" s="2"/>
      <c r="USV9" s="2"/>
      <c r="USW9" s="2"/>
      <c r="USX9" s="2"/>
      <c r="USY9" s="2"/>
      <c r="USZ9" s="2"/>
      <c r="UTA9" s="2"/>
      <c r="UTB9" s="2"/>
      <c r="UTC9" s="2"/>
      <c r="UTD9" s="2"/>
      <c r="UTE9" s="2"/>
      <c r="UTF9" s="2"/>
      <c r="UTG9" s="2"/>
      <c r="UTH9" s="2"/>
      <c r="UTI9" s="2"/>
      <c r="UTJ9" s="2"/>
      <c r="UTK9" s="2"/>
      <c r="UTL9" s="2"/>
      <c r="UTM9" s="2"/>
      <c r="UTN9" s="2"/>
      <c r="UTO9" s="2"/>
      <c r="UTP9" s="2"/>
      <c r="UTQ9" s="2"/>
      <c r="UTR9" s="2"/>
      <c r="UTS9" s="2"/>
      <c r="UTT9" s="2"/>
      <c r="UTU9" s="2"/>
      <c r="UTV9" s="2"/>
      <c r="UTW9" s="2"/>
      <c r="UTX9" s="2"/>
      <c r="UTY9" s="2"/>
      <c r="UTZ9" s="2"/>
      <c r="UUA9" s="2"/>
      <c r="UUB9" s="2"/>
      <c r="UUC9" s="2"/>
      <c r="UUD9" s="2"/>
      <c r="UUE9" s="2"/>
      <c r="UUF9" s="2"/>
      <c r="UUG9" s="2"/>
      <c r="UUH9" s="2"/>
      <c r="UUI9" s="2"/>
      <c r="UUJ9" s="2"/>
      <c r="UUK9" s="2"/>
      <c r="UUL9" s="2"/>
      <c r="UUM9" s="2"/>
      <c r="UUN9" s="2"/>
      <c r="UUO9" s="2"/>
      <c r="UUP9" s="2"/>
      <c r="UUQ9" s="2"/>
      <c r="UUR9" s="2"/>
      <c r="UUS9" s="2"/>
      <c r="UUT9" s="2"/>
      <c r="UUU9" s="2"/>
      <c r="UUV9" s="2"/>
      <c r="UUW9" s="2"/>
      <c r="UUX9" s="2"/>
      <c r="UUY9" s="2"/>
      <c r="UUZ9" s="2"/>
      <c r="UVA9" s="2"/>
      <c r="UVB9" s="2"/>
      <c r="UVC9" s="2"/>
      <c r="UVD9" s="2"/>
      <c r="UVE9" s="2"/>
      <c r="UVF9" s="2"/>
      <c r="UVG9" s="2"/>
      <c r="UVH9" s="2"/>
      <c r="UVI9" s="2"/>
      <c r="UVJ9" s="2"/>
      <c r="UVK9" s="2"/>
      <c r="UVL9" s="2"/>
      <c r="UVM9" s="2"/>
      <c r="UVN9" s="2"/>
      <c r="UVO9" s="2"/>
      <c r="UVP9" s="2"/>
      <c r="UVQ9" s="2"/>
      <c r="UVR9" s="2"/>
      <c r="UVS9" s="2"/>
      <c r="UVT9" s="2"/>
      <c r="UVU9" s="2"/>
      <c r="UVV9" s="2"/>
      <c r="UVW9" s="2"/>
      <c r="UVX9" s="2"/>
      <c r="UVY9" s="2"/>
      <c r="UVZ9" s="2"/>
      <c r="UWA9" s="2"/>
      <c r="UWB9" s="2"/>
      <c r="UWC9" s="2"/>
      <c r="UWD9" s="2"/>
      <c r="UWE9" s="2"/>
      <c r="UWF9" s="2"/>
      <c r="UWG9" s="2"/>
      <c r="UWH9" s="2"/>
      <c r="UWI9" s="2"/>
      <c r="UWJ9" s="2"/>
      <c r="UWK9" s="2"/>
      <c r="UWL9" s="2"/>
      <c r="UWM9" s="2"/>
      <c r="UWN9" s="2"/>
      <c r="UWO9" s="2"/>
      <c r="UWP9" s="2"/>
      <c r="UWQ9" s="2"/>
      <c r="UWR9" s="2"/>
      <c r="UWS9" s="2"/>
      <c r="UWT9" s="2"/>
      <c r="UWU9" s="2"/>
      <c r="UWV9" s="2"/>
      <c r="UWW9" s="2"/>
      <c r="UWX9" s="2"/>
      <c r="UWY9" s="2"/>
      <c r="UWZ9" s="2"/>
      <c r="UXA9" s="2"/>
      <c r="UXB9" s="2"/>
      <c r="UXC9" s="2"/>
      <c r="UXD9" s="2"/>
      <c r="UXE9" s="2"/>
      <c r="UXF9" s="2"/>
      <c r="UXG9" s="2"/>
      <c r="UXH9" s="2"/>
      <c r="UXI9" s="2"/>
      <c r="UXJ9" s="2"/>
      <c r="UXK9" s="2"/>
      <c r="UXL9" s="2"/>
      <c r="UXM9" s="2"/>
      <c r="UXN9" s="2"/>
      <c r="UXO9" s="2"/>
      <c r="UXP9" s="2"/>
      <c r="UXQ9" s="2"/>
      <c r="UXR9" s="2"/>
      <c r="UXS9" s="2"/>
      <c r="UXT9" s="2"/>
      <c r="UXU9" s="2"/>
      <c r="UXV9" s="2"/>
      <c r="UXW9" s="2"/>
      <c r="UXX9" s="2"/>
      <c r="UXY9" s="2"/>
      <c r="UXZ9" s="2"/>
      <c r="UYA9" s="2"/>
      <c r="UYB9" s="2"/>
      <c r="UYC9" s="2"/>
      <c r="UYD9" s="2"/>
      <c r="UYE9" s="2"/>
      <c r="UYF9" s="2"/>
      <c r="UYG9" s="2"/>
      <c r="UYH9" s="2"/>
      <c r="UYI9" s="2"/>
      <c r="UYJ9" s="2"/>
      <c r="UYK9" s="2"/>
      <c r="UYL9" s="2"/>
      <c r="UYM9" s="2"/>
      <c r="UYN9" s="2"/>
      <c r="UYO9" s="2"/>
      <c r="UYP9" s="2"/>
      <c r="UYQ9" s="2"/>
      <c r="UYR9" s="2"/>
      <c r="UYS9" s="2"/>
      <c r="UYT9" s="2"/>
      <c r="UYU9" s="2"/>
      <c r="UYV9" s="2"/>
      <c r="UYW9" s="2"/>
      <c r="UYX9" s="2"/>
      <c r="UYY9" s="2"/>
      <c r="UYZ9" s="2"/>
      <c r="UZA9" s="2"/>
      <c r="UZB9" s="2"/>
      <c r="UZC9" s="2"/>
      <c r="UZD9" s="2"/>
      <c r="UZE9" s="2"/>
      <c r="UZF9" s="2"/>
      <c r="UZG9" s="2"/>
      <c r="UZH9" s="2"/>
      <c r="UZI9" s="2"/>
      <c r="UZJ9" s="2"/>
      <c r="UZK9" s="2"/>
      <c r="UZL9" s="2"/>
      <c r="UZM9" s="2"/>
      <c r="UZN9" s="2"/>
      <c r="UZO9" s="2"/>
      <c r="UZP9" s="2"/>
      <c r="UZQ9" s="2"/>
      <c r="UZR9" s="2"/>
      <c r="UZS9" s="2"/>
      <c r="UZT9" s="2"/>
      <c r="UZU9" s="2"/>
      <c r="UZV9" s="2"/>
      <c r="UZW9" s="2"/>
      <c r="UZX9" s="2"/>
      <c r="UZY9" s="2"/>
      <c r="UZZ9" s="2"/>
      <c r="VAA9" s="2"/>
      <c r="VAB9" s="2"/>
      <c r="VAC9" s="2"/>
      <c r="VAD9" s="2"/>
      <c r="VAE9" s="2"/>
      <c r="VAF9" s="2"/>
      <c r="VAG9" s="2"/>
      <c r="VAH9" s="2"/>
      <c r="VAI9" s="2"/>
      <c r="VAJ9" s="2"/>
      <c r="VAK9" s="2"/>
      <c r="VAL9" s="2"/>
      <c r="VAM9" s="2"/>
      <c r="VAN9" s="2"/>
      <c r="VAO9" s="2"/>
      <c r="VAP9" s="2"/>
      <c r="VAQ9" s="2"/>
      <c r="VAR9" s="2"/>
      <c r="VAS9" s="2"/>
      <c r="VAT9" s="2"/>
      <c r="VAU9" s="2"/>
      <c r="VAV9" s="2"/>
      <c r="VAW9" s="2"/>
      <c r="VAX9" s="2"/>
      <c r="VAY9" s="2"/>
      <c r="VAZ9" s="2"/>
      <c r="VBA9" s="2"/>
      <c r="VBB9" s="2"/>
      <c r="VBC9" s="2"/>
      <c r="VBD9" s="2"/>
      <c r="VBE9" s="2"/>
      <c r="VBF9" s="2"/>
      <c r="VBG9" s="2"/>
      <c r="VBH9" s="2"/>
      <c r="VBI9" s="2"/>
      <c r="VBJ9" s="2"/>
      <c r="VBK9" s="2"/>
      <c r="VBL9" s="2"/>
      <c r="VBM9" s="2"/>
      <c r="VBN9" s="2"/>
      <c r="VBO9" s="2"/>
      <c r="VBP9" s="2"/>
      <c r="VBQ9" s="2"/>
      <c r="VBR9" s="2"/>
      <c r="VBS9" s="2"/>
      <c r="VBT9" s="2"/>
      <c r="VBU9" s="2"/>
      <c r="VBV9" s="2"/>
      <c r="VBW9" s="2"/>
      <c r="VBX9" s="2"/>
      <c r="VBY9" s="2"/>
      <c r="VBZ9" s="2"/>
      <c r="VCA9" s="2"/>
      <c r="VCB9" s="2"/>
      <c r="VCC9" s="2"/>
      <c r="VCD9" s="2"/>
      <c r="VCE9" s="2"/>
      <c r="VCF9" s="2"/>
      <c r="VCG9" s="2"/>
      <c r="VCH9" s="2"/>
      <c r="VCI9" s="2"/>
      <c r="VCJ9" s="2"/>
      <c r="VCK9" s="2"/>
      <c r="VCL9" s="2"/>
      <c r="VCM9" s="2"/>
      <c r="VCN9" s="2"/>
      <c r="VCO9" s="2"/>
      <c r="VCP9" s="2"/>
      <c r="VCQ9" s="2"/>
      <c r="VCR9" s="2"/>
      <c r="VCS9" s="2"/>
      <c r="VCT9" s="2"/>
      <c r="VCU9" s="2"/>
      <c r="VCV9" s="2"/>
      <c r="VCW9" s="2"/>
      <c r="VCX9" s="2"/>
      <c r="VCY9" s="2"/>
      <c r="VCZ9" s="2"/>
      <c r="VDA9" s="2"/>
      <c r="VDB9" s="2"/>
      <c r="VDC9" s="2"/>
      <c r="VDD9" s="2"/>
      <c r="VDE9" s="2"/>
      <c r="VDF9" s="2"/>
      <c r="VDG9" s="2"/>
      <c r="VDH9" s="2"/>
      <c r="VDI9" s="2"/>
      <c r="VDJ9" s="2"/>
      <c r="VDK9" s="2"/>
      <c r="VDL9" s="2"/>
      <c r="VDM9" s="2"/>
      <c r="VDN9" s="2"/>
      <c r="VDO9" s="2"/>
      <c r="VDP9" s="2"/>
      <c r="VDQ9" s="2"/>
      <c r="VDR9" s="2"/>
      <c r="VDS9" s="2"/>
      <c r="VDT9" s="2"/>
      <c r="VDU9" s="2"/>
      <c r="VDV9" s="2"/>
      <c r="VDW9" s="2"/>
      <c r="VDX9" s="2"/>
      <c r="VDY9" s="2"/>
      <c r="VDZ9" s="2"/>
      <c r="VEA9" s="2"/>
      <c r="VEB9" s="2"/>
      <c r="VEC9" s="2"/>
      <c r="VED9" s="2"/>
      <c r="VEE9" s="2"/>
      <c r="VEF9" s="2"/>
      <c r="VEG9" s="2"/>
      <c r="VEH9" s="2"/>
      <c r="VEI9" s="2"/>
      <c r="VEJ9" s="2"/>
      <c r="VEK9" s="2"/>
      <c r="VEL9" s="2"/>
      <c r="VEM9" s="2"/>
      <c r="VEN9" s="2"/>
      <c r="VEO9" s="2"/>
      <c r="VEP9" s="2"/>
      <c r="VEQ9" s="2"/>
      <c r="VER9" s="2"/>
      <c r="VES9" s="2"/>
      <c r="VET9" s="2"/>
      <c r="VEU9" s="2"/>
      <c r="VEV9" s="2"/>
      <c r="VEW9" s="2"/>
      <c r="VEX9" s="2"/>
      <c r="VEY9" s="2"/>
      <c r="VEZ9" s="2"/>
      <c r="VFA9" s="2"/>
      <c r="VFB9" s="2"/>
      <c r="VFC9" s="2"/>
      <c r="VFD9" s="2"/>
      <c r="VFE9" s="2"/>
      <c r="VFF9" s="2"/>
      <c r="VFG9" s="2"/>
      <c r="VFH9" s="2"/>
      <c r="VFI9" s="2"/>
      <c r="VFJ9" s="2"/>
      <c r="VFK9" s="2"/>
      <c r="VFL9" s="2"/>
      <c r="VFM9" s="2"/>
      <c r="VFN9" s="2"/>
      <c r="VFO9" s="2"/>
      <c r="VFP9" s="2"/>
      <c r="VFQ9" s="2"/>
      <c r="VFR9" s="2"/>
      <c r="VFS9" s="2"/>
      <c r="VFT9" s="2"/>
      <c r="VFU9" s="2"/>
      <c r="VFV9" s="2"/>
      <c r="VFW9" s="2"/>
      <c r="VFX9" s="2"/>
      <c r="VFY9" s="2"/>
      <c r="VFZ9" s="2"/>
      <c r="VGA9" s="2"/>
      <c r="VGB9" s="2"/>
      <c r="VGC9" s="2"/>
      <c r="VGD9" s="2"/>
      <c r="VGE9" s="2"/>
      <c r="VGF9" s="2"/>
      <c r="VGG9" s="2"/>
      <c r="VGH9" s="2"/>
      <c r="VGI9" s="2"/>
      <c r="VGJ9" s="2"/>
      <c r="VGK9" s="2"/>
      <c r="VGL9" s="2"/>
      <c r="VGM9" s="2"/>
      <c r="VGN9" s="2"/>
      <c r="VGO9" s="2"/>
      <c r="VGP9" s="2"/>
      <c r="VGQ9" s="2"/>
      <c r="VGR9" s="2"/>
      <c r="VGS9" s="2"/>
      <c r="VGT9" s="2"/>
      <c r="VGU9" s="2"/>
      <c r="VGV9" s="2"/>
      <c r="VGW9" s="2"/>
      <c r="VGX9" s="2"/>
      <c r="VGY9" s="2"/>
      <c r="VGZ9" s="2"/>
      <c r="VHA9" s="2"/>
      <c r="VHB9" s="2"/>
      <c r="VHC9" s="2"/>
      <c r="VHD9" s="2"/>
      <c r="VHE9" s="2"/>
      <c r="VHF9" s="2"/>
      <c r="VHG9" s="2"/>
      <c r="VHH9" s="2"/>
      <c r="VHI9" s="2"/>
      <c r="VHJ9" s="2"/>
      <c r="VHK9" s="2"/>
      <c r="VHL9" s="2"/>
      <c r="VHM9" s="2"/>
      <c r="VHN9" s="2"/>
      <c r="VHO9" s="2"/>
      <c r="VHP9" s="2"/>
      <c r="VHQ9" s="2"/>
      <c r="VHR9" s="2"/>
      <c r="VHS9" s="2"/>
      <c r="VHT9" s="2"/>
      <c r="VHU9" s="2"/>
      <c r="VHV9" s="2"/>
      <c r="VHW9" s="2"/>
      <c r="VHX9" s="2"/>
      <c r="VHY9" s="2"/>
      <c r="VHZ9" s="2"/>
      <c r="VIA9" s="2"/>
      <c r="VIB9" s="2"/>
      <c r="VIC9" s="2"/>
      <c r="VID9" s="2"/>
      <c r="VIE9" s="2"/>
      <c r="VIF9" s="2"/>
      <c r="VIG9" s="2"/>
      <c r="VIH9" s="2"/>
      <c r="VII9" s="2"/>
      <c r="VIJ9" s="2"/>
      <c r="VIK9" s="2"/>
      <c r="VIL9" s="2"/>
      <c r="VIM9" s="2"/>
      <c r="VIN9" s="2"/>
      <c r="VIO9" s="2"/>
      <c r="VIP9" s="2"/>
      <c r="VIQ9" s="2"/>
      <c r="VIR9" s="2"/>
      <c r="VIS9" s="2"/>
      <c r="VIT9" s="2"/>
      <c r="VIU9" s="2"/>
      <c r="VIV9" s="2"/>
      <c r="VIW9" s="2"/>
      <c r="VIX9" s="2"/>
      <c r="VIY9" s="2"/>
      <c r="VIZ9" s="2"/>
      <c r="VJA9" s="2"/>
      <c r="VJB9" s="2"/>
      <c r="VJC9" s="2"/>
      <c r="VJD9" s="2"/>
      <c r="VJE9" s="2"/>
      <c r="VJF9" s="2"/>
      <c r="VJG9" s="2"/>
      <c r="VJH9" s="2"/>
      <c r="VJI9" s="2"/>
      <c r="VJJ9" s="2"/>
      <c r="VJK9" s="2"/>
      <c r="VJL9" s="2"/>
      <c r="VJM9" s="2"/>
      <c r="VJN9" s="2"/>
      <c r="VJO9" s="2"/>
      <c r="VJP9" s="2"/>
      <c r="VJQ9" s="2"/>
      <c r="VJR9" s="2"/>
      <c r="VJS9" s="2"/>
      <c r="VJT9" s="2"/>
      <c r="VJU9" s="2"/>
      <c r="VJV9" s="2"/>
      <c r="VJW9" s="2"/>
      <c r="VJX9" s="2"/>
      <c r="VJY9" s="2"/>
      <c r="VJZ9" s="2"/>
      <c r="VKA9" s="2"/>
      <c r="VKB9" s="2"/>
      <c r="VKC9" s="2"/>
      <c r="VKD9" s="2"/>
      <c r="VKE9" s="2"/>
      <c r="VKF9" s="2"/>
      <c r="VKG9" s="2"/>
      <c r="VKH9" s="2"/>
      <c r="VKI9" s="2"/>
      <c r="VKJ9" s="2"/>
      <c r="VKK9" s="2"/>
      <c r="VKL9" s="2"/>
      <c r="VKM9" s="2"/>
      <c r="VKN9" s="2"/>
      <c r="VKO9" s="2"/>
      <c r="VKP9" s="2"/>
      <c r="VKQ9" s="2"/>
      <c r="VKR9" s="2"/>
      <c r="VKS9" s="2"/>
      <c r="VKT9" s="2"/>
      <c r="VKU9" s="2"/>
      <c r="VKV9" s="2"/>
      <c r="VKW9" s="2"/>
      <c r="VKX9" s="2"/>
      <c r="VKY9" s="2"/>
      <c r="VKZ9" s="2"/>
      <c r="VLA9" s="2"/>
      <c r="VLB9" s="2"/>
      <c r="VLC9" s="2"/>
      <c r="VLD9" s="2"/>
      <c r="VLE9" s="2"/>
      <c r="VLF9" s="2"/>
      <c r="VLG9" s="2"/>
      <c r="VLH9" s="2"/>
      <c r="VLI9" s="2"/>
      <c r="VLJ9" s="2"/>
      <c r="VLK9" s="2"/>
      <c r="VLL9" s="2"/>
      <c r="VLM9" s="2"/>
      <c r="VLN9" s="2"/>
      <c r="VLO9" s="2"/>
      <c r="VLP9" s="2"/>
      <c r="VLQ9" s="2"/>
      <c r="VLR9" s="2"/>
      <c r="VLS9" s="2"/>
      <c r="VLT9" s="2"/>
      <c r="VLU9" s="2"/>
      <c r="VLV9" s="2"/>
      <c r="VLW9" s="2"/>
      <c r="VLX9" s="2"/>
      <c r="VLY9" s="2"/>
      <c r="VLZ9" s="2"/>
      <c r="VMA9" s="2"/>
      <c r="VMB9" s="2"/>
      <c r="VMC9" s="2"/>
      <c r="VMD9" s="2"/>
      <c r="VME9" s="2"/>
      <c r="VMF9" s="2"/>
      <c r="VMG9" s="2"/>
      <c r="VMH9" s="2"/>
      <c r="VMI9" s="2"/>
      <c r="VMJ9" s="2"/>
      <c r="VMK9" s="2"/>
      <c r="VML9" s="2"/>
      <c r="VMM9" s="2"/>
      <c r="VMN9" s="2"/>
      <c r="VMO9" s="2"/>
      <c r="VMP9" s="2"/>
      <c r="VMQ9" s="2"/>
      <c r="VMR9" s="2"/>
      <c r="VMS9" s="2"/>
      <c r="VMT9" s="2"/>
      <c r="VMU9" s="2"/>
      <c r="VMV9" s="2"/>
      <c r="VMW9" s="2"/>
      <c r="VMX9" s="2"/>
      <c r="VMY9" s="2"/>
      <c r="VMZ9" s="2"/>
      <c r="VNA9" s="2"/>
      <c r="VNB9" s="2"/>
      <c r="VNC9" s="2"/>
      <c r="VND9" s="2"/>
      <c r="VNE9" s="2"/>
      <c r="VNF9" s="2"/>
      <c r="VNG9" s="2"/>
      <c r="VNH9" s="2"/>
      <c r="VNI9" s="2"/>
      <c r="VNJ9" s="2"/>
      <c r="VNK9" s="2"/>
      <c r="VNL9" s="2"/>
      <c r="VNM9" s="2"/>
      <c r="VNN9" s="2"/>
      <c r="VNO9" s="2"/>
      <c r="VNP9" s="2"/>
      <c r="VNQ9" s="2"/>
      <c r="VNR9" s="2"/>
      <c r="VNS9" s="2"/>
      <c r="VNT9" s="2"/>
      <c r="VNU9" s="2"/>
      <c r="VNV9" s="2"/>
      <c r="VNW9" s="2"/>
      <c r="VNX9" s="2"/>
      <c r="VNY9" s="2"/>
      <c r="VNZ9" s="2"/>
      <c r="VOA9" s="2"/>
      <c r="VOB9" s="2"/>
      <c r="VOC9" s="2"/>
      <c r="VOD9" s="2"/>
      <c r="VOE9" s="2"/>
      <c r="VOF9" s="2"/>
      <c r="VOG9" s="2"/>
      <c r="VOH9" s="2"/>
      <c r="VOI9" s="2"/>
      <c r="VOJ9" s="2"/>
      <c r="VOK9" s="2"/>
      <c r="VOL9" s="2"/>
      <c r="VOM9" s="2"/>
      <c r="VON9" s="2"/>
      <c r="VOO9" s="2"/>
      <c r="VOP9" s="2"/>
      <c r="VOQ9" s="2"/>
      <c r="VOR9" s="2"/>
      <c r="VOS9" s="2"/>
      <c r="VOT9" s="2"/>
      <c r="VOU9" s="2"/>
      <c r="VOV9" s="2"/>
      <c r="VOW9" s="2"/>
      <c r="VOX9" s="2"/>
      <c r="VOY9" s="2"/>
      <c r="VOZ9" s="2"/>
      <c r="VPA9" s="2"/>
      <c r="VPB9" s="2"/>
      <c r="VPC9" s="2"/>
      <c r="VPD9" s="2"/>
      <c r="VPE9" s="2"/>
      <c r="VPF9" s="2"/>
      <c r="VPG9" s="2"/>
      <c r="VPH9" s="2"/>
      <c r="VPI9" s="2"/>
      <c r="VPJ9" s="2"/>
      <c r="VPK9" s="2"/>
      <c r="VPL9" s="2"/>
      <c r="VPM9" s="2"/>
      <c r="VPN9" s="2"/>
      <c r="VPO9" s="2"/>
      <c r="VPP9" s="2"/>
      <c r="VPQ9" s="2"/>
      <c r="VPR9" s="2"/>
      <c r="VPS9" s="2"/>
      <c r="VPT9" s="2"/>
      <c r="VPU9" s="2"/>
      <c r="VPV9" s="2"/>
      <c r="VPW9" s="2"/>
      <c r="VPX9" s="2"/>
      <c r="VPY9" s="2"/>
      <c r="VPZ9" s="2"/>
      <c r="VQA9" s="2"/>
      <c r="VQB9" s="2"/>
      <c r="VQC9" s="2"/>
      <c r="VQD9" s="2"/>
      <c r="VQE9" s="2"/>
      <c r="VQF9" s="2"/>
      <c r="VQG9" s="2"/>
      <c r="VQH9" s="2"/>
      <c r="VQI9" s="2"/>
      <c r="VQJ9" s="2"/>
      <c r="VQK9" s="2"/>
      <c r="VQL9" s="2"/>
      <c r="VQM9" s="2"/>
      <c r="VQN9" s="2"/>
      <c r="VQO9" s="2"/>
      <c r="VQP9" s="2"/>
      <c r="VQQ9" s="2"/>
      <c r="VQR9" s="2"/>
      <c r="VQS9" s="2"/>
      <c r="VQT9" s="2"/>
      <c r="VQU9" s="2"/>
      <c r="VQV9" s="2"/>
      <c r="VQW9" s="2"/>
      <c r="VQX9" s="2"/>
      <c r="VQY9" s="2"/>
      <c r="VQZ9" s="2"/>
      <c r="VRA9" s="2"/>
      <c r="VRB9" s="2"/>
      <c r="VRC9" s="2"/>
      <c r="VRD9" s="2"/>
      <c r="VRE9" s="2"/>
      <c r="VRF9" s="2"/>
      <c r="VRG9" s="2"/>
      <c r="VRH9" s="2"/>
      <c r="VRI9" s="2"/>
      <c r="VRJ9" s="2"/>
      <c r="VRK9" s="2"/>
      <c r="VRL9" s="2"/>
      <c r="VRM9" s="2"/>
      <c r="VRN9" s="2"/>
      <c r="VRO9" s="2"/>
      <c r="VRP9" s="2"/>
      <c r="VRQ9" s="2"/>
      <c r="VRR9" s="2"/>
      <c r="VRS9" s="2"/>
      <c r="VRT9" s="2"/>
      <c r="VRU9" s="2"/>
      <c r="VRV9" s="2"/>
      <c r="VRW9" s="2"/>
      <c r="VRX9" s="2"/>
      <c r="VRY9" s="2"/>
      <c r="VRZ9" s="2"/>
      <c r="VSA9" s="2"/>
      <c r="VSB9" s="2"/>
      <c r="VSC9" s="2"/>
      <c r="VSD9" s="2"/>
      <c r="VSE9" s="2"/>
      <c r="VSF9" s="2"/>
      <c r="VSG9" s="2"/>
      <c r="VSH9" s="2"/>
      <c r="VSI9" s="2"/>
      <c r="VSJ9" s="2"/>
      <c r="VSK9" s="2"/>
      <c r="VSL9" s="2"/>
      <c r="VSM9" s="2"/>
      <c r="VSN9" s="2"/>
      <c r="VSO9" s="2"/>
      <c r="VSP9" s="2"/>
      <c r="VSQ9" s="2"/>
      <c r="VSR9" s="2"/>
      <c r="VSS9" s="2"/>
      <c r="VST9" s="2"/>
      <c r="VSU9" s="2"/>
      <c r="VSV9" s="2"/>
      <c r="VSW9" s="2"/>
      <c r="VSX9" s="2"/>
      <c r="VSY9" s="2"/>
      <c r="VSZ9" s="2"/>
      <c r="VTA9" s="2"/>
      <c r="VTB9" s="2"/>
      <c r="VTC9" s="2"/>
      <c r="VTD9" s="2"/>
      <c r="VTE9" s="2"/>
      <c r="VTF9" s="2"/>
      <c r="VTG9" s="2"/>
      <c r="VTH9" s="2"/>
      <c r="VTI9" s="2"/>
      <c r="VTJ9" s="2"/>
      <c r="VTK9" s="2"/>
      <c r="VTL9" s="2"/>
      <c r="VTM9" s="2"/>
      <c r="VTN9" s="2"/>
      <c r="VTO9" s="2"/>
      <c r="VTP9" s="2"/>
      <c r="VTQ9" s="2"/>
      <c r="VTR9" s="2"/>
      <c r="VTS9" s="2"/>
      <c r="VTT9" s="2"/>
      <c r="VTU9" s="2"/>
      <c r="VTV9" s="2"/>
      <c r="VTW9" s="2"/>
      <c r="VTX9" s="2"/>
      <c r="VTY9" s="2"/>
      <c r="VTZ9" s="2"/>
      <c r="VUA9" s="2"/>
      <c r="VUB9" s="2"/>
      <c r="VUC9" s="2"/>
      <c r="VUD9" s="2"/>
      <c r="VUE9" s="2"/>
      <c r="VUF9" s="2"/>
      <c r="VUG9" s="2"/>
      <c r="VUH9" s="2"/>
      <c r="VUI9" s="2"/>
      <c r="VUJ9" s="2"/>
      <c r="VUK9" s="2"/>
      <c r="VUL9" s="2"/>
      <c r="VUM9" s="2"/>
      <c r="VUN9" s="2"/>
      <c r="VUO9" s="2"/>
      <c r="VUP9" s="2"/>
      <c r="VUQ9" s="2"/>
      <c r="VUR9" s="2"/>
      <c r="VUS9" s="2"/>
      <c r="VUT9" s="2"/>
      <c r="VUU9" s="2"/>
      <c r="VUV9" s="2"/>
      <c r="VUW9" s="2"/>
      <c r="VUX9" s="2"/>
      <c r="VUY9" s="2"/>
      <c r="VUZ9" s="2"/>
      <c r="VVA9" s="2"/>
      <c r="VVB9" s="2"/>
      <c r="VVC9" s="2"/>
      <c r="VVD9" s="2"/>
      <c r="VVE9" s="2"/>
      <c r="VVF9" s="2"/>
      <c r="VVG9" s="2"/>
      <c r="VVH9" s="2"/>
      <c r="VVI9" s="2"/>
      <c r="VVJ9" s="2"/>
      <c r="VVK9" s="2"/>
      <c r="VVL9" s="2"/>
      <c r="VVM9" s="2"/>
      <c r="VVN9" s="2"/>
      <c r="VVO9" s="2"/>
      <c r="VVP9" s="2"/>
      <c r="VVQ9" s="2"/>
      <c r="VVR9" s="2"/>
      <c r="VVS9" s="2"/>
      <c r="VVT9" s="2"/>
      <c r="VVU9" s="2"/>
      <c r="VVV9" s="2"/>
      <c r="VVW9" s="2"/>
      <c r="VVX9" s="2"/>
      <c r="VVY9" s="2"/>
      <c r="VVZ9" s="2"/>
      <c r="VWA9" s="2"/>
      <c r="VWB9" s="2"/>
      <c r="VWC9" s="2"/>
      <c r="VWD9" s="2"/>
      <c r="VWE9" s="2"/>
      <c r="VWF9" s="2"/>
      <c r="VWG9" s="2"/>
      <c r="VWH9" s="2"/>
      <c r="VWI9" s="2"/>
      <c r="VWJ9" s="2"/>
      <c r="VWK9" s="2"/>
      <c r="VWL9" s="2"/>
      <c r="VWM9" s="2"/>
      <c r="VWN9" s="2"/>
      <c r="VWO9" s="2"/>
      <c r="VWP9" s="2"/>
      <c r="VWQ9" s="2"/>
      <c r="VWR9" s="2"/>
      <c r="VWS9" s="2"/>
      <c r="VWT9" s="2"/>
      <c r="VWU9" s="2"/>
      <c r="VWV9" s="2"/>
      <c r="VWW9" s="2"/>
      <c r="VWX9" s="2"/>
      <c r="VWY9" s="2"/>
      <c r="VWZ9" s="2"/>
      <c r="VXA9" s="2"/>
      <c r="VXB9" s="2"/>
      <c r="VXC9" s="2"/>
      <c r="VXD9" s="2"/>
      <c r="VXE9" s="2"/>
      <c r="VXF9" s="2"/>
      <c r="VXG9" s="2"/>
      <c r="VXH9" s="2"/>
      <c r="VXI9" s="2"/>
      <c r="VXJ9" s="2"/>
      <c r="VXK9" s="2"/>
      <c r="VXL9" s="2"/>
      <c r="VXM9" s="2"/>
      <c r="VXN9" s="2"/>
      <c r="VXO9" s="2"/>
      <c r="VXP9" s="2"/>
      <c r="VXQ9" s="2"/>
      <c r="VXR9" s="2"/>
      <c r="VXS9" s="2"/>
      <c r="VXT9" s="2"/>
      <c r="VXU9" s="2"/>
      <c r="VXV9" s="2"/>
      <c r="VXW9" s="2"/>
      <c r="VXX9" s="2"/>
      <c r="VXY9" s="2"/>
      <c r="VXZ9" s="2"/>
      <c r="VYA9" s="2"/>
      <c r="VYB9" s="2"/>
      <c r="VYC9" s="2"/>
      <c r="VYD9" s="2"/>
      <c r="VYE9" s="2"/>
      <c r="VYF9" s="2"/>
      <c r="VYG9" s="2"/>
      <c r="VYH9" s="2"/>
      <c r="VYI9" s="2"/>
      <c r="VYJ9" s="2"/>
      <c r="VYK9" s="2"/>
      <c r="VYL9" s="2"/>
      <c r="VYM9" s="2"/>
      <c r="VYN9" s="2"/>
      <c r="VYO9" s="2"/>
      <c r="VYP9" s="2"/>
      <c r="VYQ9" s="2"/>
      <c r="VYR9" s="2"/>
      <c r="VYS9" s="2"/>
      <c r="VYT9" s="2"/>
      <c r="VYU9" s="2"/>
      <c r="VYV9" s="2"/>
      <c r="VYW9" s="2"/>
      <c r="VYX9" s="2"/>
      <c r="VYY9" s="2"/>
      <c r="VYZ9" s="2"/>
      <c r="VZA9" s="2"/>
      <c r="VZB9" s="2"/>
      <c r="VZC9" s="2"/>
      <c r="VZD9" s="2"/>
      <c r="VZE9" s="2"/>
      <c r="VZF9" s="2"/>
      <c r="VZG9" s="2"/>
      <c r="VZH9" s="2"/>
      <c r="VZI9" s="2"/>
      <c r="VZJ9" s="2"/>
      <c r="VZK9" s="2"/>
      <c r="VZL9" s="2"/>
      <c r="VZM9" s="2"/>
      <c r="VZN9" s="2"/>
      <c r="VZO9" s="2"/>
      <c r="VZP9" s="2"/>
      <c r="VZQ9" s="2"/>
      <c r="VZR9" s="2"/>
      <c r="VZS9" s="2"/>
      <c r="VZT9" s="2"/>
      <c r="VZU9" s="2"/>
      <c r="VZV9" s="2"/>
      <c r="VZW9" s="2"/>
      <c r="VZX9" s="2"/>
      <c r="VZY9" s="2"/>
      <c r="VZZ9" s="2"/>
      <c r="WAA9" s="2"/>
      <c r="WAB9" s="2"/>
      <c r="WAC9" s="2"/>
      <c r="WAD9" s="2"/>
      <c r="WAE9" s="2"/>
      <c r="WAF9" s="2"/>
      <c r="WAG9" s="2"/>
      <c r="WAH9" s="2"/>
      <c r="WAI9" s="2"/>
      <c r="WAJ9" s="2"/>
      <c r="WAK9" s="2"/>
      <c r="WAL9" s="2"/>
      <c r="WAM9" s="2"/>
      <c r="WAN9" s="2"/>
      <c r="WAO9" s="2"/>
      <c r="WAP9" s="2"/>
      <c r="WAQ9" s="2"/>
      <c r="WAR9" s="2"/>
      <c r="WAS9" s="2"/>
      <c r="WAT9" s="2"/>
      <c r="WAU9" s="2"/>
      <c r="WAV9" s="2"/>
      <c r="WAW9" s="2"/>
      <c r="WAX9" s="2"/>
      <c r="WAY9" s="2"/>
      <c r="WAZ9" s="2"/>
      <c r="WBA9" s="2"/>
      <c r="WBB9" s="2"/>
      <c r="WBC9" s="2"/>
      <c r="WBD9" s="2"/>
      <c r="WBE9" s="2"/>
      <c r="WBF9" s="2"/>
      <c r="WBG9" s="2"/>
      <c r="WBH9" s="2"/>
      <c r="WBI9" s="2"/>
      <c r="WBJ9" s="2"/>
      <c r="WBK9" s="2"/>
      <c r="WBL9" s="2"/>
      <c r="WBM9" s="2"/>
      <c r="WBN9" s="2"/>
      <c r="WBO9" s="2"/>
      <c r="WBP9" s="2"/>
      <c r="WBQ9" s="2"/>
      <c r="WBR9" s="2"/>
      <c r="WBS9" s="2"/>
      <c r="WBT9" s="2"/>
      <c r="WBU9" s="2"/>
      <c r="WBV9" s="2"/>
      <c r="WBW9" s="2"/>
      <c r="WBX9" s="2"/>
      <c r="WBY9" s="2"/>
      <c r="WBZ9" s="2"/>
      <c r="WCA9" s="2"/>
      <c r="WCB9" s="2"/>
      <c r="WCC9" s="2"/>
      <c r="WCD9" s="2"/>
      <c r="WCE9" s="2"/>
      <c r="WCF9" s="2"/>
      <c r="WCG9" s="2"/>
      <c r="WCH9" s="2"/>
      <c r="WCI9" s="2"/>
      <c r="WCJ9" s="2"/>
      <c r="WCK9" s="2"/>
      <c r="WCL9" s="2"/>
      <c r="WCM9" s="2"/>
      <c r="WCN9" s="2"/>
      <c r="WCO9" s="2"/>
      <c r="WCP9" s="2"/>
      <c r="WCQ9" s="2"/>
      <c r="WCR9" s="2"/>
      <c r="WCS9" s="2"/>
      <c r="WCT9" s="2"/>
      <c r="WCU9" s="2"/>
      <c r="WCV9" s="2"/>
      <c r="WCW9" s="2"/>
      <c r="WCX9" s="2"/>
      <c r="WCY9" s="2"/>
      <c r="WCZ9" s="2"/>
      <c r="WDA9" s="2"/>
      <c r="WDB9" s="2"/>
      <c r="WDC9" s="2"/>
      <c r="WDD9" s="2"/>
      <c r="WDE9" s="2"/>
      <c r="WDF9" s="2"/>
      <c r="WDG9" s="2"/>
      <c r="WDH9" s="2"/>
      <c r="WDI9" s="2"/>
      <c r="WDJ9" s="2"/>
      <c r="WDK9" s="2"/>
      <c r="WDL9" s="2"/>
      <c r="WDM9" s="2"/>
      <c r="WDN9" s="2"/>
      <c r="WDO9" s="2"/>
      <c r="WDP9" s="2"/>
      <c r="WDQ9" s="2"/>
      <c r="WDR9" s="2"/>
      <c r="WDS9" s="2"/>
      <c r="WDT9" s="2"/>
      <c r="WDU9" s="2"/>
      <c r="WDV9" s="2"/>
      <c r="WDW9" s="2"/>
      <c r="WDX9" s="2"/>
      <c r="WDY9" s="2"/>
      <c r="WDZ9" s="2"/>
      <c r="WEA9" s="2"/>
      <c r="WEB9" s="2"/>
      <c r="WEC9" s="2"/>
      <c r="WED9" s="2"/>
      <c r="WEE9" s="2"/>
      <c r="WEF9" s="2"/>
      <c r="WEG9" s="2"/>
      <c r="WEH9" s="2"/>
      <c r="WEI9" s="2"/>
      <c r="WEJ9" s="2"/>
      <c r="WEK9" s="2"/>
      <c r="WEL9" s="2"/>
      <c r="WEM9" s="2"/>
      <c r="WEN9" s="2"/>
      <c r="WEO9" s="2"/>
      <c r="WEP9" s="2"/>
      <c r="WEQ9" s="2"/>
      <c r="WER9" s="2"/>
      <c r="WES9" s="2"/>
      <c r="WET9" s="2"/>
      <c r="WEU9" s="2"/>
      <c r="WEV9" s="2"/>
      <c r="WEW9" s="2"/>
      <c r="WEX9" s="2"/>
      <c r="WEY9" s="2"/>
      <c r="WEZ9" s="2"/>
      <c r="WFA9" s="2"/>
      <c r="WFB9" s="2"/>
      <c r="WFC9" s="2"/>
      <c r="WFD9" s="2"/>
      <c r="WFE9" s="2"/>
      <c r="WFF9" s="2"/>
      <c r="WFG9" s="2"/>
      <c r="WFH9" s="2"/>
      <c r="WFI9" s="2"/>
      <c r="WFJ9" s="2"/>
      <c r="WFK9" s="2"/>
      <c r="WFL9" s="2"/>
      <c r="WFM9" s="2"/>
      <c r="WFN9" s="2"/>
      <c r="WFO9" s="2"/>
      <c r="WFP9" s="2"/>
      <c r="WFQ9" s="2"/>
      <c r="WFR9" s="2"/>
      <c r="WFS9" s="2"/>
      <c r="WFT9" s="2"/>
      <c r="WFU9" s="2"/>
      <c r="WFV9" s="2"/>
      <c r="WFW9" s="2"/>
      <c r="WFX9" s="2"/>
      <c r="WFY9" s="2"/>
      <c r="WFZ9" s="2"/>
      <c r="WGA9" s="2"/>
      <c r="WGB9" s="2"/>
      <c r="WGC9" s="2"/>
      <c r="WGD9" s="2"/>
      <c r="WGE9" s="2"/>
      <c r="WGF9" s="2"/>
      <c r="WGG9" s="2"/>
      <c r="WGH9" s="2"/>
      <c r="WGI9" s="2"/>
      <c r="WGJ9" s="2"/>
      <c r="WGK9" s="2"/>
      <c r="WGL9" s="2"/>
      <c r="WGM9" s="2"/>
      <c r="WGN9" s="2"/>
      <c r="WGO9" s="2"/>
      <c r="WGP9" s="2"/>
      <c r="WGQ9" s="2"/>
      <c r="WGR9" s="2"/>
      <c r="WGS9" s="2"/>
      <c r="WGT9" s="2"/>
      <c r="WGU9" s="2"/>
      <c r="WGV9" s="2"/>
      <c r="WGW9" s="2"/>
      <c r="WGX9" s="2"/>
      <c r="WGY9" s="2"/>
      <c r="WGZ9" s="2"/>
      <c r="WHA9" s="2"/>
      <c r="WHB9" s="2"/>
      <c r="WHC9" s="2"/>
      <c r="WHD9" s="2"/>
      <c r="WHE9" s="2"/>
      <c r="WHF9" s="2"/>
      <c r="WHG9" s="2"/>
      <c r="WHH9" s="2"/>
      <c r="WHI9" s="2"/>
      <c r="WHJ9" s="2"/>
      <c r="WHK9" s="2"/>
      <c r="WHL9" s="2"/>
      <c r="WHM9" s="2"/>
      <c r="WHN9" s="2"/>
      <c r="WHO9" s="2"/>
      <c r="WHP9" s="2"/>
      <c r="WHQ9" s="2"/>
      <c r="WHR9" s="2"/>
      <c r="WHS9" s="2"/>
      <c r="WHT9" s="2"/>
      <c r="WHU9" s="2"/>
      <c r="WHV9" s="2"/>
      <c r="WHW9" s="2"/>
      <c r="WHX9" s="2"/>
      <c r="WHY9" s="2"/>
      <c r="WHZ9" s="2"/>
      <c r="WIA9" s="2"/>
      <c r="WIB9" s="2"/>
      <c r="WIC9" s="2"/>
      <c r="WID9" s="2"/>
      <c r="WIE9" s="2"/>
      <c r="WIF9" s="2"/>
      <c r="WIG9" s="2"/>
      <c r="WIH9" s="2"/>
      <c r="WII9" s="2"/>
      <c r="WIJ9" s="2"/>
      <c r="WIK9" s="2"/>
      <c r="WIL9" s="2"/>
      <c r="WIM9" s="2"/>
      <c r="WIN9" s="2"/>
      <c r="WIO9" s="2"/>
      <c r="WIP9" s="2"/>
      <c r="WIQ9" s="2"/>
      <c r="WIR9" s="2"/>
      <c r="WIS9" s="2"/>
      <c r="WIT9" s="2"/>
      <c r="WIU9" s="2"/>
      <c r="WIV9" s="2"/>
      <c r="WIW9" s="2"/>
      <c r="WIX9" s="2"/>
      <c r="WIY9" s="2"/>
      <c r="WIZ9" s="2"/>
      <c r="WJA9" s="2"/>
      <c r="WJB9" s="2"/>
      <c r="WJC9" s="2"/>
      <c r="WJD9" s="2"/>
      <c r="WJE9" s="2"/>
      <c r="WJF9" s="2"/>
      <c r="WJG9" s="2"/>
      <c r="WJH9" s="2"/>
      <c r="WJI9" s="2"/>
      <c r="WJJ9" s="2"/>
      <c r="WJK9" s="2"/>
      <c r="WJL9" s="2"/>
      <c r="WJM9" s="2"/>
      <c r="WJN9" s="2"/>
      <c r="WJO9" s="2"/>
      <c r="WJP9" s="2"/>
      <c r="WJQ9" s="2"/>
      <c r="WJR9" s="2"/>
      <c r="WJS9" s="2"/>
      <c r="WJT9" s="2"/>
      <c r="WJU9" s="2"/>
      <c r="WJV9" s="2"/>
      <c r="WJW9" s="2"/>
      <c r="WJX9" s="2"/>
      <c r="WJY9" s="2"/>
      <c r="WJZ9" s="2"/>
      <c r="WKA9" s="2"/>
      <c r="WKB9" s="2"/>
      <c r="WKC9" s="2"/>
      <c r="WKD9" s="2"/>
      <c r="WKE9" s="2"/>
      <c r="WKF9" s="2"/>
      <c r="WKG9" s="2"/>
      <c r="WKH9" s="2"/>
      <c r="WKI9" s="2"/>
      <c r="WKJ9" s="2"/>
      <c r="WKK9" s="2"/>
      <c r="WKL9" s="2"/>
      <c r="WKM9" s="2"/>
      <c r="WKN9" s="2"/>
      <c r="WKO9" s="2"/>
      <c r="WKP9" s="2"/>
      <c r="WKQ9" s="2"/>
      <c r="WKR9" s="2"/>
      <c r="WKS9" s="2"/>
      <c r="WKT9" s="2"/>
      <c r="WKU9" s="2"/>
      <c r="WKV9" s="2"/>
      <c r="WKW9" s="2"/>
      <c r="WKX9" s="2"/>
      <c r="WKY9" s="2"/>
      <c r="WKZ9" s="2"/>
      <c r="WLA9" s="2"/>
      <c r="WLB9" s="2"/>
      <c r="WLC9" s="2"/>
      <c r="WLD9" s="2"/>
      <c r="WLE9" s="2"/>
      <c r="WLF9" s="2"/>
      <c r="WLG9" s="2"/>
      <c r="WLH9" s="2"/>
      <c r="WLI9" s="2"/>
      <c r="WLJ9" s="2"/>
      <c r="WLK9" s="2"/>
      <c r="WLL9" s="2"/>
      <c r="WLM9" s="2"/>
      <c r="WLN9" s="2"/>
      <c r="WLO9" s="2"/>
      <c r="WLP9" s="2"/>
      <c r="WLQ9" s="2"/>
      <c r="WLR9" s="2"/>
      <c r="WLS9" s="2"/>
      <c r="WLT9" s="2"/>
      <c r="WLU9" s="2"/>
      <c r="WLV9" s="2"/>
      <c r="WLW9" s="2"/>
      <c r="WLX9" s="2"/>
      <c r="WLY9" s="2"/>
      <c r="WLZ9" s="2"/>
      <c r="WMA9" s="2"/>
      <c r="WMB9" s="2"/>
      <c r="WMC9" s="2"/>
      <c r="WMD9" s="2"/>
      <c r="WME9" s="2"/>
      <c r="WMF9" s="2"/>
      <c r="WMG9" s="2"/>
      <c r="WMH9" s="2"/>
      <c r="WMI9" s="2"/>
      <c r="WMJ9" s="2"/>
      <c r="WMK9" s="2"/>
      <c r="WML9" s="2"/>
      <c r="WMM9" s="2"/>
      <c r="WMN9" s="2"/>
      <c r="WMO9" s="2"/>
      <c r="WMP9" s="2"/>
      <c r="WMQ9" s="2"/>
      <c r="WMR9" s="2"/>
      <c r="WMS9" s="2"/>
      <c r="WMT9" s="2"/>
      <c r="WMU9" s="2"/>
      <c r="WMV9" s="2"/>
      <c r="WMW9" s="2"/>
      <c r="WMX9" s="2"/>
      <c r="WMY9" s="2"/>
      <c r="WMZ9" s="2"/>
      <c r="WNA9" s="2"/>
      <c r="WNB9" s="2"/>
      <c r="WNC9" s="2"/>
      <c r="WND9" s="2"/>
      <c r="WNE9" s="2"/>
      <c r="WNF9" s="2"/>
      <c r="WNG9" s="2"/>
      <c r="WNH9" s="2"/>
      <c r="WNI9" s="2"/>
      <c r="WNJ9" s="2"/>
      <c r="WNK9" s="2"/>
      <c r="WNL9" s="2"/>
      <c r="WNM9" s="2"/>
      <c r="WNN9" s="2"/>
      <c r="WNO9" s="2"/>
      <c r="WNP9" s="2"/>
      <c r="WNQ9" s="2"/>
      <c r="WNR9" s="2"/>
      <c r="WNS9" s="2"/>
      <c r="WNT9" s="2"/>
      <c r="WNU9" s="2"/>
      <c r="WNV9" s="2"/>
      <c r="WNW9" s="2"/>
      <c r="WNX9" s="2"/>
      <c r="WNY9" s="2"/>
      <c r="WNZ9" s="2"/>
      <c r="WOA9" s="2"/>
      <c r="WOB9" s="2"/>
      <c r="WOC9" s="2"/>
      <c r="WOD9" s="2"/>
      <c r="WOE9" s="2"/>
      <c r="WOF9" s="2"/>
      <c r="WOG9" s="2"/>
      <c r="WOH9" s="2"/>
      <c r="WOI9" s="2"/>
      <c r="WOJ9" s="2"/>
      <c r="WOK9" s="2"/>
      <c r="WOL9" s="2"/>
      <c r="WOM9" s="2"/>
      <c r="WON9" s="2"/>
      <c r="WOO9" s="2"/>
      <c r="WOP9" s="2"/>
      <c r="WOQ9" s="2"/>
      <c r="WOR9" s="2"/>
      <c r="WOS9" s="2"/>
      <c r="WOT9" s="2"/>
      <c r="WOU9" s="2"/>
      <c r="WOV9" s="2"/>
      <c r="WOW9" s="2"/>
      <c r="WOX9" s="2"/>
      <c r="WOY9" s="2"/>
      <c r="WOZ9" s="2"/>
      <c r="WPA9" s="2"/>
      <c r="WPB9" s="2"/>
      <c r="WPC9" s="2"/>
      <c r="WPD9" s="2"/>
      <c r="WPE9" s="2"/>
      <c r="WPF9" s="2"/>
      <c r="WPG9" s="2"/>
      <c r="WPH9" s="2"/>
      <c r="WPI9" s="2"/>
      <c r="WPJ9" s="2"/>
      <c r="WPK9" s="2"/>
      <c r="WPL9" s="2"/>
      <c r="WPM9" s="2"/>
      <c r="WPN9" s="2"/>
      <c r="WPO9" s="2"/>
      <c r="WPP9" s="2"/>
      <c r="WPQ9" s="2"/>
      <c r="WPR9" s="2"/>
      <c r="WPS9" s="2"/>
      <c r="WPT9" s="2"/>
      <c r="WPU9" s="2"/>
      <c r="WPV9" s="2"/>
      <c r="WPW9" s="2"/>
      <c r="WPX9" s="2"/>
      <c r="WPY9" s="2"/>
      <c r="WPZ9" s="2"/>
      <c r="WQA9" s="2"/>
      <c r="WQB9" s="2"/>
      <c r="WQC9" s="2"/>
      <c r="WQD9" s="2"/>
      <c r="WQE9" s="2"/>
      <c r="WQF9" s="2"/>
      <c r="WQG9" s="2"/>
      <c r="WQH9" s="2"/>
      <c r="WQI9" s="2"/>
      <c r="WQJ9" s="2"/>
      <c r="WQK9" s="2"/>
      <c r="WQL9" s="2"/>
      <c r="WQM9" s="2"/>
      <c r="WQN9" s="2"/>
      <c r="WQO9" s="2"/>
      <c r="WQP9" s="2"/>
      <c r="WQQ9" s="2"/>
      <c r="WQR9" s="2"/>
      <c r="WQS9" s="2"/>
      <c r="WQT9" s="2"/>
      <c r="WQU9" s="2"/>
      <c r="WQV9" s="2"/>
      <c r="WQW9" s="2"/>
      <c r="WQX9" s="2"/>
      <c r="WQY9" s="2"/>
      <c r="WQZ9" s="2"/>
      <c r="WRA9" s="2"/>
      <c r="WRB9" s="2"/>
      <c r="WRC9" s="2"/>
      <c r="WRD9" s="2"/>
      <c r="WRE9" s="2"/>
      <c r="WRF9" s="2"/>
      <c r="WRG9" s="2"/>
      <c r="WRH9" s="2"/>
      <c r="WRI9" s="2"/>
      <c r="WRJ9" s="2"/>
      <c r="WRK9" s="2"/>
      <c r="WRL9" s="2"/>
      <c r="WRM9" s="2"/>
      <c r="WRN9" s="2"/>
      <c r="WRO9" s="2"/>
      <c r="WRP9" s="2"/>
      <c r="WRQ9" s="2"/>
      <c r="WRR9" s="2"/>
      <c r="WRS9" s="2"/>
      <c r="WRT9" s="2"/>
      <c r="WRU9" s="2"/>
      <c r="WRV9" s="2"/>
      <c r="WRW9" s="2"/>
      <c r="WRX9" s="2"/>
      <c r="WRY9" s="2"/>
      <c r="WRZ9" s="2"/>
      <c r="WSA9" s="2"/>
      <c r="WSB9" s="2"/>
      <c r="WSC9" s="2"/>
      <c r="WSD9" s="2"/>
      <c r="WSE9" s="2"/>
      <c r="WSF9" s="2"/>
      <c r="WSG9" s="2"/>
      <c r="WSH9" s="2"/>
      <c r="WSI9" s="2"/>
      <c r="WSJ9" s="2"/>
      <c r="WSK9" s="2"/>
      <c r="WSL9" s="2"/>
      <c r="WSM9" s="2"/>
      <c r="WSN9" s="2"/>
      <c r="WSO9" s="2"/>
      <c r="WSP9" s="2"/>
      <c r="WSQ9" s="2"/>
      <c r="WSR9" s="2"/>
      <c r="WSS9" s="2"/>
      <c r="WST9" s="2"/>
      <c r="WSU9" s="2"/>
      <c r="WSV9" s="2"/>
      <c r="WSW9" s="2"/>
      <c r="WSX9" s="2"/>
      <c r="WSY9" s="2"/>
      <c r="WSZ9" s="2"/>
      <c r="WTA9" s="2"/>
      <c r="WTB9" s="2"/>
      <c r="WTC9" s="2"/>
      <c r="WTD9" s="2"/>
      <c r="WTE9" s="2"/>
      <c r="WTF9" s="2"/>
      <c r="WTG9" s="2"/>
      <c r="WTH9" s="2"/>
      <c r="WTI9" s="2"/>
      <c r="WTJ9" s="2"/>
      <c r="WTK9" s="2"/>
      <c r="WTL9" s="2"/>
      <c r="WTM9" s="2"/>
      <c r="WTN9" s="2"/>
      <c r="WTO9" s="2"/>
      <c r="WTP9" s="2"/>
      <c r="WTQ9" s="2"/>
      <c r="WTR9" s="2"/>
      <c r="WTS9" s="2"/>
      <c r="WTT9" s="2"/>
      <c r="WTU9" s="2"/>
      <c r="WTV9" s="2"/>
      <c r="WTW9" s="2"/>
      <c r="WTX9" s="2"/>
      <c r="WTY9" s="2"/>
      <c r="WTZ9" s="2"/>
      <c r="WUA9" s="2"/>
      <c r="WUB9" s="2"/>
      <c r="WUC9" s="2"/>
      <c r="WUD9" s="2"/>
      <c r="WUE9" s="2"/>
      <c r="WUF9" s="2"/>
      <c r="WUG9" s="2"/>
      <c r="WUH9" s="2"/>
      <c r="WUI9" s="2"/>
      <c r="WUJ9" s="2"/>
      <c r="WUK9" s="2"/>
      <c r="WUL9" s="2"/>
      <c r="WUM9" s="2"/>
      <c r="WUN9" s="2"/>
      <c r="WUO9" s="2"/>
      <c r="WUP9" s="2"/>
      <c r="WUQ9" s="2"/>
      <c r="WUR9" s="2"/>
      <c r="WUS9" s="2"/>
      <c r="WUT9" s="2"/>
      <c r="WUU9" s="2"/>
      <c r="WUV9" s="2"/>
      <c r="WUW9" s="2"/>
      <c r="WUX9" s="2"/>
      <c r="WUY9" s="2"/>
      <c r="WUZ9" s="2"/>
      <c r="WVA9" s="2"/>
      <c r="WVB9" s="2"/>
      <c r="WVC9" s="2"/>
      <c r="WVD9" s="2"/>
      <c r="WVE9" s="2"/>
      <c r="WVF9" s="2"/>
      <c r="WVG9" s="2"/>
      <c r="WVH9" s="2"/>
      <c r="WVI9" s="2"/>
      <c r="WVJ9" s="2"/>
      <c r="WVK9" s="2"/>
      <c r="WVL9" s="2"/>
      <c r="WVM9" s="2"/>
      <c r="WVN9" s="2"/>
      <c r="WVO9" s="2"/>
      <c r="WVP9" s="2"/>
      <c r="WVQ9" s="2"/>
      <c r="WVR9" s="2"/>
      <c r="WVS9" s="2"/>
      <c r="WVT9" s="2"/>
      <c r="WVU9" s="2"/>
      <c r="WVV9" s="2"/>
      <c r="WVW9" s="2"/>
      <c r="WVX9" s="2"/>
      <c r="WVY9" s="2"/>
      <c r="WVZ9" s="2"/>
      <c r="WWA9" s="2"/>
      <c r="WWB9" s="2"/>
      <c r="WWC9" s="2"/>
      <c r="WWD9" s="2"/>
      <c r="WWE9" s="2"/>
      <c r="WWF9" s="2"/>
      <c r="WWG9" s="2"/>
      <c r="WWH9" s="2"/>
      <c r="WWI9" s="2"/>
      <c r="WWJ9" s="2"/>
      <c r="WWK9" s="2"/>
      <c r="WWL9" s="2"/>
      <c r="WWM9" s="2"/>
      <c r="WWN9" s="2"/>
      <c r="WWO9" s="2"/>
      <c r="WWP9" s="2"/>
      <c r="WWQ9" s="2"/>
      <c r="WWR9" s="2"/>
      <c r="WWS9" s="2"/>
      <c r="WWT9" s="2"/>
      <c r="WWU9" s="2"/>
      <c r="WWV9" s="2"/>
      <c r="WWW9" s="2"/>
      <c r="WWX9" s="2"/>
      <c r="WWY9" s="2"/>
      <c r="WWZ9" s="2"/>
      <c r="WXA9" s="2"/>
      <c r="WXB9" s="2"/>
      <c r="WXC9" s="2"/>
      <c r="WXD9" s="2"/>
      <c r="WXE9" s="2"/>
      <c r="WXF9" s="2"/>
      <c r="WXG9" s="2"/>
      <c r="WXH9" s="2"/>
      <c r="WXI9" s="2"/>
      <c r="WXJ9" s="2"/>
      <c r="WXK9" s="2"/>
      <c r="WXL9" s="2"/>
      <c r="WXM9" s="2"/>
      <c r="WXN9" s="2"/>
      <c r="WXO9" s="2"/>
      <c r="WXP9" s="2"/>
      <c r="WXQ9" s="2"/>
      <c r="WXR9" s="2"/>
      <c r="WXS9" s="2"/>
      <c r="WXT9" s="2"/>
      <c r="WXU9" s="2"/>
      <c r="WXV9" s="2"/>
      <c r="WXW9" s="2"/>
      <c r="WXX9" s="2"/>
      <c r="WXY9" s="2"/>
      <c r="WXZ9" s="2"/>
      <c r="WYA9" s="2"/>
      <c r="WYB9" s="2"/>
      <c r="WYC9" s="2"/>
      <c r="WYD9" s="2"/>
      <c r="WYE9" s="2"/>
      <c r="WYF9" s="2"/>
      <c r="WYG9" s="2"/>
      <c r="WYH9" s="2"/>
      <c r="WYI9" s="2"/>
      <c r="WYJ9" s="2"/>
      <c r="WYK9" s="2"/>
      <c r="WYL9" s="2"/>
      <c r="WYM9" s="2"/>
      <c r="WYN9" s="2"/>
      <c r="WYO9" s="2"/>
      <c r="WYP9" s="2"/>
      <c r="WYQ9" s="2"/>
      <c r="WYR9" s="2"/>
      <c r="WYS9" s="2"/>
      <c r="WYT9" s="2"/>
      <c r="WYU9" s="2"/>
      <c r="WYV9" s="2"/>
      <c r="WYW9" s="2"/>
      <c r="WYX9" s="2"/>
      <c r="WYY9" s="2"/>
      <c r="WYZ9" s="2"/>
      <c r="WZA9" s="2"/>
      <c r="WZB9" s="2"/>
      <c r="WZC9" s="2"/>
      <c r="WZD9" s="2"/>
      <c r="WZE9" s="2"/>
      <c r="WZF9" s="2"/>
      <c r="WZG9" s="2"/>
      <c r="WZH9" s="2"/>
      <c r="WZI9" s="2"/>
      <c r="WZJ9" s="2"/>
      <c r="WZK9" s="2"/>
      <c r="WZL9" s="2"/>
      <c r="WZM9" s="2"/>
      <c r="WZN9" s="2"/>
      <c r="WZO9" s="2"/>
      <c r="WZP9" s="2"/>
      <c r="WZQ9" s="2"/>
      <c r="WZR9" s="2"/>
      <c r="WZS9" s="2"/>
      <c r="WZT9" s="2"/>
      <c r="WZU9" s="2"/>
      <c r="WZV9" s="2"/>
      <c r="WZW9" s="2"/>
      <c r="WZX9" s="2"/>
      <c r="WZY9" s="2"/>
      <c r="WZZ9" s="2"/>
      <c r="XAA9" s="2"/>
      <c r="XAB9" s="2"/>
      <c r="XAC9" s="2"/>
      <c r="XAD9" s="2"/>
      <c r="XAE9" s="2"/>
      <c r="XAF9" s="2"/>
      <c r="XAG9" s="2"/>
      <c r="XAH9" s="2"/>
      <c r="XAI9" s="2"/>
      <c r="XAJ9" s="2"/>
      <c r="XAK9" s="2"/>
      <c r="XAL9" s="2"/>
      <c r="XAM9" s="2"/>
      <c r="XAN9" s="2"/>
      <c r="XAO9" s="2"/>
      <c r="XAP9" s="2"/>
      <c r="XAQ9" s="2"/>
      <c r="XAR9" s="2"/>
      <c r="XAS9" s="2"/>
      <c r="XAT9" s="2"/>
      <c r="XAU9" s="2"/>
      <c r="XAV9" s="2"/>
      <c r="XAW9" s="2"/>
      <c r="XAX9" s="2"/>
      <c r="XAY9" s="2"/>
      <c r="XAZ9" s="2"/>
      <c r="XBA9" s="2"/>
      <c r="XBB9" s="2"/>
      <c r="XBC9" s="2"/>
      <c r="XBD9" s="2"/>
      <c r="XBE9" s="2"/>
      <c r="XBF9" s="2"/>
      <c r="XBG9" s="2"/>
      <c r="XBH9" s="2"/>
      <c r="XBI9" s="2"/>
      <c r="XBJ9" s="2"/>
      <c r="XBK9" s="2"/>
      <c r="XBL9" s="2"/>
      <c r="XBM9" s="2"/>
      <c r="XBN9" s="2"/>
      <c r="XBO9" s="2"/>
      <c r="XBP9" s="2"/>
      <c r="XBQ9" s="2"/>
      <c r="XBR9" s="2"/>
      <c r="XBS9" s="2"/>
      <c r="XBT9" s="2"/>
      <c r="XBU9" s="2"/>
      <c r="XBV9" s="2"/>
      <c r="XBW9" s="2"/>
      <c r="XBX9" s="2"/>
      <c r="XBY9" s="2"/>
      <c r="XBZ9" s="2"/>
      <c r="XCA9" s="2"/>
      <c r="XCB9" s="2"/>
      <c r="XCC9" s="2"/>
      <c r="XCD9" s="2"/>
      <c r="XCE9" s="2"/>
      <c r="XCF9" s="2"/>
      <c r="XCG9" s="2"/>
      <c r="XCH9" s="2"/>
      <c r="XCI9" s="2"/>
      <c r="XCJ9" s="2"/>
      <c r="XCK9" s="2"/>
      <c r="XCL9" s="2"/>
      <c r="XCM9" s="2"/>
      <c r="XCN9" s="2"/>
      <c r="XCO9" s="2"/>
      <c r="XCP9" s="2"/>
      <c r="XCQ9" s="2"/>
      <c r="XCR9" s="2"/>
      <c r="XCS9" s="2"/>
      <c r="XCT9" s="2"/>
      <c r="XCU9" s="2"/>
      <c r="XCV9" s="2"/>
      <c r="XCW9" s="2"/>
      <c r="XCX9" s="2"/>
      <c r="XCY9" s="2"/>
      <c r="XCZ9" s="2"/>
      <c r="XDA9" s="2"/>
      <c r="XDB9" s="2"/>
      <c r="XDC9" s="2"/>
      <c r="XDD9" s="2"/>
      <c r="XDE9" s="2"/>
      <c r="XDF9" s="2"/>
      <c r="XDG9" s="2"/>
      <c r="XDH9" s="2"/>
      <c r="XDI9" s="2"/>
      <c r="XDJ9" s="2"/>
      <c r="XDK9" s="2"/>
      <c r="XDL9" s="2"/>
      <c r="XDM9" s="2"/>
      <c r="XDN9" s="2"/>
      <c r="XDO9" s="2"/>
      <c r="XDP9" s="2"/>
      <c r="XDQ9" s="2"/>
      <c r="XDR9" s="2"/>
      <c r="XDS9" s="2"/>
      <c r="XDT9" s="2"/>
      <c r="XDU9" s="2"/>
      <c r="XDV9" s="2"/>
      <c r="XDW9" s="2"/>
      <c r="XDX9" s="2"/>
      <c r="XDY9" s="2"/>
      <c r="XDZ9" s="2"/>
      <c r="XEA9" s="2"/>
      <c r="XEB9" s="2"/>
      <c r="XEC9" s="2"/>
    </row>
    <row r="10" spans="1:16384" customFormat="1" ht="15.95" customHeight="1" x14ac:dyDescent="0.25">
      <c r="A10" s="19" t="s">
        <v>160</v>
      </c>
      <c r="B10" s="19" t="s">
        <v>159</v>
      </c>
      <c r="C10" s="33">
        <v>1</v>
      </c>
      <c r="D10" s="33">
        <v>1</v>
      </c>
      <c r="E10" s="33">
        <v>1</v>
      </c>
      <c r="F10" s="33">
        <v>4</v>
      </c>
      <c r="G10" s="33">
        <v>1</v>
      </c>
      <c r="H10" s="33" cm="1">
        <f t="array" ref="H10">G10*_xlfn.IFS(Настройки!$B$2="M",'Печатные изд.'!C10,Настройки!$B$2="L",'Печатные изд.'!D10,Настройки!$B$2="XL",'Печатные изд.'!E10)</f>
        <v>1</v>
      </c>
      <c r="I10" s="41">
        <f t="shared" si="0"/>
        <v>4</v>
      </c>
      <c r="J10" s="33" t="s">
        <v>509</v>
      </c>
      <c r="K10" s="41" cm="1">
        <f t="array" ref="K10">_xlfn.IFS(J10="Высоконагруженная",Настройки!$B$6,J10="Средне-нагруженная",Настройки!$B$7,J10="Ненагруженная",Настройки!$B$8,J10="Гибкая",Настройки!$B$9)</f>
        <v>1.21</v>
      </c>
      <c r="L10" s="41" cm="1">
        <f t="array" ref="L10">_xlfn.IFS(J10="Высоконагруженная",Настройки!$C$6,J10="Средне-нагруженная",Настройки!$C$7,J10="Ненагруженная",Настройки!$C$8,J10="Гибкая",Настройки!$C$9)/1000</f>
        <v>5</v>
      </c>
      <c r="M10" s="51">
        <f t="shared" si="1"/>
        <v>4.84</v>
      </c>
      <c r="N10" s="51">
        <f t="shared" si="2"/>
        <v>0</v>
      </c>
      <c r="O10" s="51">
        <f t="shared" si="3"/>
        <v>0</v>
      </c>
      <c r="P10" s="51">
        <f t="shared" si="4"/>
        <v>0</v>
      </c>
      <c r="Q10" s="52">
        <f t="shared" si="5"/>
        <v>24.2</v>
      </c>
      <c r="R10" s="43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B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  <c r="CEP10" s="2"/>
      <c r="CEQ10" s="2"/>
      <c r="CER10" s="2"/>
      <c r="CES10" s="2"/>
      <c r="CET10" s="2"/>
      <c r="CEU10" s="2"/>
      <c r="CEV10" s="2"/>
      <c r="CEW10" s="2"/>
      <c r="CEX10" s="2"/>
      <c r="CEY10" s="2"/>
      <c r="CEZ10" s="2"/>
      <c r="CFA10" s="2"/>
      <c r="CFB10" s="2"/>
      <c r="CFC10" s="2"/>
      <c r="CFD10" s="2"/>
      <c r="CFE10" s="2"/>
      <c r="CFF10" s="2"/>
      <c r="CFG10" s="2"/>
      <c r="CFH10" s="2"/>
      <c r="CFI10" s="2"/>
      <c r="CFJ10" s="2"/>
      <c r="CFK10" s="2"/>
      <c r="CFL10" s="2"/>
      <c r="CFM10" s="2"/>
      <c r="CFN10" s="2"/>
      <c r="CFO10" s="2"/>
      <c r="CFP10" s="2"/>
      <c r="CFQ10" s="2"/>
      <c r="CFR10" s="2"/>
      <c r="CFS10" s="2"/>
      <c r="CFT10" s="2"/>
      <c r="CFU10" s="2"/>
      <c r="CFV10" s="2"/>
      <c r="CFW10" s="2"/>
      <c r="CFX10" s="2"/>
      <c r="CFY10" s="2"/>
      <c r="CFZ10" s="2"/>
      <c r="CGA10" s="2"/>
      <c r="CGB10" s="2"/>
      <c r="CGC10" s="2"/>
      <c r="CGD10" s="2"/>
      <c r="CGE10" s="2"/>
      <c r="CGF10" s="2"/>
      <c r="CGG10" s="2"/>
      <c r="CGH10" s="2"/>
      <c r="CGI10" s="2"/>
      <c r="CGJ10" s="2"/>
      <c r="CGK10" s="2"/>
      <c r="CGL10" s="2"/>
      <c r="CGM10" s="2"/>
      <c r="CGN10" s="2"/>
      <c r="CGO10" s="2"/>
      <c r="CGP10" s="2"/>
      <c r="CGQ10" s="2"/>
      <c r="CGR10" s="2"/>
      <c r="CGS10" s="2"/>
      <c r="CGT10" s="2"/>
      <c r="CGU10" s="2"/>
      <c r="CGV10" s="2"/>
      <c r="CGW10" s="2"/>
      <c r="CGX10" s="2"/>
      <c r="CGY10" s="2"/>
      <c r="CGZ10" s="2"/>
      <c r="CHA10" s="2"/>
      <c r="CHB10" s="2"/>
      <c r="CHC10" s="2"/>
      <c r="CHD10" s="2"/>
      <c r="CHE10" s="2"/>
      <c r="CHF10" s="2"/>
      <c r="CHG10" s="2"/>
      <c r="CHH10" s="2"/>
      <c r="CHI10" s="2"/>
      <c r="CHJ10" s="2"/>
      <c r="CHK10" s="2"/>
      <c r="CHL10" s="2"/>
      <c r="CHM10" s="2"/>
      <c r="CHN10" s="2"/>
      <c r="CHO10" s="2"/>
      <c r="CHP10" s="2"/>
      <c r="CHQ10" s="2"/>
      <c r="CHR10" s="2"/>
      <c r="CHS10" s="2"/>
      <c r="CHT10" s="2"/>
      <c r="CHU10" s="2"/>
      <c r="CHV10" s="2"/>
      <c r="CHW10" s="2"/>
      <c r="CHX10" s="2"/>
      <c r="CHY10" s="2"/>
      <c r="CHZ10" s="2"/>
      <c r="CIA10" s="2"/>
      <c r="CIB10" s="2"/>
      <c r="CIC10" s="2"/>
      <c r="CID10" s="2"/>
      <c r="CIE10" s="2"/>
      <c r="CIF10" s="2"/>
      <c r="CIG10" s="2"/>
      <c r="CIH10" s="2"/>
      <c r="CII10" s="2"/>
      <c r="CIJ10" s="2"/>
      <c r="CIK10" s="2"/>
      <c r="CIL10" s="2"/>
      <c r="CIM10" s="2"/>
      <c r="CIN10" s="2"/>
      <c r="CIO10" s="2"/>
      <c r="CIP10" s="2"/>
      <c r="CIQ10" s="2"/>
      <c r="CIR10" s="2"/>
      <c r="CIS10" s="2"/>
      <c r="CIT10" s="2"/>
      <c r="CIU10" s="2"/>
      <c r="CIV10" s="2"/>
      <c r="CIW10" s="2"/>
      <c r="CIX10" s="2"/>
      <c r="CIY10" s="2"/>
      <c r="CIZ10" s="2"/>
      <c r="CJA10" s="2"/>
      <c r="CJB10" s="2"/>
      <c r="CJC10" s="2"/>
      <c r="CJD10" s="2"/>
      <c r="CJE10" s="2"/>
      <c r="CJF10" s="2"/>
      <c r="CJG10" s="2"/>
      <c r="CJH10" s="2"/>
      <c r="CJI10" s="2"/>
      <c r="CJJ10" s="2"/>
      <c r="CJK10" s="2"/>
      <c r="CJL10" s="2"/>
      <c r="CJM10" s="2"/>
      <c r="CJN10" s="2"/>
      <c r="CJO10" s="2"/>
      <c r="CJP10" s="2"/>
      <c r="CJQ10" s="2"/>
      <c r="CJR10" s="2"/>
      <c r="CJS10" s="2"/>
      <c r="CJT10" s="2"/>
      <c r="CJU10" s="2"/>
      <c r="CJV10" s="2"/>
      <c r="CJW10" s="2"/>
      <c r="CJX10" s="2"/>
      <c r="CJY10" s="2"/>
      <c r="CJZ10" s="2"/>
      <c r="CKA10" s="2"/>
      <c r="CKB10" s="2"/>
      <c r="CKC10" s="2"/>
      <c r="CKD10" s="2"/>
      <c r="CKE10" s="2"/>
      <c r="CKF10" s="2"/>
      <c r="CKG10" s="2"/>
      <c r="CKH10" s="2"/>
      <c r="CKI10" s="2"/>
      <c r="CKJ10" s="2"/>
      <c r="CKK10" s="2"/>
      <c r="CKL10" s="2"/>
      <c r="CKM10" s="2"/>
      <c r="CKN10" s="2"/>
      <c r="CKO10" s="2"/>
      <c r="CKP10" s="2"/>
      <c r="CKQ10" s="2"/>
      <c r="CKR10" s="2"/>
      <c r="CKS10" s="2"/>
      <c r="CKT10" s="2"/>
      <c r="CKU10" s="2"/>
      <c r="CKV10" s="2"/>
      <c r="CKW10" s="2"/>
      <c r="CKX10" s="2"/>
      <c r="CKY10" s="2"/>
      <c r="CKZ10" s="2"/>
      <c r="CLA10" s="2"/>
      <c r="CLB10" s="2"/>
      <c r="CLC10" s="2"/>
      <c r="CLD10" s="2"/>
      <c r="CLE10" s="2"/>
      <c r="CLF10" s="2"/>
      <c r="CLG10" s="2"/>
      <c r="CLH10" s="2"/>
      <c r="CLI10" s="2"/>
      <c r="CLJ10" s="2"/>
      <c r="CLK10" s="2"/>
      <c r="CLL10" s="2"/>
      <c r="CLM10" s="2"/>
      <c r="CLN10" s="2"/>
      <c r="CLO10" s="2"/>
      <c r="CLP10" s="2"/>
      <c r="CLQ10" s="2"/>
      <c r="CLR10" s="2"/>
      <c r="CLS10" s="2"/>
      <c r="CLT10" s="2"/>
      <c r="CLU10" s="2"/>
      <c r="CLV10" s="2"/>
      <c r="CLW10" s="2"/>
      <c r="CLX10" s="2"/>
      <c r="CLY10" s="2"/>
      <c r="CLZ10" s="2"/>
      <c r="CMA10" s="2"/>
      <c r="CMB10" s="2"/>
      <c r="CMC10" s="2"/>
      <c r="CMD10" s="2"/>
      <c r="CME10" s="2"/>
      <c r="CMF10" s="2"/>
      <c r="CMG10" s="2"/>
      <c r="CMH10" s="2"/>
      <c r="CMI10" s="2"/>
      <c r="CMJ10" s="2"/>
      <c r="CMK10" s="2"/>
      <c r="CML10" s="2"/>
      <c r="CMM10" s="2"/>
      <c r="CMN10" s="2"/>
      <c r="CMO10" s="2"/>
      <c r="CMP10" s="2"/>
      <c r="CMQ10" s="2"/>
      <c r="CMR10" s="2"/>
      <c r="CMS10" s="2"/>
      <c r="CMT10" s="2"/>
      <c r="CMU10" s="2"/>
      <c r="CMV10" s="2"/>
      <c r="CMW10" s="2"/>
      <c r="CMX10" s="2"/>
      <c r="CMY10" s="2"/>
      <c r="CMZ10" s="2"/>
      <c r="CNA10" s="2"/>
      <c r="CNB10" s="2"/>
      <c r="CNC10" s="2"/>
      <c r="CND10" s="2"/>
      <c r="CNE10" s="2"/>
      <c r="CNF10" s="2"/>
      <c r="CNG10" s="2"/>
      <c r="CNH10" s="2"/>
      <c r="CNI10" s="2"/>
      <c r="CNJ10" s="2"/>
      <c r="CNK10" s="2"/>
      <c r="CNL10" s="2"/>
      <c r="CNM10" s="2"/>
      <c r="CNN10" s="2"/>
      <c r="CNO10" s="2"/>
      <c r="CNP10" s="2"/>
      <c r="CNQ10" s="2"/>
      <c r="CNR10" s="2"/>
      <c r="CNS10" s="2"/>
      <c r="CNT10" s="2"/>
      <c r="CNU10" s="2"/>
      <c r="CNV10" s="2"/>
      <c r="CNW10" s="2"/>
      <c r="CNX10" s="2"/>
      <c r="CNY10" s="2"/>
      <c r="CNZ10" s="2"/>
      <c r="COA10" s="2"/>
      <c r="COB10" s="2"/>
      <c r="COC10" s="2"/>
      <c r="COD10" s="2"/>
      <c r="COE10" s="2"/>
      <c r="COF10" s="2"/>
      <c r="COG10" s="2"/>
      <c r="COH10" s="2"/>
      <c r="COI10" s="2"/>
      <c r="COJ10" s="2"/>
      <c r="COK10" s="2"/>
      <c r="COL10" s="2"/>
      <c r="COM10" s="2"/>
      <c r="CON10" s="2"/>
      <c r="COO10" s="2"/>
      <c r="COP10" s="2"/>
      <c r="COQ10" s="2"/>
      <c r="COR10" s="2"/>
      <c r="COS10" s="2"/>
      <c r="COT10" s="2"/>
      <c r="COU10" s="2"/>
      <c r="COV10" s="2"/>
      <c r="COW10" s="2"/>
      <c r="COX10" s="2"/>
      <c r="COY10" s="2"/>
      <c r="COZ10" s="2"/>
      <c r="CPA10" s="2"/>
      <c r="CPB10" s="2"/>
      <c r="CPC10" s="2"/>
      <c r="CPD10" s="2"/>
      <c r="CPE10" s="2"/>
      <c r="CPF10" s="2"/>
      <c r="CPG10" s="2"/>
      <c r="CPH10" s="2"/>
      <c r="CPI10" s="2"/>
      <c r="CPJ10" s="2"/>
      <c r="CPK10" s="2"/>
      <c r="CPL10" s="2"/>
      <c r="CPM10" s="2"/>
      <c r="CPN10" s="2"/>
      <c r="CPO10" s="2"/>
      <c r="CPP10" s="2"/>
      <c r="CPQ10" s="2"/>
      <c r="CPR10" s="2"/>
      <c r="CPS10" s="2"/>
      <c r="CPT10" s="2"/>
      <c r="CPU10" s="2"/>
      <c r="CPV10" s="2"/>
      <c r="CPW10" s="2"/>
      <c r="CPX10" s="2"/>
      <c r="CPY10" s="2"/>
      <c r="CPZ10" s="2"/>
      <c r="CQA10" s="2"/>
      <c r="CQB10" s="2"/>
      <c r="CQC10" s="2"/>
      <c r="CQD10" s="2"/>
      <c r="CQE10" s="2"/>
      <c r="CQF10" s="2"/>
      <c r="CQG10" s="2"/>
      <c r="CQH10" s="2"/>
      <c r="CQI10" s="2"/>
      <c r="CQJ10" s="2"/>
      <c r="CQK10" s="2"/>
      <c r="CQL10" s="2"/>
      <c r="CQM10" s="2"/>
      <c r="CQN10" s="2"/>
      <c r="CQO10" s="2"/>
      <c r="CQP10" s="2"/>
      <c r="CQQ10" s="2"/>
      <c r="CQR10" s="2"/>
      <c r="CQS10" s="2"/>
      <c r="CQT10" s="2"/>
      <c r="CQU10" s="2"/>
      <c r="CQV10" s="2"/>
      <c r="CQW10" s="2"/>
      <c r="CQX10" s="2"/>
      <c r="CQY10" s="2"/>
      <c r="CQZ10" s="2"/>
      <c r="CRA10" s="2"/>
      <c r="CRB10" s="2"/>
      <c r="CRC10" s="2"/>
      <c r="CRD10" s="2"/>
      <c r="CRE10" s="2"/>
      <c r="CRF10" s="2"/>
      <c r="CRG10" s="2"/>
      <c r="CRH10" s="2"/>
      <c r="CRI10" s="2"/>
      <c r="CRJ10" s="2"/>
      <c r="CRK10" s="2"/>
      <c r="CRL10" s="2"/>
      <c r="CRM10" s="2"/>
      <c r="CRN10" s="2"/>
      <c r="CRO10" s="2"/>
      <c r="CRP10" s="2"/>
      <c r="CRQ10" s="2"/>
      <c r="CRR10" s="2"/>
      <c r="CRS10" s="2"/>
      <c r="CRT10" s="2"/>
      <c r="CRU10" s="2"/>
      <c r="CRV10" s="2"/>
      <c r="CRW10" s="2"/>
      <c r="CRX10" s="2"/>
      <c r="CRY10" s="2"/>
      <c r="CRZ10" s="2"/>
      <c r="CSA10" s="2"/>
      <c r="CSB10" s="2"/>
      <c r="CSC10" s="2"/>
      <c r="CSD10" s="2"/>
      <c r="CSE10" s="2"/>
      <c r="CSF10" s="2"/>
      <c r="CSG10" s="2"/>
      <c r="CSH10" s="2"/>
      <c r="CSI10" s="2"/>
      <c r="CSJ10" s="2"/>
      <c r="CSK10" s="2"/>
      <c r="CSL10" s="2"/>
      <c r="CSM10" s="2"/>
      <c r="CSN10" s="2"/>
      <c r="CSO10" s="2"/>
      <c r="CSP10" s="2"/>
      <c r="CSQ10" s="2"/>
      <c r="CSR10" s="2"/>
      <c r="CSS10" s="2"/>
      <c r="CST10" s="2"/>
      <c r="CSU10" s="2"/>
      <c r="CSV10" s="2"/>
      <c r="CSW10" s="2"/>
      <c r="CSX10" s="2"/>
      <c r="CSY10" s="2"/>
      <c r="CSZ10" s="2"/>
      <c r="CTA10" s="2"/>
      <c r="CTB10" s="2"/>
      <c r="CTC10" s="2"/>
      <c r="CTD10" s="2"/>
      <c r="CTE10" s="2"/>
      <c r="CTF10" s="2"/>
      <c r="CTG10" s="2"/>
      <c r="CTH10" s="2"/>
      <c r="CTI10" s="2"/>
      <c r="CTJ10" s="2"/>
      <c r="CTK10" s="2"/>
      <c r="CTL10" s="2"/>
      <c r="CTM10" s="2"/>
      <c r="CTN10" s="2"/>
      <c r="CTO10" s="2"/>
      <c r="CTP10" s="2"/>
      <c r="CTQ10" s="2"/>
      <c r="CTR10" s="2"/>
      <c r="CTS10" s="2"/>
      <c r="CTT10" s="2"/>
      <c r="CTU10" s="2"/>
      <c r="CTV10" s="2"/>
      <c r="CTW10" s="2"/>
      <c r="CTX10" s="2"/>
      <c r="CTY10" s="2"/>
      <c r="CTZ10" s="2"/>
      <c r="CUA10" s="2"/>
      <c r="CUB10" s="2"/>
      <c r="CUC10" s="2"/>
      <c r="CUD10" s="2"/>
      <c r="CUE10" s="2"/>
      <c r="CUF10" s="2"/>
      <c r="CUG10" s="2"/>
      <c r="CUH10" s="2"/>
      <c r="CUI10" s="2"/>
      <c r="CUJ10" s="2"/>
      <c r="CUK10" s="2"/>
      <c r="CUL10" s="2"/>
      <c r="CUM10" s="2"/>
      <c r="CUN10" s="2"/>
      <c r="CUO10" s="2"/>
      <c r="CUP10" s="2"/>
      <c r="CUQ10" s="2"/>
      <c r="CUR10" s="2"/>
      <c r="CUS10" s="2"/>
      <c r="CUT10" s="2"/>
      <c r="CUU10" s="2"/>
      <c r="CUV10" s="2"/>
      <c r="CUW10" s="2"/>
      <c r="CUX10" s="2"/>
      <c r="CUY10" s="2"/>
      <c r="CUZ10" s="2"/>
      <c r="CVA10" s="2"/>
      <c r="CVB10" s="2"/>
      <c r="CVC10" s="2"/>
      <c r="CVD10" s="2"/>
      <c r="CVE10" s="2"/>
      <c r="CVF10" s="2"/>
      <c r="CVG10" s="2"/>
      <c r="CVH10" s="2"/>
      <c r="CVI10" s="2"/>
      <c r="CVJ10" s="2"/>
      <c r="CVK10" s="2"/>
      <c r="CVL10" s="2"/>
      <c r="CVM10" s="2"/>
      <c r="CVN10" s="2"/>
      <c r="CVO10" s="2"/>
      <c r="CVP10" s="2"/>
      <c r="CVQ10" s="2"/>
      <c r="CVR10" s="2"/>
      <c r="CVS10" s="2"/>
      <c r="CVT10" s="2"/>
      <c r="CVU10" s="2"/>
      <c r="CVV10" s="2"/>
      <c r="CVW10" s="2"/>
      <c r="CVX10" s="2"/>
      <c r="CVY10" s="2"/>
      <c r="CVZ10" s="2"/>
      <c r="CWA10" s="2"/>
      <c r="CWB10" s="2"/>
      <c r="CWC10" s="2"/>
      <c r="CWD10" s="2"/>
      <c r="CWE10" s="2"/>
      <c r="CWF10" s="2"/>
      <c r="CWG10" s="2"/>
      <c r="CWH10" s="2"/>
      <c r="CWI10" s="2"/>
      <c r="CWJ10" s="2"/>
      <c r="CWK10" s="2"/>
      <c r="CWL10" s="2"/>
      <c r="CWM10" s="2"/>
      <c r="CWN10" s="2"/>
      <c r="CWO10" s="2"/>
      <c r="CWP10" s="2"/>
      <c r="CWQ10" s="2"/>
      <c r="CWR10" s="2"/>
      <c r="CWS10" s="2"/>
      <c r="CWT10" s="2"/>
      <c r="CWU10" s="2"/>
      <c r="CWV10" s="2"/>
      <c r="CWW10" s="2"/>
      <c r="CWX10" s="2"/>
      <c r="CWY10" s="2"/>
      <c r="CWZ10" s="2"/>
      <c r="CXA10" s="2"/>
      <c r="CXB10" s="2"/>
      <c r="CXC10" s="2"/>
      <c r="CXD10" s="2"/>
      <c r="CXE10" s="2"/>
      <c r="CXF10" s="2"/>
      <c r="CXG10" s="2"/>
      <c r="CXH10" s="2"/>
      <c r="CXI10" s="2"/>
      <c r="CXJ10" s="2"/>
      <c r="CXK10" s="2"/>
      <c r="CXL10" s="2"/>
      <c r="CXM10" s="2"/>
      <c r="CXN10" s="2"/>
      <c r="CXO10" s="2"/>
      <c r="CXP10" s="2"/>
      <c r="CXQ10" s="2"/>
      <c r="CXR10" s="2"/>
      <c r="CXS10" s="2"/>
      <c r="CXT10" s="2"/>
      <c r="CXU10" s="2"/>
      <c r="CXV10" s="2"/>
      <c r="CXW10" s="2"/>
      <c r="CXX10" s="2"/>
      <c r="CXY10" s="2"/>
      <c r="CXZ10" s="2"/>
      <c r="CYA10" s="2"/>
      <c r="CYB10" s="2"/>
      <c r="CYC10" s="2"/>
      <c r="CYD10" s="2"/>
      <c r="CYE10" s="2"/>
      <c r="CYF10" s="2"/>
      <c r="CYG10" s="2"/>
      <c r="CYH10" s="2"/>
      <c r="CYI10" s="2"/>
      <c r="CYJ10" s="2"/>
      <c r="CYK10" s="2"/>
      <c r="CYL10" s="2"/>
      <c r="CYM10" s="2"/>
      <c r="CYN10" s="2"/>
      <c r="CYO10" s="2"/>
      <c r="CYP10" s="2"/>
      <c r="CYQ10" s="2"/>
      <c r="CYR10" s="2"/>
      <c r="CYS10" s="2"/>
      <c r="CYT10" s="2"/>
      <c r="CYU10" s="2"/>
      <c r="CYV10" s="2"/>
      <c r="CYW10" s="2"/>
      <c r="CYX10" s="2"/>
      <c r="CYY10" s="2"/>
      <c r="CYZ10" s="2"/>
      <c r="CZA10" s="2"/>
      <c r="CZB10" s="2"/>
      <c r="CZC10" s="2"/>
      <c r="CZD10" s="2"/>
      <c r="CZE10" s="2"/>
      <c r="CZF10" s="2"/>
      <c r="CZG10" s="2"/>
      <c r="CZH10" s="2"/>
      <c r="CZI10" s="2"/>
      <c r="CZJ10" s="2"/>
      <c r="CZK10" s="2"/>
      <c r="CZL10" s="2"/>
      <c r="CZM10" s="2"/>
      <c r="CZN10" s="2"/>
      <c r="CZO10" s="2"/>
      <c r="CZP10" s="2"/>
      <c r="CZQ10" s="2"/>
      <c r="CZR10" s="2"/>
      <c r="CZS10" s="2"/>
      <c r="CZT10" s="2"/>
      <c r="CZU10" s="2"/>
      <c r="CZV10" s="2"/>
      <c r="CZW10" s="2"/>
      <c r="CZX10" s="2"/>
      <c r="CZY10" s="2"/>
      <c r="CZZ10" s="2"/>
      <c r="DAA10" s="2"/>
      <c r="DAB10" s="2"/>
      <c r="DAC10" s="2"/>
      <c r="DAD10" s="2"/>
      <c r="DAE10" s="2"/>
      <c r="DAF10" s="2"/>
      <c r="DAG10" s="2"/>
      <c r="DAH10" s="2"/>
      <c r="DAI10" s="2"/>
      <c r="DAJ10" s="2"/>
      <c r="DAK10" s="2"/>
      <c r="DAL10" s="2"/>
      <c r="DAM10" s="2"/>
      <c r="DAN10" s="2"/>
      <c r="DAO10" s="2"/>
      <c r="DAP10" s="2"/>
      <c r="DAQ10" s="2"/>
      <c r="DAR10" s="2"/>
      <c r="DAS10" s="2"/>
      <c r="DAT10" s="2"/>
      <c r="DAU10" s="2"/>
      <c r="DAV10" s="2"/>
      <c r="DAW10" s="2"/>
      <c r="DAX10" s="2"/>
      <c r="DAY10" s="2"/>
      <c r="DAZ10" s="2"/>
      <c r="DBA10" s="2"/>
      <c r="DBB10" s="2"/>
      <c r="DBC10" s="2"/>
      <c r="DBD10" s="2"/>
      <c r="DBE10" s="2"/>
      <c r="DBF10" s="2"/>
      <c r="DBG10" s="2"/>
      <c r="DBH10" s="2"/>
      <c r="DBI10" s="2"/>
      <c r="DBJ10" s="2"/>
      <c r="DBK10" s="2"/>
      <c r="DBL10" s="2"/>
      <c r="DBM10" s="2"/>
      <c r="DBN10" s="2"/>
      <c r="DBO10" s="2"/>
      <c r="DBP10" s="2"/>
      <c r="DBQ10" s="2"/>
      <c r="DBR10" s="2"/>
      <c r="DBS10" s="2"/>
      <c r="DBT10" s="2"/>
      <c r="DBU10" s="2"/>
      <c r="DBV10" s="2"/>
      <c r="DBW10" s="2"/>
      <c r="DBX10" s="2"/>
      <c r="DBY10" s="2"/>
      <c r="DBZ10" s="2"/>
      <c r="DCA10" s="2"/>
      <c r="DCB10" s="2"/>
      <c r="DCC10" s="2"/>
      <c r="DCD10" s="2"/>
      <c r="DCE10" s="2"/>
      <c r="DCF10" s="2"/>
      <c r="DCG10" s="2"/>
      <c r="DCH10" s="2"/>
      <c r="DCI10" s="2"/>
      <c r="DCJ10" s="2"/>
      <c r="DCK10" s="2"/>
      <c r="DCL10" s="2"/>
      <c r="DCM10" s="2"/>
      <c r="DCN10" s="2"/>
      <c r="DCO10" s="2"/>
      <c r="DCP10" s="2"/>
      <c r="DCQ10" s="2"/>
      <c r="DCR10" s="2"/>
      <c r="DCS10" s="2"/>
      <c r="DCT10" s="2"/>
      <c r="DCU10" s="2"/>
      <c r="DCV10" s="2"/>
      <c r="DCW10" s="2"/>
      <c r="DCX10" s="2"/>
      <c r="DCY10" s="2"/>
      <c r="DCZ10" s="2"/>
      <c r="DDA10" s="2"/>
      <c r="DDB10" s="2"/>
      <c r="DDC10" s="2"/>
      <c r="DDD10" s="2"/>
      <c r="DDE10" s="2"/>
      <c r="DDF10" s="2"/>
      <c r="DDG10" s="2"/>
      <c r="DDH10" s="2"/>
      <c r="DDI10" s="2"/>
      <c r="DDJ10" s="2"/>
      <c r="DDK10" s="2"/>
      <c r="DDL10" s="2"/>
      <c r="DDM10" s="2"/>
      <c r="DDN10" s="2"/>
      <c r="DDO10" s="2"/>
      <c r="DDP10" s="2"/>
      <c r="DDQ10" s="2"/>
      <c r="DDR10" s="2"/>
      <c r="DDS10" s="2"/>
      <c r="DDT10" s="2"/>
      <c r="DDU10" s="2"/>
      <c r="DDV10" s="2"/>
      <c r="DDW10" s="2"/>
      <c r="DDX10" s="2"/>
      <c r="DDY10" s="2"/>
      <c r="DDZ10" s="2"/>
      <c r="DEA10" s="2"/>
      <c r="DEB10" s="2"/>
      <c r="DEC10" s="2"/>
      <c r="DED10" s="2"/>
      <c r="DEE10" s="2"/>
      <c r="DEF10" s="2"/>
      <c r="DEG10" s="2"/>
      <c r="DEH10" s="2"/>
      <c r="DEI10" s="2"/>
      <c r="DEJ10" s="2"/>
      <c r="DEK10" s="2"/>
      <c r="DEL10" s="2"/>
      <c r="DEM10" s="2"/>
      <c r="DEN10" s="2"/>
      <c r="DEO10" s="2"/>
      <c r="DEP10" s="2"/>
      <c r="DEQ10" s="2"/>
      <c r="DER10" s="2"/>
      <c r="DES10" s="2"/>
      <c r="DET10" s="2"/>
      <c r="DEU10" s="2"/>
      <c r="DEV10" s="2"/>
      <c r="DEW10" s="2"/>
      <c r="DEX10" s="2"/>
      <c r="DEY10" s="2"/>
      <c r="DEZ10" s="2"/>
      <c r="DFA10" s="2"/>
      <c r="DFB10" s="2"/>
      <c r="DFC10" s="2"/>
      <c r="DFD10" s="2"/>
      <c r="DFE10" s="2"/>
      <c r="DFF10" s="2"/>
      <c r="DFG10" s="2"/>
      <c r="DFH10" s="2"/>
      <c r="DFI10" s="2"/>
      <c r="DFJ10" s="2"/>
      <c r="DFK10" s="2"/>
      <c r="DFL10" s="2"/>
      <c r="DFM10" s="2"/>
      <c r="DFN10" s="2"/>
      <c r="DFO10" s="2"/>
      <c r="DFP10" s="2"/>
      <c r="DFQ10" s="2"/>
      <c r="DFR10" s="2"/>
      <c r="DFS10" s="2"/>
      <c r="DFT10" s="2"/>
      <c r="DFU10" s="2"/>
      <c r="DFV10" s="2"/>
      <c r="DFW10" s="2"/>
      <c r="DFX10" s="2"/>
      <c r="DFY10" s="2"/>
      <c r="DFZ10" s="2"/>
      <c r="DGA10" s="2"/>
      <c r="DGB10" s="2"/>
      <c r="DGC10" s="2"/>
      <c r="DGD10" s="2"/>
      <c r="DGE10" s="2"/>
      <c r="DGF10" s="2"/>
      <c r="DGG10" s="2"/>
      <c r="DGH10" s="2"/>
      <c r="DGI10" s="2"/>
      <c r="DGJ10" s="2"/>
      <c r="DGK10" s="2"/>
      <c r="DGL10" s="2"/>
      <c r="DGM10" s="2"/>
      <c r="DGN10" s="2"/>
      <c r="DGO10" s="2"/>
      <c r="DGP10" s="2"/>
      <c r="DGQ10" s="2"/>
      <c r="DGR10" s="2"/>
      <c r="DGS10" s="2"/>
      <c r="DGT10" s="2"/>
      <c r="DGU10" s="2"/>
      <c r="DGV10" s="2"/>
      <c r="DGW10" s="2"/>
      <c r="DGX10" s="2"/>
      <c r="DGY10" s="2"/>
      <c r="DGZ10" s="2"/>
      <c r="DHA10" s="2"/>
      <c r="DHB10" s="2"/>
      <c r="DHC10" s="2"/>
      <c r="DHD10" s="2"/>
      <c r="DHE10" s="2"/>
      <c r="DHF10" s="2"/>
      <c r="DHG10" s="2"/>
      <c r="DHH10" s="2"/>
      <c r="DHI10" s="2"/>
      <c r="DHJ10" s="2"/>
      <c r="DHK10" s="2"/>
      <c r="DHL10" s="2"/>
      <c r="DHM10" s="2"/>
      <c r="DHN10" s="2"/>
      <c r="DHO10" s="2"/>
      <c r="DHP10" s="2"/>
      <c r="DHQ10" s="2"/>
      <c r="DHR10" s="2"/>
      <c r="DHS10" s="2"/>
      <c r="DHT10" s="2"/>
      <c r="DHU10" s="2"/>
      <c r="DHV10" s="2"/>
      <c r="DHW10" s="2"/>
      <c r="DHX10" s="2"/>
      <c r="DHY10" s="2"/>
      <c r="DHZ10" s="2"/>
      <c r="DIA10" s="2"/>
      <c r="DIB10" s="2"/>
      <c r="DIC10" s="2"/>
      <c r="DID10" s="2"/>
      <c r="DIE10" s="2"/>
      <c r="DIF10" s="2"/>
      <c r="DIG10" s="2"/>
      <c r="DIH10" s="2"/>
      <c r="DII10" s="2"/>
      <c r="DIJ10" s="2"/>
      <c r="DIK10" s="2"/>
      <c r="DIL10" s="2"/>
      <c r="DIM10" s="2"/>
      <c r="DIN10" s="2"/>
      <c r="DIO10" s="2"/>
      <c r="DIP10" s="2"/>
      <c r="DIQ10" s="2"/>
      <c r="DIR10" s="2"/>
      <c r="DIS10" s="2"/>
      <c r="DIT10" s="2"/>
      <c r="DIU10" s="2"/>
      <c r="DIV10" s="2"/>
      <c r="DIW10" s="2"/>
      <c r="DIX10" s="2"/>
      <c r="DIY10" s="2"/>
      <c r="DIZ10" s="2"/>
      <c r="DJA10" s="2"/>
      <c r="DJB10" s="2"/>
      <c r="DJC10" s="2"/>
      <c r="DJD10" s="2"/>
      <c r="DJE10" s="2"/>
      <c r="DJF10" s="2"/>
      <c r="DJG10" s="2"/>
      <c r="DJH10" s="2"/>
      <c r="DJI10" s="2"/>
      <c r="DJJ10" s="2"/>
      <c r="DJK10" s="2"/>
      <c r="DJL10" s="2"/>
      <c r="DJM10" s="2"/>
      <c r="DJN10" s="2"/>
      <c r="DJO10" s="2"/>
      <c r="DJP10" s="2"/>
      <c r="DJQ10" s="2"/>
      <c r="DJR10" s="2"/>
      <c r="DJS10" s="2"/>
      <c r="DJT10" s="2"/>
      <c r="DJU10" s="2"/>
      <c r="DJV10" s="2"/>
      <c r="DJW10" s="2"/>
      <c r="DJX10" s="2"/>
      <c r="DJY10" s="2"/>
      <c r="DJZ10" s="2"/>
      <c r="DKA10" s="2"/>
      <c r="DKB10" s="2"/>
      <c r="DKC10" s="2"/>
      <c r="DKD10" s="2"/>
      <c r="DKE10" s="2"/>
      <c r="DKF10" s="2"/>
      <c r="DKG10" s="2"/>
      <c r="DKH10" s="2"/>
      <c r="DKI10" s="2"/>
      <c r="DKJ10" s="2"/>
      <c r="DKK10" s="2"/>
      <c r="DKL10" s="2"/>
      <c r="DKM10" s="2"/>
      <c r="DKN10" s="2"/>
      <c r="DKO10" s="2"/>
      <c r="DKP10" s="2"/>
      <c r="DKQ10" s="2"/>
      <c r="DKR10" s="2"/>
      <c r="DKS10" s="2"/>
      <c r="DKT10" s="2"/>
      <c r="DKU10" s="2"/>
      <c r="DKV10" s="2"/>
      <c r="DKW10" s="2"/>
      <c r="DKX10" s="2"/>
      <c r="DKY10" s="2"/>
      <c r="DKZ10" s="2"/>
      <c r="DLA10" s="2"/>
      <c r="DLB10" s="2"/>
      <c r="DLC10" s="2"/>
      <c r="DLD10" s="2"/>
      <c r="DLE10" s="2"/>
      <c r="DLF10" s="2"/>
      <c r="DLG10" s="2"/>
      <c r="DLH10" s="2"/>
      <c r="DLI10" s="2"/>
      <c r="DLJ10" s="2"/>
      <c r="DLK10" s="2"/>
      <c r="DLL10" s="2"/>
      <c r="DLM10" s="2"/>
      <c r="DLN10" s="2"/>
      <c r="DLO10" s="2"/>
      <c r="DLP10" s="2"/>
      <c r="DLQ10" s="2"/>
      <c r="DLR10" s="2"/>
      <c r="DLS10" s="2"/>
      <c r="DLT10" s="2"/>
      <c r="DLU10" s="2"/>
      <c r="DLV10" s="2"/>
      <c r="DLW10" s="2"/>
      <c r="DLX10" s="2"/>
      <c r="DLY10" s="2"/>
      <c r="DLZ10" s="2"/>
      <c r="DMA10" s="2"/>
      <c r="DMB10" s="2"/>
      <c r="DMC10" s="2"/>
      <c r="DMD10" s="2"/>
      <c r="DME10" s="2"/>
      <c r="DMF10" s="2"/>
      <c r="DMG10" s="2"/>
      <c r="DMH10" s="2"/>
      <c r="DMI10" s="2"/>
      <c r="DMJ10" s="2"/>
      <c r="DMK10" s="2"/>
      <c r="DML10" s="2"/>
      <c r="DMM10" s="2"/>
      <c r="DMN10" s="2"/>
      <c r="DMO10" s="2"/>
      <c r="DMP10" s="2"/>
      <c r="DMQ10" s="2"/>
      <c r="DMR10" s="2"/>
      <c r="DMS10" s="2"/>
      <c r="DMT10" s="2"/>
      <c r="DMU10" s="2"/>
      <c r="DMV10" s="2"/>
      <c r="DMW10" s="2"/>
      <c r="DMX10" s="2"/>
      <c r="DMY10" s="2"/>
      <c r="DMZ10" s="2"/>
      <c r="DNA10" s="2"/>
      <c r="DNB10" s="2"/>
      <c r="DNC10" s="2"/>
      <c r="DND10" s="2"/>
      <c r="DNE10" s="2"/>
      <c r="DNF10" s="2"/>
      <c r="DNG10" s="2"/>
      <c r="DNH10" s="2"/>
      <c r="DNI10" s="2"/>
      <c r="DNJ10" s="2"/>
      <c r="DNK10" s="2"/>
      <c r="DNL10" s="2"/>
      <c r="DNM10" s="2"/>
      <c r="DNN10" s="2"/>
      <c r="DNO10" s="2"/>
      <c r="DNP10" s="2"/>
      <c r="DNQ10" s="2"/>
      <c r="DNR10" s="2"/>
      <c r="DNS10" s="2"/>
      <c r="DNT10" s="2"/>
      <c r="DNU10" s="2"/>
      <c r="DNV10" s="2"/>
      <c r="DNW10" s="2"/>
      <c r="DNX10" s="2"/>
      <c r="DNY10" s="2"/>
      <c r="DNZ10" s="2"/>
      <c r="DOA10" s="2"/>
      <c r="DOB10" s="2"/>
      <c r="DOC10" s="2"/>
      <c r="DOD10" s="2"/>
      <c r="DOE10" s="2"/>
      <c r="DOF10" s="2"/>
      <c r="DOG10" s="2"/>
      <c r="DOH10" s="2"/>
      <c r="DOI10" s="2"/>
      <c r="DOJ10" s="2"/>
      <c r="DOK10" s="2"/>
      <c r="DOL10" s="2"/>
      <c r="DOM10" s="2"/>
      <c r="DON10" s="2"/>
      <c r="DOO10" s="2"/>
      <c r="DOP10" s="2"/>
      <c r="DOQ10" s="2"/>
      <c r="DOR10" s="2"/>
      <c r="DOS10" s="2"/>
      <c r="DOT10" s="2"/>
      <c r="DOU10" s="2"/>
      <c r="DOV10" s="2"/>
      <c r="DOW10" s="2"/>
      <c r="DOX10" s="2"/>
      <c r="DOY10" s="2"/>
      <c r="DOZ10" s="2"/>
      <c r="DPA10" s="2"/>
      <c r="DPB10" s="2"/>
      <c r="DPC10" s="2"/>
      <c r="DPD10" s="2"/>
      <c r="DPE10" s="2"/>
      <c r="DPF10" s="2"/>
      <c r="DPG10" s="2"/>
      <c r="DPH10" s="2"/>
      <c r="DPI10" s="2"/>
      <c r="DPJ10" s="2"/>
      <c r="DPK10" s="2"/>
      <c r="DPL10" s="2"/>
      <c r="DPM10" s="2"/>
      <c r="DPN10" s="2"/>
      <c r="DPO10" s="2"/>
      <c r="DPP10" s="2"/>
      <c r="DPQ10" s="2"/>
      <c r="DPR10" s="2"/>
      <c r="DPS10" s="2"/>
      <c r="DPT10" s="2"/>
      <c r="DPU10" s="2"/>
      <c r="DPV10" s="2"/>
      <c r="DPW10" s="2"/>
      <c r="DPX10" s="2"/>
      <c r="DPY10" s="2"/>
      <c r="DPZ10" s="2"/>
      <c r="DQA10" s="2"/>
      <c r="DQB10" s="2"/>
      <c r="DQC10" s="2"/>
      <c r="DQD10" s="2"/>
      <c r="DQE10" s="2"/>
      <c r="DQF10" s="2"/>
      <c r="DQG10" s="2"/>
      <c r="DQH10" s="2"/>
      <c r="DQI10" s="2"/>
      <c r="DQJ10" s="2"/>
      <c r="DQK10" s="2"/>
      <c r="DQL10" s="2"/>
      <c r="DQM10" s="2"/>
      <c r="DQN10" s="2"/>
      <c r="DQO10" s="2"/>
      <c r="DQP10" s="2"/>
      <c r="DQQ10" s="2"/>
      <c r="DQR10" s="2"/>
      <c r="DQS10" s="2"/>
      <c r="DQT10" s="2"/>
      <c r="DQU10" s="2"/>
      <c r="DQV10" s="2"/>
      <c r="DQW10" s="2"/>
      <c r="DQX10" s="2"/>
      <c r="DQY10" s="2"/>
      <c r="DQZ10" s="2"/>
      <c r="DRA10" s="2"/>
      <c r="DRB10" s="2"/>
      <c r="DRC10" s="2"/>
      <c r="DRD10" s="2"/>
      <c r="DRE10" s="2"/>
      <c r="DRF10" s="2"/>
      <c r="DRG10" s="2"/>
      <c r="DRH10" s="2"/>
      <c r="DRI10" s="2"/>
      <c r="DRJ10" s="2"/>
      <c r="DRK10" s="2"/>
      <c r="DRL10" s="2"/>
      <c r="DRM10" s="2"/>
      <c r="DRN10" s="2"/>
      <c r="DRO10" s="2"/>
      <c r="DRP10" s="2"/>
      <c r="DRQ10" s="2"/>
      <c r="DRR10" s="2"/>
      <c r="DRS10" s="2"/>
      <c r="DRT10" s="2"/>
      <c r="DRU10" s="2"/>
      <c r="DRV10" s="2"/>
      <c r="DRW10" s="2"/>
      <c r="DRX10" s="2"/>
      <c r="DRY10" s="2"/>
      <c r="DRZ10" s="2"/>
      <c r="DSA10" s="2"/>
      <c r="DSB10" s="2"/>
      <c r="DSC10" s="2"/>
      <c r="DSD10" s="2"/>
      <c r="DSE10" s="2"/>
      <c r="DSF10" s="2"/>
      <c r="DSG10" s="2"/>
      <c r="DSH10" s="2"/>
      <c r="DSI10" s="2"/>
      <c r="DSJ10" s="2"/>
      <c r="DSK10" s="2"/>
      <c r="DSL10" s="2"/>
      <c r="DSM10" s="2"/>
      <c r="DSN10" s="2"/>
      <c r="DSO10" s="2"/>
      <c r="DSP10" s="2"/>
      <c r="DSQ10" s="2"/>
      <c r="DSR10" s="2"/>
      <c r="DSS10" s="2"/>
      <c r="DST10" s="2"/>
      <c r="DSU10" s="2"/>
      <c r="DSV10" s="2"/>
      <c r="DSW10" s="2"/>
      <c r="DSX10" s="2"/>
      <c r="DSY10" s="2"/>
      <c r="DSZ10" s="2"/>
      <c r="DTA10" s="2"/>
      <c r="DTB10" s="2"/>
      <c r="DTC10" s="2"/>
      <c r="DTD10" s="2"/>
      <c r="DTE10" s="2"/>
      <c r="DTF10" s="2"/>
      <c r="DTG10" s="2"/>
      <c r="DTH10" s="2"/>
      <c r="DTI10" s="2"/>
      <c r="DTJ10" s="2"/>
      <c r="DTK10" s="2"/>
      <c r="DTL10" s="2"/>
      <c r="DTM10" s="2"/>
      <c r="DTN10" s="2"/>
      <c r="DTO10" s="2"/>
      <c r="DTP10" s="2"/>
      <c r="DTQ10" s="2"/>
      <c r="DTR10" s="2"/>
      <c r="DTS10" s="2"/>
      <c r="DTT10" s="2"/>
      <c r="DTU10" s="2"/>
      <c r="DTV10" s="2"/>
      <c r="DTW10" s="2"/>
      <c r="DTX10" s="2"/>
      <c r="DTY10" s="2"/>
      <c r="DTZ10" s="2"/>
      <c r="DUA10" s="2"/>
      <c r="DUB10" s="2"/>
      <c r="DUC10" s="2"/>
      <c r="DUD10" s="2"/>
      <c r="DUE10" s="2"/>
      <c r="DUF10" s="2"/>
      <c r="DUG10" s="2"/>
      <c r="DUH10" s="2"/>
      <c r="DUI10" s="2"/>
      <c r="DUJ10" s="2"/>
      <c r="DUK10" s="2"/>
      <c r="DUL10" s="2"/>
      <c r="DUM10" s="2"/>
      <c r="DUN10" s="2"/>
      <c r="DUO10" s="2"/>
      <c r="DUP10" s="2"/>
      <c r="DUQ10" s="2"/>
      <c r="DUR10" s="2"/>
      <c r="DUS10" s="2"/>
      <c r="DUT10" s="2"/>
      <c r="DUU10" s="2"/>
      <c r="DUV10" s="2"/>
      <c r="DUW10" s="2"/>
      <c r="DUX10" s="2"/>
      <c r="DUY10" s="2"/>
      <c r="DUZ10" s="2"/>
      <c r="DVA10" s="2"/>
      <c r="DVB10" s="2"/>
      <c r="DVC10" s="2"/>
      <c r="DVD10" s="2"/>
      <c r="DVE10" s="2"/>
      <c r="DVF10" s="2"/>
      <c r="DVG10" s="2"/>
      <c r="DVH10" s="2"/>
      <c r="DVI10" s="2"/>
      <c r="DVJ10" s="2"/>
      <c r="DVK10" s="2"/>
      <c r="DVL10" s="2"/>
      <c r="DVM10" s="2"/>
      <c r="DVN10" s="2"/>
      <c r="DVO10" s="2"/>
      <c r="DVP10" s="2"/>
      <c r="DVQ10" s="2"/>
      <c r="DVR10" s="2"/>
      <c r="DVS10" s="2"/>
      <c r="DVT10" s="2"/>
      <c r="DVU10" s="2"/>
      <c r="DVV10" s="2"/>
      <c r="DVW10" s="2"/>
      <c r="DVX10" s="2"/>
      <c r="DVY10" s="2"/>
      <c r="DVZ10" s="2"/>
      <c r="DWA10" s="2"/>
      <c r="DWB10" s="2"/>
      <c r="DWC10" s="2"/>
      <c r="DWD10" s="2"/>
      <c r="DWE10" s="2"/>
      <c r="DWF10" s="2"/>
      <c r="DWG10" s="2"/>
      <c r="DWH10" s="2"/>
      <c r="DWI10" s="2"/>
      <c r="DWJ10" s="2"/>
      <c r="DWK10" s="2"/>
      <c r="DWL10" s="2"/>
      <c r="DWM10" s="2"/>
      <c r="DWN10" s="2"/>
      <c r="DWO10" s="2"/>
      <c r="DWP10" s="2"/>
      <c r="DWQ10" s="2"/>
      <c r="DWR10" s="2"/>
      <c r="DWS10" s="2"/>
      <c r="DWT10" s="2"/>
      <c r="DWU10" s="2"/>
      <c r="DWV10" s="2"/>
      <c r="DWW10" s="2"/>
      <c r="DWX10" s="2"/>
      <c r="DWY10" s="2"/>
      <c r="DWZ10" s="2"/>
      <c r="DXA10" s="2"/>
      <c r="DXB10" s="2"/>
      <c r="DXC10" s="2"/>
      <c r="DXD10" s="2"/>
      <c r="DXE10" s="2"/>
      <c r="DXF10" s="2"/>
      <c r="DXG10" s="2"/>
      <c r="DXH10" s="2"/>
      <c r="DXI10" s="2"/>
      <c r="DXJ10" s="2"/>
      <c r="DXK10" s="2"/>
      <c r="DXL10" s="2"/>
      <c r="DXM10" s="2"/>
      <c r="DXN10" s="2"/>
      <c r="DXO10" s="2"/>
      <c r="DXP10" s="2"/>
      <c r="DXQ10" s="2"/>
      <c r="DXR10" s="2"/>
      <c r="DXS10" s="2"/>
      <c r="DXT10" s="2"/>
      <c r="DXU10" s="2"/>
      <c r="DXV10" s="2"/>
      <c r="DXW10" s="2"/>
      <c r="DXX10" s="2"/>
      <c r="DXY10" s="2"/>
      <c r="DXZ10" s="2"/>
      <c r="DYA10" s="2"/>
      <c r="DYB10" s="2"/>
      <c r="DYC10" s="2"/>
      <c r="DYD10" s="2"/>
      <c r="DYE10" s="2"/>
      <c r="DYF10" s="2"/>
      <c r="DYG10" s="2"/>
      <c r="DYH10" s="2"/>
      <c r="DYI10" s="2"/>
      <c r="DYJ10" s="2"/>
      <c r="DYK10" s="2"/>
      <c r="DYL10" s="2"/>
      <c r="DYM10" s="2"/>
      <c r="DYN10" s="2"/>
      <c r="DYO10" s="2"/>
      <c r="DYP10" s="2"/>
      <c r="DYQ10" s="2"/>
      <c r="DYR10" s="2"/>
      <c r="DYS10" s="2"/>
      <c r="DYT10" s="2"/>
      <c r="DYU10" s="2"/>
      <c r="DYV10" s="2"/>
      <c r="DYW10" s="2"/>
      <c r="DYX10" s="2"/>
      <c r="DYY10" s="2"/>
      <c r="DYZ10" s="2"/>
      <c r="DZA10" s="2"/>
      <c r="DZB10" s="2"/>
      <c r="DZC10" s="2"/>
      <c r="DZD10" s="2"/>
      <c r="DZE10" s="2"/>
      <c r="DZF10" s="2"/>
      <c r="DZG10" s="2"/>
      <c r="DZH10" s="2"/>
      <c r="DZI10" s="2"/>
      <c r="DZJ10" s="2"/>
      <c r="DZK10" s="2"/>
      <c r="DZL10" s="2"/>
      <c r="DZM10" s="2"/>
      <c r="DZN10" s="2"/>
      <c r="DZO10" s="2"/>
      <c r="DZP10" s="2"/>
      <c r="DZQ10" s="2"/>
      <c r="DZR10" s="2"/>
      <c r="DZS10" s="2"/>
      <c r="DZT10" s="2"/>
      <c r="DZU10" s="2"/>
      <c r="DZV10" s="2"/>
      <c r="DZW10" s="2"/>
      <c r="DZX10" s="2"/>
      <c r="DZY10" s="2"/>
      <c r="DZZ10" s="2"/>
      <c r="EAA10" s="2"/>
      <c r="EAB10" s="2"/>
      <c r="EAC10" s="2"/>
      <c r="EAD10" s="2"/>
      <c r="EAE10" s="2"/>
      <c r="EAF10" s="2"/>
      <c r="EAG10" s="2"/>
      <c r="EAH10" s="2"/>
      <c r="EAI10" s="2"/>
      <c r="EAJ10" s="2"/>
      <c r="EAK10" s="2"/>
      <c r="EAL10" s="2"/>
      <c r="EAM10" s="2"/>
      <c r="EAN10" s="2"/>
      <c r="EAO10" s="2"/>
      <c r="EAP10" s="2"/>
      <c r="EAQ10" s="2"/>
      <c r="EAR10" s="2"/>
      <c r="EAS10" s="2"/>
      <c r="EAT10" s="2"/>
      <c r="EAU10" s="2"/>
      <c r="EAV10" s="2"/>
      <c r="EAW10" s="2"/>
      <c r="EAX10" s="2"/>
      <c r="EAY10" s="2"/>
      <c r="EAZ10" s="2"/>
      <c r="EBA10" s="2"/>
      <c r="EBB10" s="2"/>
      <c r="EBC10" s="2"/>
      <c r="EBD10" s="2"/>
      <c r="EBE10" s="2"/>
      <c r="EBF10" s="2"/>
      <c r="EBG10" s="2"/>
      <c r="EBH10" s="2"/>
      <c r="EBI10" s="2"/>
      <c r="EBJ10" s="2"/>
      <c r="EBK10" s="2"/>
      <c r="EBL10" s="2"/>
      <c r="EBM10" s="2"/>
      <c r="EBN10" s="2"/>
      <c r="EBO10" s="2"/>
      <c r="EBP10" s="2"/>
      <c r="EBQ10" s="2"/>
      <c r="EBR10" s="2"/>
      <c r="EBS10" s="2"/>
      <c r="EBT10" s="2"/>
      <c r="EBU10" s="2"/>
      <c r="EBV10" s="2"/>
      <c r="EBW10" s="2"/>
      <c r="EBX10" s="2"/>
      <c r="EBY10" s="2"/>
      <c r="EBZ10" s="2"/>
      <c r="ECA10" s="2"/>
      <c r="ECB10" s="2"/>
      <c r="ECC10" s="2"/>
      <c r="ECD10" s="2"/>
      <c r="ECE10" s="2"/>
      <c r="ECF10" s="2"/>
      <c r="ECG10" s="2"/>
      <c r="ECH10" s="2"/>
      <c r="ECI10" s="2"/>
      <c r="ECJ10" s="2"/>
      <c r="ECK10" s="2"/>
      <c r="ECL10" s="2"/>
      <c r="ECM10" s="2"/>
      <c r="ECN10" s="2"/>
      <c r="ECO10" s="2"/>
      <c r="ECP10" s="2"/>
      <c r="ECQ10" s="2"/>
      <c r="ECR10" s="2"/>
      <c r="ECS10" s="2"/>
      <c r="ECT10" s="2"/>
      <c r="ECU10" s="2"/>
      <c r="ECV10" s="2"/>
      <c r="ECW10" s="2"/>
      <c r="ECX10" s="2"/>
      <c r="ECY10" s="2"/>
      <c r="ECZ10" s="2"/>
      <c r="EDA10" s="2"/>
      <c r="EDB10" s="2"/>
      <c r="EDC10" s="2"/>
      <c r="EDD10" s="2"/>
      <c r="EDE10" s="2"/>
      <c r="EDF10" s="2"/>
      <c r="EDG10" s="2"/>
      <c r="EDH10" s="2"/>
      <c r="EDI10" s="2"/>
      <c r="EDJ10" s="2"/>
      <c r="EDK10" s="2"/>
      <c r="EDL10" s="2"/>
      <c r="EDM10" s="2"/>
      <c r="EDN10" s="2"/>
      <c r="EDO10" s="2"/>
      <c r="EDP10" s="2"/>
      <c r="EDQ10" s="2"/>
      <c r="EDR10" s="2"/>
      <c r="EDS10" s="2"/>
      <c r="EDT10" s="2"/>
      <c r="EDU10" s="2"/>
      <c r="EDV10" s="2"/>
      <c r="EDW10" s="2"/>
      <c r="EDX10" s="2"/>
      <c r="EDY10" s="2"/>
      <c r="EDZ10" s="2"/>
      <c r="EEA10" s="2"/>
      <c r="EEB10" s="2"/>
      <c r="EEC10" s="2"/>
      <c r="EED10" s="2"/>
      <c r="EEE10" s="2"/>
      <c r="EEF10" s="2"/>
      <c r="EEG10" s="2"/>
      <c r="EEH10" s="2"/>
      <c r="EEI10" s="2"/>
      <c r="EEJ10" s="2"/>
      <c r="EEK10" s="2"/>
      <c r="EEL10" s="2"/>
      <c r="EEM10" s="2"/>
      <c r="EEN10" s="2"/>
      <c r="EEO10" s="2"/>
      <c r="EEP10" s="2"/>
      <c r="EEQ10" s="2"/>
      <c r="EER10" s="2"/>
      <c r="EES10" s="2"/>
      <c r="EET10" s="2"/>
      <c r="EEU10" s="2"/>
      <c r="EEV10" s="2"/>
      <c r="EEW10" s="2"/>
      <c r="EEX10" s="2"/>
      <c r="EEY10" s="2"/>
      <c r="EEZ10" s="2"/>
      <c r="EFA10" s="2"/>
      <c r="EFB10" s="2"/>
      <c r="EFC10" s="2"/>
      <c r="EFD10" s="2"/>
      <c r="EFE10" s="2"/>
      <c r="EFF10" s="2"/>
      <c r="EFG10" s="2"/>
      <c r="EFH10" s="2"/>
      <c r="EFI10" s="2"/>
      <c r="EFJ10" s="2"/>
      <c r="EFK10" s="2"/>
      <c r="EFL10" s="2"/>
      <c r="EFM10" s="2"/>
      <c r="EFN10" s="2"/>
      <c r="EFO10" s="2"/>
      <c r="EFP10" s="2"/>
      <c r="EFQ10" s="2"/>
      <c r="EFR10" s="2"/>
      <c r="EFS10" s="2"/>
      <c r="EFT10" s="2"/>
      <c r="EFU10" s="2"/>
      <c r="EFV10" s="2"/>
      <c r="EFW10" s="2"/>
      <c r="EFX10" s="2"/>
      <c r="EFY10" s="2"/>
      <c r="EFZ10" s="2"/>
      <c r="EGA10" s="2"/>
      <c r="EGB10" s="2"/>
      <c r="EGC10" s="2"/>
      <c r="EGD10" s="2"/>
      <c r="EGE10" s="2"/>
      <c r="EGF10" s="2"/>
      <c r="EGG10" s="2"/>
      <c r="EGH10" s="2"/>
      <c r="EGI10" s="2"/>
      <c r="EGJ10" s="2"/>
      <c r="EGK10" s="2"/>
      <c r="EGL10" s="2"/>
      <c r="EGM10" s="2"/>
      <c r="EGN10" s="2"/>
      <c r="EGO10" s="2"/>
      <c r="EGP10" s="2"/>
      <c r="EGQ10" s="2"/>
      <c r="EGR10" s="2"/>
      <c r="EGS10" s="2"/>
      <c r="EGT10" s="2"/>
      <c r="EGU10" s="2"/>
      <c r="EGV10" s="2"/>
      <c r="EGW10" s="2"/>
      <c r="EGX10" s="2"/>
      <c r="EGY10" s="2"/>
      <c r="EGZ10" s="2"/>
      <c r="EHA10" s="2"/>
      <c r="EHB10" s="2"/>
      <c r="EHC10" s="2"/>
      <c r="EHD10" s="2"/>
      <c r="EHE10" s="2"/>
      <c r="EHF10" s="2"/>
      <c r="EHG10" s="2"/>
      <c r="EHH10" s="2"/>
      <c r="EHI10" s="2"/>
      <c r="EHJ10" s="2"/>
      <c r="EHK10" s="2"/>
      <c r="EHL10" s="2"/>
      <c r="EHM10" s="2"/>
      <c r="EHN10" s="2"/>
      <c r="EHO10" s="2"/>
      <c r="EHP10" s="2"/>
      <c r="EHQ10" s="2"/>
      <c r="EHR10" s="2"/>
      <c r="EHS10" s="2"/>
      <c r="EHT10" s="2"/>
      <c r="EHU10" s="2"/>
      <c r="EHV10" s="2"/>
      <c r="EHW10" s="2"/>
      <c r="EHX10" s="2"/>
      <c r="EHY10" s="2"/>
      <c r="EHZ10" s="2"/>
      <c r="EIA10" s="2"/>
      <c r="EIB10" s="2"/>
      <c r="EIC10" s="2"/>
      <c r="EID10" s="2"/>
      <c r="EIE10" s="2"/>
      <c r="EIF10" s="2"/>
      <c r="EIG10" s="2"/>
      <c r="EIH10" s="2"/>
      <c r="EII10" s="2"/>
      <c r="EIJ10" s="2"/>
      <c r="EIK10" s="2"/>
      <c r="EIL10" s="2"/>
      <c r="EIM10" s="2"/>
      <c r="EIN10" s="2"/>
      <c r="EIO10" s="2"/>
      <c r="EIP10" s="2"/>
      <c r="EIQ10" s="2"/>
      <c r="EIR10" s="2"/>
      <c r="EIS10" s="2"/>
      <c r="EIT10" s="2"/>
      <c r="EIU10" s="2"/>
      <c r="EIV10" s="2"/>
      <c r="EIW10" s="2"/>
      <c r="EIX10" s="2"/>
      <c r="EIY10" s="2"/>
      <c r="EIZ10" s="2"/>
      <c r="EJA10" s="2"/>
      <c r="EJB10" s="2"/>
      <c r="EJC10" s="2"/>
      <c r="EJD10" s="2"/>
      <c r="EJE10" s="2"/>
      <c r="EJF10" s="2"/>
      <c r="EJG10" s="2"/>
      <c r="EJH10" s="2"/>
      <c r="EJI10" s="2"/>
      <c r="EJJ10" s="2"/>
      <c r="EJK10" s="2"/>
      <c r="EJL10" s="2"/>
      <c r="EJM10" s="2"/>
      <c r="EJN10" s="2"/>
      <c r="EJO10" s="2"/>
      <c r="EJP10" s="2"/>
      <c r="EJQ10" s="2"/>
      <c r="EJR10" s="2"/>
      <c r="EJS10" s="2"/>
      <c r="EJT10" s="2"/>
      <c r="EJU10" s="2"/>
      <c r="EJV10" s="2"/>
      <c r="EJW10" s="2"/>
      <c r="EJX10" s="2"/>
      <c r="EJY10" s="2"/>
      <c r="EJZ10" s="2"/>
      <c r="EKA10" s="2"/>
      <c r="EKB10" s="2"/>
      <c r="EKC10" s="2"/>
      <c r="EKD10" s="2"/>
      <c r="EKE10" s="2"/>
      <c r="EKF10" s="2"/>
      <c r="EKG10" s="2"/>
      <c r="EKH10" s="2"/>
      <c r="EKI10" s="2"/>
      <c r="EKJ10" s="2"/>
      <c r="EKK10" s="2"/>
      <c r="EKL10" s="2"/>
      <c r="EKM10" s="2"/>
      <c r="EKN10" s="2"/>
      <c r="EKO10" s="2"/>
      <c r="EKP10" s="2"/>
      <c r="EKQ10" s="2"/>
      <c r="EKR10" s="2"/>
      <c r="EKS10" s="2"/>
      <c r="EKT10" s="2"/>
      <c r="EKU10" s="2"/>
      <c r="EKV10" s="2"/>
      <c r="EKW10" s="2"/>
      <c r="EKX10" s="2"/>
      <c r="EKY10" s="2"/>
      <c r="EKZ10" s="2"/>
      <c r="ELA10" s="2"/>
      <c r="ELB10" s="2"/>
      <c r="ELC10" s="2"/>
      <c r="ELD10" s="2"/>
      <c r="ELE10" s="2"/>
      <c r="ELF10" s="2"/>
      <c r="ELG10" s="2"/>
      <c r="ELH10" s="2"/>
      <c r="ELI10" s="2"/>
      <c r="ELJ10" s="2"/>
      <c r="ELK10" s="2"/>
      <c r="ELL10" s="2"/>
      <c r="ELM10" s="2"/>
      <c r="ELN10" s="2"/>
      <c r="ELO10" s="2"/>
      <c r="ELP10" s="2"/>
      <c r="ELQ10" s="2"/>
      <c r="ELR10" s="2"/>
      <c r="ELS10" s="2"/>
      <c r="ELT10" s="2"/>
      <c r="ELU10" s="2"/>
      <c r="ELV10" s="2"/>
      <c r="ELW10" s="2"/>
      <c r="ELX10" s="2"/>
      <c r="ELY10" s="2"/>
      <c r="ELZ10" s="2"/>
      <c r="EMA10" s="2"/>
      <c r="EMB10" s="2"/>
      <c r="EMC10" s="2"/>
      <c r="EMD10" s="2"/>
      <c r="EME10" s="2"/>
      <c r="EMF10" s="2"/>
      <c r="EMG10" s="2"/>
      <c r="EMH10" s="2"/>
      <c r="EMI10" s="2"/>
      <c r="EMJ10" s="2"/>
      <c r="EMK10" s="2"/>
      <c r="EML10" s="2"/>
      <c r="EMM10" s="2"/>
      <c r="EMN10" s="2"/>
      <c r="EMO10" s="2"/>
      <c r="EMP10" s="2"/>
      <c r="EMQ10" s="2"/>
      <c r="EMR10" s="2"/>
      <c r="EMS10" s="2"/>
      <c r="EMT10" s="2"/>
      <c r="EMU10" s="2"/>
      <c r="EMV10" s="2"/>
      <c r="EMW10" s="2"/>
      <c r="EMX10" s="2"/>
      <c r="EMY10" s="2"/>
      <c r="EMZ10" s="2"/>
      <c r="ENA10" s="2"/>
      <c r="ENB10" s="2"/>
      <c r="ENC10" s="2"/>
      <c r="END10" s="2"/>
      <c r="ENE10" s="2"/>
      <c r="ENF10" s="2"/>
      <c r="ENG10" s="2"/>
      <c r="ENH10" s="2"/>
      <c r="ENI10" s="2"/>
      <c r="ENJ10" s="2"/>
      <c r="ENK10" s="2"/>
      <c r="ENL10" s="2"/>
      <c r="ENM10" s="2"/>
      <c r="ENN10" s="2"/>
      <c r="ENO10" s="2"/>
      <c r="ENP10" s="2"/>
      <c r="ENQ10" s="2"/>
      <c r="ENR10" s="2"/>
      <c r="ENS10" s="2"/>
      <c r="ENT10" s="2"/>
      <c r="ENU10" s="2"/>
      <c r="ENV10" s="2"/>
      <c r="ENW10" s="2"/>
      <c r="ENX10" s="2"/>
      <c r="ENY10" s="2"/>
      <c r="ENZ10" s="2"/>
      <c r="EOA10" s="2"/>
      <c r="EOB10" s="2"/>
      <c r="EOC10" s="2"/>
      <c r="EOD10" s="2"/>
      <c r="EOE10" s="2"/>
      <c r="EOF10" s="2"/>
      <c r="EOG10" s="2"/>
      <c r="EOH10" s="2"/>
      <c r="EOI10" s="2"/>
      <c r="EOJ10" s="2"/>
      <c r="EOK10" s="2"/>
      <c r="EOL10" s="2"/>
      <c r="EOM10" s="2"/>
      <c r="EON10" s="2"/>
      <c r="EOO10" s="2"/>
      <c r="EOP10" s="2"/>
      <c r="EOQ10" s="2"/>
      <c r="EOR10" s="2"/>
      <c r="EOS10" s="2"/>
      <c r="EOT10" s="2"/>
      <c r="EOU10" s="2"/>
      <c r="EOV10" s="2"/>
      <c r="EOW10" s="2"/>
      <c r="EOX10" s="2"/>
      <c r="EOY10" s="2"/>
      <c r="EOZ10" s="2"/>
      <c r="EPA10" s="2"/>
      <c r="EPB10" s="2"/>
      <c r="EPC10" s="2"/>
      <c r="EPD10" s="2"/>
      <c r="EPE10" s="2"/>
      <c r="EPF10" s="2"/>
      <c r="EPG10" s="2"/>
      <c r="EPH10" s="2"/>
      <c r="EPI10" s="2"/>
      <c r="EPJ10" s="2"/>
      <c r="EPK10" s="2"/>
      <c r="EPL10" s="2"/>
      <c r="EPM10" s="2"/>
      <c r="EPN10" s="2"/>
      <c r="EPO10" s="2"/>
      <c r="EPP10" s="2"/>
      <c r="EPQ10" s="2"/>
      <c r="EPR10" s="2"/>
      <c r="EPS10" s="2"/>
      <c r="EPT10" s="2"/>
      <c r="EPU10" s="2"/>
      <c r="EPV10" s="2"/>
      <c r="EPW10" s="2"/>
      <c r="EPX10" s="2"/>
      <c r="EPY10" s="2"/>
      <c r="EPZ10" s="2"/>
      <c r="EQA10" s="2"/>
      <c r="EQB10" s="2"/>
      <c r="EQC10" s="2"/>
      <c r="EQD10" s="2"/>
      <c r="EQE10" s="2"/>
      <c r="EQF10" s="2"/>
      <c r="EQG10" s="2"/>
      <c r="EQH10" s="2"/>
      <c r="EQI10" s="2"/>
      <c r="EQJ10" s="2"/>
      <c r="EQK10" s="2"/>
      <c r="EQL10" s="2"/>
      <c r="EQM10" s="2"/>
      <c r="EQN10" s="2"/>
      <c r="EQO10" s="2"/>
      <c r="EQP10" s="2"/>
      <c r="EQQ10" s="2"/>
      <c r="EQR10" s="2"/>
      <c r="EQS10" s="2"/>
      <c r="EQT10" s="2"/>
      <c r="EQU10" s="2"/>
      <c r="EQV10" s="2"/>
      <c r="EQW10" s="2"/>
      <c r="EQX10" s="2"/>
      <c r="EQY10" s="2"/>
      <c r="EQZ10" s="2"/>
      <c r="ERA10" s="2"/>
      <c r="ERB10" s="2"/>
      <c r="ERC10" s="2"/>
      <c r="ERD10" s="2"/>
      <c r="ERE10" s="2"/>
      <c r="ERF10" s="2"/>
      <c r="ERG10" s="2"/>
      <c r="ERH10" s="2"/>
      <c r="ERI10" s="2"/>
      <c r="ERJ10" s="2"/>
      <c r="ERK10" s="2"/>
      <c r="ERL10" s="2"/>
      <c r="ERM10" s="2"/>
      <c r="ERN10" s="2"/>
      <c r="ERO10" s="2"/>
      <c r="ERP10" s="2"/>
      <c r="ERQ10" s="2"/>
      <c r="ERR10" s="2"/>
      <c r="ERS10" s="2"/>
      <c r="ERT10" s="2"/>
      <c r="ERU10" s="2"/>
      <c r="ERV10" s="2"/>
      <c r="ERW10" s="2"/>
      <c r="ERX10" s="2"/>
      <c r="ERY10" s="2"/>
      <c r="ERZ10" s="2"/>
      <c r="ESA10" s="2"/>
      <c r="ESB10" s="2"/>
      <c r="ESC10" s="2"/>
      <c r="ESD10" s="2"/>
      <c r="ESE10" s="2"/>
      <c r="ESF10" s="2"/>
      <c r="ESG10" s="2"/>
      <c r="ESH10" s="2"/>
      <c r="ESI10" s="2"/>
      <c r="ESJ10" s="2"/>
      <c r="ESK10" s="2"/>
      <c r="ESL10" s="2"/>
      <c r="ESM10" s="2"/>
      <c r="ESN10" s="2"/>
      <c r="ESO10" s="2"/>
      <c r="ESP10" s="2"/>
      <c r="ESQ10" s="2"/>
      <c r="ESR10" s="2"/>
      <c r="ESS10" s="2"/>
      <c r="EST10" s="2"/>
      <c r="ESU10" s="2"/>
      <c r="ESV10" s="2"/>
      <c r="ESW10" s="2"/>
      <c r="ESX10" s="2"/>
      <c r="ESY10" s="2"/>
      <c r="ESZ10" s="2"/>
      <c r="ETA10" s="2"/>
      <c r="ETB10" s="2"/>
      <c r="ETC10" s="2"/>
      <c r="ETD10" s="2"/>
      <c r="ETE10" s="2"/>
      <c r="ETF10" s="2"/>
      <c r="ETG10" s="2"/>
      <c r="ETH10" s="2"/>
      <c r="ETI10" s="2"/>
      <c r="ETJ10" s="2"/>
      <c r="ETK10" s="2"/>
      <c r="ETL10" s="2"/>
      <c r="ETM10" s="2"/>
      <c r="ETN10" s="2"/>
      <c r="ETO10" s="2"/>
      <c r="ETP10" s="2"/>
      <c r="ETQ10" s="2"/>
      <c r="ETR10" s="2"/>
      <c r="ETS10" s="2"/>
      <c r="ETT10" s="2"/>
      <c r="ETU10" s="2"/>
      <c r="ETV10" s="2"/>
      <c r="ETW10" s="2"/>
      <c r="ETX10" s="2"/>
      <c r="ETY10" s="2"/>
      <c r="ETZ10" s="2"/>
      <c r="EUA10" s="2"/>
      <c r="EUB10" s="2"/>
      <c r="EUC10" s="2"/>
      <c r="EUD10" s="2"/>
      <c r="EUE10" s="2"/>
      <c r="EUF10" s="2"/>
      <c r="EUG10" s="2"/>
      <c r="EUH10" s="2"/>
      <c r="EUI10" s="2"/>
      <c r="EUJ10" s="2"/>
      <c r="EUK10" s="2"/>
      <c r="EUL10" s="2"/>
      <c r="EUM10" s="2"/>
      <c r="EUN10" s="2"/>
      <c r="EUO10" s="2"/>
      <c r="EUP10" s="2"/>
      <c r="EUQ10" s="2"/>
      <c r="EUR10" s="2"/>
      <c r="EUS10" s="2"/>
      <c r="EUT10" s="2"/>
      <c r="EUU10" s="2"/>
      <c r="EUV10" s="2"/>
      <c r="EUW10" s="2"/>
      <c r="EUX10" s="2"/>
      <c r="EUY10" s="2"/>
      <c r="EUZ10" s="2"/>
      <c r="EVA10" s="2"/>
      <c r="EVB10" s="2"/>
      <c r="EVC10" s="2"/>
      <c r="EVD10" s="2"/>
      <c r="EVE10" s="2"/>
      <c r="EVF10" s="2"/>
      <c r="EVG10" s="2"/>
      <c r="EVH10" s="2"/>
      <c r="EVI10" s="2"/>
      <c r="EVJ10" s="2"/>
      <c r="EVK10" s="2"/>
      <c r="EVL10" s="2"/>
      <c r="EVM10" s="2"/>
      <c r="EVN10" s="2"/>
      <c r="EVO10" s="2"/>
      <c r="EVP10" s="2"/>
      <c r="EVQ10" s="2"/>
      <c r="EVR10" s="2"/>
      <c r="EVS10" s="2"/>
      <c r="EVT10" s="2"/>
      <c r="EVU10" s="2"/>
      <c r="EVV10" s="2"/>
      <c r="EVW10" s="2"/>
      <c r="EVX10" s="2"/>
      <c r="EVY10" s="2"/>
      <c r="EVZ10" s="2"/>
      <c r="EWA10" s="2"/>
      <c r="EWB10" s="2"/>
      <c r="EWC10" s="2"/>
      <c r="EWD10" s="2"/>
      <c r="EWE10" s="2"/>
      <c r="EWF10" s="2"/>
      <c r="EWG10" s="2"/>
      <c r="EWH10" s="2"/>
      <c r="EWI10" s="2"/>
      <c r="EWJ10" s="2"/>
      <c r="EWK10" s="2"/>
      <c r="EWL10" s="2"/>
      <c r="EWM10" s="2"/>
      <c r="EWN10" s="2"/>
      <c r="EWO10" s="2"/>
      <c r="EWP10" s="2"/>
      <c r="EWQ10" s="2"/>
      <c r="EWR10" s="2"/>
      <c r="EWS10" s="2"/>
      <c r="EWT10" s="2"/>
      <c r="EWU10" s="2"/>
      <c r="EWV10" s="2"/>
      <c r="EWW10" s="2"/>
      <c r="EWX10" s="2"/>
      <c r="EWY10" s="2"/>
      <c r="EWZ10" s="2"/>
      <c r="EXA10" s="2"/>
      <c r="EXB10" s="2"/>
      <c r="EXC10" s="2"/>
      <c r="EXD10" s="2"/>
      <c r="EXE10" s="2"/>
      <c r="EXF10" s="2"/>
      <c r="EXG10" s="2"/>
      <c r="EXH10" s="2"/>
      <c r="EXI10" s="2"/>
      <c r="EXJ10" s="2"/>
      <c r="EXK10" s="2"/>
      <c r="EXL10" s="2"/>
      <c r="EXM10" s="2"/>
      <c r="EXN10" s="2"/>
      <c r="EXO10" s="2"/>
      <c r="EXP10" s="2"/>
      <c r="EXQ10" s="2"/>
      <c r="EXR10" s="2"/>
      <c r="EXS10" s="2"/>
      <c r="EXT10" s="2"/>
      <c r="EXU10" s="2"/>
      <c r="EXV10" s="2"/>
      <c r="EXW10" s="2"/>
      <c r="EXX10" s="2"/>
      <c r="EXY10" s="2"/>
      <c r="EXZ10" s="2"/>
      <c r="EYA10" s="2"/>
      <c r="EYB10" s="2"/>
      <c r="EYC10" s="2"/>
      <c r="EYD10" s="2"/>
      <c r="EYE10" s="2"/>
      <c r="EYF10" s="2"/>
      <c r="EYG10" s="2"/>
      <c r="EYH10" s="2"/>
      <c r="EYI10" s="2"/>
      <c r="EYJ10" s="2"/>
      <c r="EYK10" s="2"/>
      <c r="EYL10" s="2"/>
      <c r="EYM10" s="2"/>
      <c r="EYN10" s="2"/>
      <c r="EYO10" s="2"/>
      <c r="EYP10" s="2"/>
      <c r="EYQ10" s="2"/>
      <c r="EYR10" s="2"/>
      <c r="EYS10" s="2"/>
      <c r="EYT10" s="2"/>
      <c r="EYU10" s="2"/>
      <c r="EYV10" s="2"/>
      <c r="EYW10" s="2"/>
      <c r="EYX10" s="2"/>
      <c r="EYY10" s="2"/>
      <c r="EYZ10" s="2"/>
      <c r="EZA10" s="2"/>
      <c r="EZB10" s="2"/>
      <c r="EZC10" s="2"/>
      <c r="EZD10" s="2"/>
      <c r="EZE10" s="2"/>
      <c r="EZF10" s="2"/>
      <c r="EZG10" s="2"/>
      <c r="EZH10" s="2"/>
      <c r="EZI10" s="2"/>
      <c r="EZJ10" s="2"/>
      <c r="EZK10" s="2"/>
      <c r="EZL10" s="2"/>
      <c r="EZM10" s="2"/>
      <c r="EZN10" s="2"/>
      <c r="EZO10" s="2"/>
      <c r="EZP10" s="2"/>
      <c r="EZQ10" s="2"/>
      <c r="EZR10" s="2"/>
      <c r="EZS10" s="2"/>
      <c r="EZT10" s="2"/>
      <c r="EZU10" s="2"/>
      <c r="EZV10" s="2"/>
      <c r="EZW10" s="2"/>
      <c r="EZX10" s="2"/>
      <c r="EZY10" s="2"/>
      <c r="EZZ10" s="2"/>
      <c r="FAA10" s="2"/>
      <c r="FAB10" s="2"/>
      <c r="FAC10" s="2"/>
      <c r="FAD10" s="2"/>
      <c r="FAE10" s="2"/>
      <c r="FAF10" s="2"/>
      <c r="FAG10" s="2"/>
      <c r="FAH10" s="2"/>
      <c r="FAI10" s="2"/>
      <c r="FAJ10" s="2"/>
      <c r="FAK10" s="2"/>
      <c r="FAL10" s="2"/>
      <c r="FAM10" s="2"/>
      <c r="FAN10" s="2"/>
      <c r="FAO10" s="2"/>
      <c r="FAP10" s="2"/>
      <c r="FAQ10" s="2"/>
      <c r="FAR10" s="2"/>
      <c r="FAS10" s="2"/>
      <c r="FAT10" s="2"/>
      <c r="FAU10" s="2"/>
      <c r="FAV10" s="2"/>
      <c r="FAW10" s="2"/>
      <c r="FAX10" s="2"/>
      <c r="FAY10" s="2"/>
      <c r="FAZ10" s="2"/>
      <c r="FBA10" s="2"/>
      <c r="FBB10" s="2"/>
      <c r="FBC10" s="2"/>
      <c r="FBD10" s="2"/>
      <c r="FBE10" s="2"/>
      <c r="FBF10" s="2"/>
      <c r="FBG10" s="2"/>
      <c r="FBH10" s="2"/>
      <c r="FBI10" s="2"/>
      <c r="FBJ10" s="2"/>
      <c r="FBK10" s="2"/>
      <c r="FBL10" s="2"/>
      <c r="FBM10" s="2"/>
      <c r="FBN10" s="2"/>
      <c r="FBO10" s="2"/>
      <c r="FBP10" s="2"/>
      <c r="FBQ10" s="2"/>
      <c r="FBR10" s="2"/>
      <c r="FBS10" s="2"/>
      <c r="FBT10" s="2"/>
      <c r="FBU10" s="2"/>
      <c r="FBV10" s="2"/>
      <c r="FBW10" s="2"/>
      <c r="FBX10" s="2"/>
      <c r="FBY10" s="2"/>
      <c r="FBZ10" s="2"/>
      <c r="FCA10" s="2"/>
      <c r="FCB10" s="2"/>
      <c r="FCC10" s="2"/>
      <c r="FCD10" s="2"/>
      <c r="FCE10" s="2"/>
      <c r="FCF10" s="2"/>
      <c r="FCG10" s="2"/>
      <c r="FCH10" s="2"/>
      <c r="FCI10" s="2"/>
      <c r="FCJ10" s="2"/>
      <c r="FCK10" s="2"/>
      <c r="FCL10" s="2"/>
      <c r="FCM10" s="2"/>
      <c r="FCN10" s="2"/>
      <c r="FCO10" s="2"/>
      <c r="FCP10" s="2"/>
      <c r="FCQ10" s="2"/>
      <c r="FCR10" s="2"/>
      <c r="FCS10" s="2"/>
      <c r="FCT10" s="2"/>
      <c r="FCU10" s="2"/>
      <c r="FCV10" s="2"/>
      <c r="FCW10" s="2"/>
      <c r="FCX10" s="2"/>
      <c r="FCY10" s="2"/>
      <c r="FCZ10" s="2"/>
      <c r="FDA10" s="2"/>
      <c r="FDB10" s="2"/>
      <c r="FDC10" s="2"/>
      <c r="FDD10" s="2"/>
      <c r="FDE10" s="2"/>
      <c r="FDF10" s="2"/>
      <c r="FDG10" s="2"/>
      <c r="FDH10" s="2"/>
      <c r="FDI10" s="2"/>
      <c r="FDJ10" s="2"/>
      <c r="FDK10" s="2"/>
      <c r="FDL10" s="2"/>
      <c r="FDM10" s="2"/>
      <c r="FDN10" s="2"/>
      <c r="FDO10" s="2"/>
      <c r="FDP10" s="2"/>
      <c r="FDQ10" s="2"/>
      <c r="FDR10" s="2"/>
      <c r="FDS10" s="2"/>
      <c r="FDT10" s="2"/>
      <c r="FDU10" s="2"/>
      <c r="FDV10" s="2"/>
      <c r="FDW10" s="2"/>
      <c r="FDX10" s="2"/>
      <c r="FDY10" s="2"/>
      <c r="FDZ10" s="2"/>
      <c r="FEA10" s="2"/>
      <c r="FEB10" s="2"/>
      <c r="FEC10" s="2"/>
      <c r="FED10" s="2"/>
      <c r="FEE10" s="2"/>
      <c r="FEF10" s="2"/>
      <c r="FEG10" s="2"/>
      <c r="FEH10" s="2"/>
      <c r="FEI10" s="2"/>
      <c r="FEJ10" s="2"/>
      <c r="FEK10" s="2"/>
      <c r="FEL10" s="2"/>
      <c r="FEM10" s="2"/>
      <c r="FEN10" s="2"/>
      <c r="FEO10" s="2"/>
      <c r="FEP10" s="2"/>
      <c r="FEQ10" s="2"/>
      <c r="FER10" s="2"/>
      <c r="FES10" s="2"/>
      <c r="FET10" s="2"/>
      <c r="FEU10" s="2"/>
      <c r="FEV10" s="2"/>
      <c r="FEW10" s="2"/>
      <c r="FEX10" s="2"/>
      <c r="FEY10" s="2"/>
      <c r="FEZ10" s="2"/>
      <c r="FFA10" s="2"/>
      <c r="FFB10" s="2"/>
      <c r="FFC10" s="2"/>
      <c r="FFD10" s="2"/>
      <c r="FFE10" s="2"/>
      <c r="FFF10" s="2"/>
      <c r="FFG10" s="2"/>
      <c r="FFH10" s="2"/>
      <c r="FFI10" s="2"/>
      <c r="FFJ10" s="2"/>
      <c r="FFK10" s="2"/>
      <c r="FFL10" s="2"/>
      <c r="FFM10" s="2"/>
      <c r="FFN10" s="2"/>
      <c r="FFO10" s="2"/>
      <c r="FFP10" s="2"/>
      <c r="FFQ10" s="2"/>
      <c r="FFR10" s="2"/>
      <c r="FFS10" s="2"/>
      <c r="FFT10" s="2"/>
      <c r="FFU10" s="2"/>
      <c r="FFV10" s="2"/>
      <c r="FFW10" s="2"/>
      <c r="FFX10" s="2"/>
      <c r="FFY10" s="2"/>
      <c r="FFZ10" s="2"/>
      <c r="FGA10" s="2"/>
      <c r="FGB10" s="2"/>
      <c r="FGC10" s="2"/>
      <c r="FGD10" s="2"/>
      <c r="FGE10" s="2"/>
      <c r="FGF10" s="2"/>
      <c r="FGG10" s="2"/>
      <c r="FGH10" s="2"/>
      <c r="FGI10" s="2"/>
      <c r="FGJ10" s="2"/>
      <c r="FGK10" s="2"/>
      <c r="FGL10" s="2"/>
      <c r="FGM10" s="2"/>
      <c r="FGN10" s="2"/>
      <c r="FGO10" s="2"/>
      <c r="FGP10" s="2"/>
      <c r="FGQ10" s="2"/>
      <c r="FGR10" s="2"/>
      <c r="FGS10" s="2"/>
      <c r="FGT10" s="2"/>
      <c r="FGU10" s="2"/>
      <c r="FGV10" s="2"/>
      <c r="FGW10" s="2"/>
      <c r="FGX10" s="2"/>
      <c r="FGY10" s="2"/>
      <c r="FGZ10" s="2"/>
      <c r="FHA10" s="2"/>
      <c r="FHB10" s="2"/>
      <c r="FHC10" s="2"/>
      <c r="FHD10" s="2"/>
      <c r="FHE10" s="2"/>
      <c r="FHF10" s="2"/>
      <c r="FHG10" s="2"/>
      <c r="FHH10" s="2"/>
      <c r="FHI10" s="2"/>
      <c r="FHJ10" s="2"/>
      <c r="FHK10" s="2"/>
      <c r="FHL10" s="2"/>
      <c r="FHM10" s="2"/>
      <c r="FHN10" s="2"/>
      <c r="FHO10" s="2"/>
      <c r="FHP10" s="2"/>
      <c r="FHQ10" s="2"/>
      <c r="FHR10" s="2"/>
      <c r="FHS10" s="2"/>
      <c r="FHT10" s="2"/>
      <c r="FHU10" s="2"/>
      <c r="FHV10" s="2"/>
      <c r="FHW10" s="2"/>
      <c r="FHX10" s="2"/>
      <c r="FHY10" s="2"/>
      <c r="FHZ10" s="2"/>
      <c r="FIA10" s="2"/>
      <c r="FIB10" s="2"/>
      <c r="FIC10" s="2"/>
      <c r="FID10" s="2"/>
      <c r="FIE10" s="2"/>
      <c r="FIF10" s="2"/>
      <c r="FIG10" s="2"/>
      <c r="FIH10" s="2"/>
      <c r="FII10" s="2"/>
      <c r="FIJ10" s="2"/>
      <c r="FIK10" s="2"/>
      <c r="FIL10" s="2"/>
      <c r="FIM10" s="2"/>
      <c r="FIN10" s="2"/>
      <c r="FIO10" s="2"/>
      <c r="FIP10" s="2"/>
      <c r="FIQ10" s="2"/>
      <c r="FIR10" s="2"/>
      <c r="FIS10" s="2"/>
      <c r="FIT10" s="2"/>
      <c r="FIU10" s="2"/>
      <c r="FIV10" s="2"/>
      <c r="FIW10" s="2"/>
      <c r="FIX10" s="2"/>
      <c r="FIY10" s="2"/>
      <c r="FIZ10" s="2"/>
      <c r="FJA10" s="2"/>
      <c r="FJB10" s="2"/>
      <c r="FJC10" s="2"/>
      <c r="FJD10" s="2"/>
      <c r="FJE10" s="2"/>
      <c r="FJF10" s="2"/>
      <c r="FJG10" s="2"/>
      <c r="FJH10" s="2"/>
      <c r="FJI10" s="2"/>
      <c r="FJJ10" s="2"/>
      <c r="FJK10" s="2"/>
      <c r="FJL10" s="2"/>
      <c r="FJM10" s="2"/>
      <c r="FJN10" s="2"/>
      <c r="FJO10" s="2"/>
      <c r="FJP10" s="2"/>
      <c r="FJQ10" s="2"/>
      <c r="FJR10" s="2"/>
      <c r="FJS10" s="2"/>
      <c r="FJT10" s="2"/>
      <c r="FJU10" s="2"/>
      <c r="FJV10" s="2"/>
      <c r="FJW10" s="2"/>
      <c r="FJX10" s="2"/>
      <c r="FJY10" s="2"/>
      <c r="FJZ10" s="2"/>
      <c r="FKA10" s="2"/>
      <c r="FKB10" s="2"/>
      <c r="FKC10" s="2"/>
      <c r="FKD10" s="2"/>
      <c r="FKE10" s="2"/>
      <c r="FKF10" s="2"/>
      <c r="FKG10" s="2"/>
      <c r="FKH10" s="2"/>
      <c r="FKI10" s="2"/>
      <c r="FKJ10" s="2"/>
      <c r="FKK10" s="2"/>
      <c r="FKL10" s="2"/>
      <c r="FKM10" s="2"/>
      <c r="FKN10" s="2"/>
      <c r="FKO10" s="2"/>
      <c r="FKP10" s="2"/>
      <c r="FKQ10" s="2"/>
      <c r="FKR10" s="2"/>
      <c r="FKS10" s="2"/>
      <c r="FKT10" s="2"/>
      <c r="FKU10" s="2"/>
      <c r="FKV10" s="2"/>
      <c r="FKW10" s="2"/>
      <c r="FKX10" s="2"/>
      <c r="FKY10" s="2"/>
      <c r="FKZ10" s="2"/>
      <c r="FLA10" s="2"/>
      <c r="FLB10" s="2"/>
      <c r="FLC10" s="2"/>
      <c r="FLD10" s="2"/>
      <c r="FLE10" s="2"/>
      <c r="FLF10" s="2"/>
      <c r="FLG10" s="2"/>
      <c r="FLH10" s="2"/>
      <c r="FLI10" s="2"/>
      <c r="FLJ10" s="2"/>
      <c r="FLK10" s="2"/>
      <c r="FLL10" s="2"/>
      <c r="FLM10" s="2"/>
      <c r="FLN10" s="2"/>
      <c r="FLO10" s="2"/>
      <c r="FLP10" s="2"/>
      <c r="FLQ10" s="2"/>
      <c r="FLR10" s="2"/>
      <c r="FLS10" s="2"/>
      <c r="FLT10" s="2"/>
      <c r="FLU10" s="2"/>
      <c r="FLV10" s="2"/>
      <c r="FLW10" s="2"/>
      <c r="FLX10" s="2"/>
      <c r="FLY10" s="2"/>
      <c r="FLZ10" s="2"/>
      <c r="FMA10" s="2"/>
      <c r="FMB10" s="2"/>
      <c r="FMC10" s="2"/>
      <c r="FMD10" s="2"/>
      <c r="FME10" s="2"/>
      <c r="FMF10" s="2"/>
      <c r="FMG10" s="2"/>
      <c r="FMH10" s="2"/>
      <c r="FMI10" s="2"/>
      <c r="FMJ10" s="2"/>
      <c r="FMK10" s="2"/>
      <c r="FML10" s="2"/>
      <c r="FMM10" s="2"/>
      <c r="FMN10" s="2"/>
      <c r="FMO10" s="2"/>
      <c r="FMP10" s="2"/>
      <c r="FMQ10" s="2"/>
      <c r="FMR10" s="2"/>
      <c r="FMS10" s="2"/>
      <c r="FMT10" s="2"/>
      <c r="FMU10" s="2"/>
      <c r="FMV10" s="2"/>
      <c r="FMW10" s="2"/>
      <c r="FMX10" s="2"/>
      <c r="FMY10" s="2"/>
      <c r="FMZ10" s="2"/>
      <c r="FNA10" s="2"/>
      <c r="FNB10" s="2"/>
      <c r="FNC10" s="2"/>
      <c r="FND10" s="2"/>
      <c r="FNE10" s="2"/>
      <c r="FNF10" s="2"/>
      <c r="FNG10" s="2"/>
      <c r="FNH10" s="2"/>
      <c r="FNI10" s="2"/>
      <c r="FNJ10" s="2"/>
      <c r="FNK10" s="2"/>
      <c r="FNL10" s="2"/>
      <c r="FNM10" s="2"/>
      <c r="FNN10" s="2"/>
      <c r="FNO10" s="2"/>
      <c r="FNP10" s="2"/>
      <c r="FNQ10" s="2"/>
      <c r="FNR10" s="2"/>
      <c r="FNS10" s="2"/>
      <c r="FNT10" s="2"/>
      <c r="FNU10" s="2"/>
      <c r="FNV10" s="2"/>
      <c r="FNW10" s="2"/>
      <c r="FNX10" s="2"/>
      <c r="FNY10" s="2"/>
      <c r="FNZ10" s="2"/>
      <c r="FOA10" s="2"/>
      <c r="FOB10" s="2"/>
      <c r="FOC10" s="2"/>
      <c r="FOD10" s="2"/>
      <c r="FOE10" s="2"/>
      <c r="FOF10" s="2"/>
      <c r="FOG10" s="2"/>
      <c r="FOH10" s="2"/>
      <c r="FOI10" s="2"/>
      <c r="FOJ10" s="2"/>
      <c r="FOK10" s="2"/>
      <c r="FOL10" s="2"/>
      <c r="FOM10" s="2"/>
      <c r="FON10" s="2"/>
      <c r="FOO10" s="2"/>
      <c r="FOP10" s="2"/>
      <c r="FOQ10" s="2"/>
      <c r="FOR10" s="2"/>
      <c r="FOS10" s="2"/>
      <c r="FOT10" s="2"/>
      <c r="FOU10" s="2"/>
      <c r="FOV10" s="2"/>
      <c r="FOW10" s="2"/>
      <c r="FOX10" s="2"/>
      <c r="FOY10" s="2"/>
      <c r="FOZ10" s="2"/>
      <c r="FPA10" s="2"/>
      <c r="FPB10" s="2"/>
      <c r="FPC10" s="2"/>
      <c r="FPD10" s="2"/>
      <c r="FPE10" s="2"/>
      <c r="FPF10" s="2"/>
      <c r="FPG10" s="2"/>
      <c r="FPH10" s="2"/>
      <c r="FPI10" s="2"/>
      <c r="FPJ10" s="2"/>
      <c r="FPK10" s="2"/>
      <c r="FPL10" s="2"/>
      <c r="FPM10" s="2"/>
      <c r="FPN10" s="2"/>
      <c r="FPO10" s="2"/>
      <c r="FPP10" s="2"/>
      <c r="FPQ10" s="2"/>
      <c r="FPR10" s="2"/>
      <c r="FPS10" s="2"/>
      <c r="FPT10" s="2"/>
      <c r="FPU10" s="2"/>
      <c r="FPV10" s="2"/>
      <c r="FPW10" s="2"/>
      <c r="FPX10" s="2"/>
      <c r="FPY10" s="2"/>
      <c r="FPZ10" s="2"/>
      <c r="FQA10" s="2"/>
      <c r="FQB10" s="2"/>
      <c r="FQC10" s="2"/>
      <c r="FQD10" s="2"/>
      <c r="FQE10" s="2"/>
      <c r="FQF10" s="2"/>
      <c r="FQG10" s="2"/>
      <c r="FQH10" s="2"/>
      <c r="FQI10" s="2"/>
      <c r="FQJ10" s="2"/>
      <c r="FQK10" s="2"/>
      <c r="FQL10" s="2"/>
      <c r="FQM10" s="2"/>
      <c r="FQN10" s="2"/>
      <c r="FQO10" s="2"/>
      <c r="FQP10" s="2"/>
      <c r="FQQ10" s="2"/>
      <c r="FQR10" s="2"/>
      <c r="FQS10" s="2"/>
      <c r="FQT10" s="2"/>
      <c r="FQU10" s="2"/>
      <c r="FQV10" s="2"/>
      <c r="FQW10" s="2"/>
      <c r="FQX10" s="2"/>
      <c r="FQY10" s="2"/>
      <c r="FQZ10" s="2"/>
      <c r="FRA10" s="2"/>
      <c r="FRB10" s="2"/>
      <c r="FRC10" s="2"/>
      <c r="FRD10" s="2"/>
      <c r="FRE10" s="2"/>
      <c r="FRF10" s="2"/>
      <c r="FRG10" s="2"/>
      <c r="FRH10" s="2"/>
      <c r="FRI10" s="2"/>
      <c r="FRJ10" s="2"/>
      <c r="FRK10" s="2"/>
      <c r="FRL10" s="2"/>
      <c r="FRM10" s="2"/>
      <c r="FRN10" s="2"/>
      <c r="FRO10" s="2"/>
      <c r="FRP10" s="2"/>
      <c r="FRQ10" s="2"/>
      <c r="FRR10" s="2"/>
      <c r="FRS10" s="2"/>
      <c r="FRT10" s="2"/>
      <c r="FRU10" s="2"/>
      <c r="FRV10" s="2"/>
      <c r="FRW10" s="2"/>
      <c r="FRX10" s="2"/>
      <c r="FRY10" s="2"/>
      <c r="FRZ10" s="2"/>
      <c r="FSA10" s="2"/>
      <c r="FSB10" s="2"/>
      <c r="FSC10" s="2"/>
      <c r="FSD10" s="2"/>
      <c r="FSE10" s="2"/>
      <c r="FSF10" s="2"/>
      <c r="FSG10" s="2"/>
      <c r="FSH10" s="2"/>
      <c r="FSI10" s="2"/>
      <c r="FSJ10" s="2"/>
      <c r="FSK10" s="2"/>
      <c r="FSL10" s="2"/>
      <c r="FSM10" s="2"/>
      <c r="FSN10" s="2"/>
      <c r="FSO10" s="2"/>
      <c r="FSP10" s="2"/>
      <c r="FSQ10" s="2"/>
      <c r="FSR10" s="2"/>
      <c r="FSS10" s="2"/>
      <c r="FST10" s="2"/>
      <c r="FSU10" s="2"/>
      <c r="FSV10" s="2"/>
      <c r="FSW10" s="2"/>
      <c r="FSX10" s="2"/>
      <c r="FSY10" s="2"/>
      <c r="FSZ10" s="2"/>
      <c r="FTA10" s="2"/>
      <c r="FTB10" s="2"/>
      <c r="FTC10" s="2"/>
      <c r="FTD10" s="2"/>
      <c r="FTE10" s="2"/>
      <c r="FTF10" s="2"/>
      <c r="FTG10" s="2"/>
      <c r="FTH10" s="2"/>
      <c r="FTI10" s="2"/>
      <c r="FTJ10" s="2"/>
      <c r="FTK10" s="2"/>
      <c r="FTL10" s="2"/>
      <c r="FTM10" s="2"/>
      <c r="FTN10" s="2"/>
      <c r="FTO10" s="2"/>
      <c r="FTP10" s="2"/>
      <c r="FTQ10" s="2"/>
      <c r="FTR10" s="2"/>
      <c r="FTS10" s="2"/>
      <c r="FTT10" s="2"/>
      <c r="FTU10" s="2"/>
      <c r="FTV10" s="2"/>
      <c r="FTW10" s="2"/>
      <c r="FTX10" s="2"/>
      <c r="FTY10" s="2"/>
      <c r="FTZ10" s="2"/>
      <c r="FUA10" s="2"/>
      <c r="FUB10" s="2"/>
      <c r="FUC10" s="2"/>
      <c r="FUD10" s="2"/>
      <c r="FUE10" s="2"/>
      <c r="FUF10" s="2"/>
      <c r="FUG10" s="2"/>
      <c r="FUH10" s="2"/>
      <c r="FUI10" s="2"/>
      <c r="FUJ10" s="2"/>
      <c r="FUK10" s="2"/>
      <c r="FUL10" s="2"/>
      <c r="FUM10" s="2"/>
      <c r="FUN10" s="2"/>
      <c r="FUO10" s="2"/>
      <c r="FUP10" s="2"/>
      <c r="FUQ10" s="2"/>
      <c r="FUR10" s="2"/>
      <c r="FUS10" s="2"/>
      <c r="FUT10" s="2"/>
      <c r="FUU10" s="2"/>
      <c r="FUV10" s="2"/>
      <c r="FUW10" s="2"/>
      <c r="FUX10" s="2"/>
      <c r="FUY10" s="2"/>
      <c r="FUZ10" s="2"/>
      <c r="FVA10" s="2"/>
      <c r="FVB10" s="2"/>
      <c r="FVC10" s="2"/>
      <c r="FVD10" s="2"/>
      <c r="FVE10" s="2"/>
      <c r="FVF10" s="2"/>
      <c r="FVG10" s="2"/>
      <c r="FVH10" s="2"/>
      <c r="FVI10" s="2"/>
      <c r="FVJ10" s="2"/>
      <c r="FVK10" s="2"/>
      <c r="FVL10" s="2"/>
      <c r="FVM10" s="2"/>
      <c r="FVN10" s="2"/>
      <c r="FVO10" s="2"/>
      <c r="FVP10" s="2"/>
      <c r="FVQ10" s="2"/>
      <c r="FVR10" s="2"/>
      <c r="FVS10" s="2"/>
      <c r="FVT10" s="2"/>
      <c r="FVU10" s="2"/>
      <c r="FVV10" s="2"/>
      <c r="FVW10" s="2"/>
      <c r="FVX10" s="2"/>
      <c r="FVY10" s="2"/>
      <c r="FVZ10" s="2"/>
      <c r="FWA10" s="2"/>
      <c r="FWB10" s="2"/>
      <c r="FWC10" s="2"/>
      <c r="FWD10" s="2"/>
      <c r="FWE10" s="2"/>
      <c r="FWF10" s="2"/>
      <c r="FWG10" s="2"/>
      <c r="FWH10" s="2"/>
      <c r="FWI10" s="2"/>
      <c r="FWJ10" s="2"/>
      <c r="FWK10" s="2"/>
      <c r="FWL10" s="2"/>
      <c r="FWM10" s="2"/>
      <c r="FWN10" s="2"/>
      <c r="FWO10" s="2"/>
      <c r="FWP10" s="2"/>
      <c r="FWQ10" s="2"/>
      <c r="FWR10" s="2"/>
      <c r="FWS10" s="2"/>
      <c r="FWT10" s="2"/>
      <c r="FWU10" s="2"/>
      <c r="FWV10" s="2"/>
      <c r="FWW10" s="2"/>
      <c r="FWX10" s="2"/>
      <c r="FWY10" s="2"/>
      <c r="FWZ10" s="2"/>
      <c r="FXA10" s="2"/>
      <c r="FXB10" s="2"/>
      <c r="FXC10" s="2"/>
      <c r="FXD10" s="2"/>
      <c r="FXE10" s="2"/>
      <c r="FXF10" s="2"/>
      <c r="FXG10" s="2"/>
      <c r="FXH10" s="2"/>
      <c r="FXI10" s="2"/>
      <c r="FXJ10" s="2"/>
      <c r="FXK10" s="2"/>
      <c r="FXL10" s="2"/>
      <c r="FXM10" s="2"/>
      <c r="FXN10" s="2"/>
      <c r="FXO10" s="2"/>
      <c r="FXP10" s="2"/>
      <c r="FXQ10" s="2"/>
      <c r="FXR10" s="2"/>
      <c r="FXS10" s="2"/>
      <c r="FXT10" s="2"/>
      <c r="FXU10" s="2"/>
      <c r="FXV10" s="2"/>
      <c r="FXW10" s="2"/>
      <c r="FXX10" s="2"/>
      <c r="FXY10" s="2"/>
      <c r="FXZ10" s="2"/>
      <c r="FYA10" s="2"/>
      <c r="FYB10" s="2"/>
      <c r="FYC10" s="2"/>
      <c r="FYD10" s="2"/>
      <c r="FYE10" s="2"/>
      <c r="FYF10" s="2"/>
      <c r="FYG10" s="2"/>
      <c r="FYH10" s="2"/>
      <c r="FYI10" s="2"/>
      <c r="FYJ10" s="2"/>
      <c r="FYK10" s="2"/>
      <c r="FYL10" s="2"/>
      <c r="FYM10" s="2"/>
      <c r="FYN10" s="2"/>
      <c r="FYO10" s="2"/>
      <c r="FYP10" s="2"/>
      <c r="FYQ10" s="2"/>
      <c r="FYR10" s="2"/>
      <c r="FYS10" s="2"/>
      <c r="FYT10" s="2"/>
      <c r="FYU10" s="2"/>
      <c r="FYV10" s="2"/>
      <c r="FYW10" s="2"/>
      <c r="FYX10" s="2"/>
      <c r="FYY10" s="2"/>
      <c r="FYZ10" s="2"/>
      <c r="FZA10" s="2"/>
      <c r="FZB10" s="2"/>
      <c r="FZC10" s="2"/>
      <c r="FZD10" s="2"/>
      <c r="FZE10" s="2"/>
      <c r="FZF10" s="2"/>
      <c r="FZG10" s="2"/>
      <c r="FZH10" s="2"/>
      <c r="FZI10" s="2"/>
      <c r="FZJ10" s="2"/>
      <c r="FZK10" s="2"/>
      <c r="FZL10" s="2"/>
      <c r="FZM10" s="2"/>
      <c r="FZN10" s="2"/>
      <c r="FZO10" s="2"/>
      <c r="FZP10" s="2"/>
      <c r="FZQ10" s="2"/>
      <c r="FZR10" s="2"/>
      <c r="FZS10" s="2"/>
      <c r="FZT10" s="2"/>
      <c r="FZU10" s="2"/>
      <c r="FZV10" s="2"/>
      <c r="FZW10" s="2"/>
      <c r="FZX10" s="2"/>
      <c r="FZY10" s="2"/>
      <c r="FZZ10" s="2"/>
      <c r="GAA10" s="2"/>
      <c r="GAB10" s="2"/>
      <c r="GAC10" s="2"/>
      <c r="GAD10" s="2"/>
      <c r="GAE10" s="2"/>
      <c r="GAF10" s="2"/>
      <c r="GAG10" s="2"/>
      <c r="GAH10" s="2"/>
      <c r="GAI10" s="2"/>
      <c r="GAJ10" s="2"/>
      <c r="GAK10" s="2"/>
      <c r="GAL10" s="2"/>
      <c r="GAM10" s="2"/>
      <c r="GAN10" s="2"/>
      <c r="GAO10" s="2"/>
      <c r="GAP10" s="2"/>
      <c r="GAQ10" s="2"/>
      <c r="GAR10" s="2"/>
      <c r="GAS10" s="2"/>
      <c r="GAT10" s="2"/>
      <c r="GAU10" s="2"/>
      <c r="GAV10" s="2"/>
      <c r="GAW10" s="2"/>
      <c r="GAX10" s="2"/>
      <c r="GAY10" s="2"/>
      <c r="GAZ10" s="2"/>
      <c r="GBA10" s="2"/>
      <c r="GBB10" s="2"/>
      <c r="GBC10" s="2"/>
      <c r="GBD10" s="2"/>
      <c r="GBE10" s="2"/>
      <c r="GBF10" s="2"/>
      <c r="GBG10" s="2"/>
      <c r="GBH10" s="2"/>
      <c r="GBI10" s="2"/>
      <c r="GBJ10" s="2"/>
      <c r="GBK10" s="2"/>
      <c r="GBL10" s="2"/>
      <c r="GBM10" s="2"/>
      <c r="GBN10" s="2"/>
      <c r="GBO10" s="2"/>
      <c r="GBP10" s="2"/>
      <c r="GBQ10" s="2"/>
      <c r="GBR10" s="2"/>
      <c r="GBS10" s="2"/>
      <c r="GBT10" s="2"/>
      <c r="GBU10" s="2"/>
      <c r="GBV10" s="2"/>
      <c r="GBW10" s="2"/>
      <c r="GBX10" s="2"/>
      <c r="GBY10" s="2"/>
      <c r="GBZ10" s="2"/>
      <c r="GCA10" s="2"/>
      <c r="GCB10" s="2"/>
      <c r="GCC10" s="2"/>
      <c r="GCD10" s="2"/>
      <c r="GCE10" s="2"/>
      <c r="GCF10" s="2"/>
      <c r="GCG10" s="2"/>
      <c r="GCH10" s="2"/>
      <c r="GCI10" s="2"/>
      <c r="GCJ10" s="2"/>
      <c r="GCK10" s="2"/>
      <c r="GCL10" s="2"/>
      <c r="GCM10" s="2"/>
      <c r="GCN10" s="2"/>
      <c r="GCO10" s="2"/>
      <c r="GCP10" s="2"/>
      <c r="GCQ10" s="2"/>
      <c r="GCR10" s="2"/>
      <c r="GCS10" s="2"/>
      <c r="GCT10" s="2"/>
      <c r="GCU10" s="2"/>
      <c r="GCV10" s="2"/>
      <c r="GCW10" s="2"/>
      <c r="GCX10" s="2"/>
      <c r="GCY10" s="2"/>
      <c r="GCZ10" s="2"/>
      <c r="GDA10" s="2"/>
      <c r="GDB10" s="2"/>
      <c r="GDC10" s="2"/>
      <c r="GDD10" s="2"/>
      <c r="GDE10" s="2"/>
      <c r="GDF10" s="2"/>
      <c r="GDG10" s="2"/>
      <c r="GDH10" s="2"/>
      <c r="GDI10" s="2"/>
      <c r="GDJ10" s="2"/>
      <c r="GDK10" s="2"/>
      <c r="GDL10" s="2"/>
      <c r="GDM10" s="2"/>
      <c r="GDN10" s="2"/>
      <c r="GDO10" s="2"/>
      <c r="GDP10" s="2"/>
      <c r="GDQ10" s="2"/>
      <c r="GDR10" s="2"/>
      <c r="GDS10" s="2"/>
      <c r="GDT10" s="2"/>
      <c r="GDU10" s="2"/>
      <c r="GDV10" s="2"/>
      <c r="GDW10" s="2"/>
      <c r="GDX10" s="2"/>
      <c r="GDY10" s="2"/>
      <c r="GDZ10" s="2"/>
      <c r="GEA10" s="2"/>
      <c r="GEB10" s="2"/>
      <c r="GEC10" s="2"/>
      <c r="GED10" s="2"/>
      <c r="GEE10" s="2"/>
      <c r="GEF10" s="2"/>
      <c r="GEG10" s="2"/>
      <c r="GEH10" s="2"/>
      <c r="GEI10" s="2"/>
      <c r="GEJ10" s="2"/>
      <c r="GEK10" s="2"/>
      <c r="GEL10" s="2"/>
      <c r="GEM10" s="2"/>
      <c r="GEN10" s="2"/>
      <c r="GEO10" s="2"/>
      <c r="GEP10" s="2"/>
      <c r="GEQ10" s="2"/>
      <c r="GER10" s="2"/>
      <c r="GES10" s="2"/>
      <c r="GET10" s="2"/>
      <c r="GEU10" s="2"/>
      <c r="GEV10" s="2"/>
      <c r="GEW10" s="2"/>
      <c r="GEX10" s="2"/>
      <c r="GEY10" s="2"/>
      <c r="GEZ10" s="2"/>
      <c r="GFA10" s="2"/>
      <c r="GFB10" s="2"/>
      <c r="GFC10" s="2"/>
      <c r="GFD10" s="2"/>
      <c r="GFE10" s="2"/>
      <c r="GFF10" s="2"/>
      <c r="GFG10" s="2"/>
      <c r="GFH10" s="2"/>
      <c r="GFI10" s="2"/>
      <c r="GFJ10" s="2"/>
      <c r="GFK10" s="2"/>
      <c r="GFL10" s="2"/>
      <c r="GFM10" s="2"/>
      <c r="GFN10" s="2"/>
      <c r="GFO10" s="2"/>
      <c r="GFP10" s="2"/>
      <c r="GFQ10" s="2"/>
      <c r="GFR10" s="2"/>
      <c r="GFS10" s="2"/>
      <c r="GFT10" s="2"/>
      <c r="GFU10" s="2"/>
      <c r="GFV10" s="2"/>
      <c r="GFW10" s="2"/>
      <c r="GFX10" s="2"/>
      <c r="GFY10" s="2"/>
      <c r="GFZ10" s="2"/>
      <c r="GGA10" s="2"/>
      <c r="GGB10" s="2"/>
      <c r="GGC10" s="2"/>
      <c r="GGD10" s="2"/>
      <c r="GGE10" s="2"/>
      <c r="GGF10" s="2"/>
      <c r="GGG10" s="2"/>
      <c r="GGH10" s="2"/>
      <c r="GGI10" s="2"/>
      <c r="GGJ10" s="2"/>
      <c r="GGK10" s="2"/>
      <c r="GGL10" s="2"/>
      <c r="GGM10" s="2"/>
      <c r="GGN10" s="2"/>
      <c r="GGO10" s="2"/>
      <c r="GGP10" s="2"/>
      <c r="GGQ10" s="2"/>
      <c r="GGR10" s="2"/>
      <c r="GGS10" s="2"/>
      <c r="GGT10" s="2"/>
      <c r="GGU10" s="2"/>
      <c r="GGV10" s="2"/>
      <c r="GGW10" s="2"/>
      <c r="GGX10" s="2"/>
      <c r="GGY10" s="2"/>
      <c r="GGZ10" s="2"/>
      <c r="GHA10" s="2"/>
      <c r="GHB10" s="2"/>
      <c r="GHC10" s="2"/>
      <c r="GHD10" s="2"/>
      <c r="GHE10" s="2"/>
      <c r="GHF10" s="2"/>
      <c r="GHG10" s="2"/>
      <c r="GHH10" s="2"/>
      <c r="GHI10" s="2"/>
      <c r="GHJ10" s="2"/>
      <c r="GHK10" s="2"/>
      <c r="GHL10" s="2"/>
      <c r="GHM10" s="2"/>
      <c r="GHN10" s="2"/>
      <c r="GHO10" s="2"/>
      <c r="GHP10" s="2"/>
      <c r="GHQ10" s="2"/>
      <c r="GHR10" s="2"/>
      <c r="GHS10" s="2"/>
      <c r="GHT10" s="2"/>
      <c r="GHU10" s="2"/>
      <c r="GHV10" s="2"/>
      <c r="GHW10" s="2"/>
      <c r="GHX10" s="2"/>
      <c r="GHY10" s="2"/>
      <c r="GHZ10" s="2"/>
      <c r="GIA10" s="2"/>
      <c r="GIB10" s="2"/>
      <c r="GIC10" s="2"/>
      <c r="GID10" s="2"/>
      <c r="GIE10" s="2"/>
      <c r="GIF10" s="2"/>
      <c r="GIG10" s="2"/>
      <c r="GIH10" s="2"/>
      <c r="GII10" s="2"/>
      <c r="GIJ10" s="2"/>
      <c r="GIK10" s="2"/>
      <c r="GIL10" s="2"/>
      <c r="GIM10" s="2"/>
      <c r="GIN10" s="2"/>
      <c r="GIO10" s="2"/>
      <c r="GIP10" s="2"/>
      <c r="GIQ10" s="2"/>
      <c r="GIR10" s="2"/>
      <c r="GIS10" s="2"/>
      <c r="GIT10" s="2"/>
      <c r="GIU10" s="2"/>
      <c r="GIV10" s="2"/>
      <c r="GIW10" s="2"/>
      <c r="GIX10" s="2"/>
      <c r="GIY10" s="2"/>
      <c r="GIZ10" s="2"/>
      <c r="GJA10" s="2"/>
      <c r="GJB10" s="2"/>
      <c r="GJC10" s="2"/>
      <c r="GJD10" s="2"/>
      <c r="GJE10" s="2"/>
      <c r="GJF10" s="2"/>
      <c r="GJG10" s="2"/>
      <c r="GJH10" s="2"/>
      <c r="GJI10" s="2"/>
      <c r="GJJ10" s="2"/>
      <c r="GJK10" s="2"/>
      <c r="GJL10" s="2"/>
      <c r="GJM10" s="2"/>
      <c r="GJN10" s="2"/>
      <c r="GJO10" s="2"/>
      <c r="GJP10" s="2"/>
      <c r="GJQ10" s="2"/>
      <c r="GJR10" s="2"/>
      <c r="GJS10" s="2"/>
      <c r="GJT10" s="2"/>
      <c r="GJU10" s="2"/>
      <c r="GJV10" s="2"/>
      <c r="GJW10" s="2"/>
      <c r="GJX10" s="2"/>
      <c r="GJY10" s="2"/>
      <c r="GJZ10" s="2"/>
      <c r="GKA10" s="2"/>
      <c r="GKB10" s="2"/>
      <c r="GKC10" s="2"/>
      <c r="GKD10" s="2"/>
      <c r="GKE10" s="2"/>
      <c r="GKF10" s="2"/>
      <c r="GKG10" s="2"/>
      <c r="GKH10" s="2"/>
      <c r="GKI10" s="2"/>
      <c r="GKJ10" s="2"/>
      <c r="GKK10" s="2"/>
      <c r="GKL10" s="2"/>
      <c r="GKM10" s="2"/>
      <c r="GKN10" s="2"/>
      <c r="GKO10" s="2"/>
      <c r="GKP10" s="2"/>
      <c r="GKQ10" s="2"/>
      <c r="GKR10" s="2"/>
      <c r="GKS10" s="2"/>
      <c r="GKT10" s="2"/>
      <c r="GKU10" s="2"/>
      <c r="GKV10" s="2"/>
      <c r="GKW10" s="2"/>
      <c r="GKX10" s="2"/>
      <c r="GKY10" s="2"/>
      <c r="GKZ10" s="2"/>
      <c r="GLA10" s="2"/>
      <c r="GLB10" s="2"/>
      <c r="GLC10" s="2"/>
      <c r="GLD10" s="2"/>
      <c r="GLE10" s="2"/>
      <c r="GLF10" s="2"/>
      <c r="GLG10" s="2"/>
      <c r="GLH10" s="2"/>
      <c r="GLI10" s="2"/>
      <c r="GLJ10" s="2"/>
      <c r="GLK10" s="2"/>
      <c r="GLL10" s="2"/>
      <c r="GLM10" s="2"/>
      <c r="GLN10" s="2"/>
      <c r="GLO10" s="2"/>
      <c r="GLP10" s="2"/>
      <c r="GLQ10" s="2"/>
      <c r="GLR10" s="2"/>
      <c r="GLS10" s="2"/>
      <c r="GLT10" s="2"/>
      <c r="GLU10" s="2"/>
      <c r="GLV10" s="2"/>
      <c r="GLW10" s="2"/>
      <c r="GLX10" s="2"/>
      <c r="GLY10" s="2"/>
      <c r="GLZ10" s="2"/>
      <c r="GMA10" s="2"/>
      <c r="GMB10" s="2"/>
      <c r="GMC10" s="2"/>
      <c r="GMD10" s="2"/>
      <c r="GME10" s="2"/>
      <c r="GMF10" s="2"/>
      <c r="GMG10" s="2"/>
      <c r="GMH10" s="2"/>
      <c r="GMI10" s="2"/>
      <c r="GMJ10" s="2"/>
      <c r="GMK10" s="2"/>
      <c r="GML10" s="2"/>
      <c r="GMM10" s="2"/>
      <c r="GMN10" s="2"/>
      <c r="GMO10" s="2"/>
      <c r="GMP10" s="2"/>
      <c r="GMQ10" s="2"/>
      <c r="GMR10" s="2"/>
      <c r="GMS10" s="2"/>
      <c r="GMT10" s="2"/>
      <c r="GMU10" s="2"/>
      <c r="GMV10" s="2"/>
      <c r="GMW10" s="2"/>
      <c r="GMX10" s="2"/>
      <c r="GMY10" s="2"/>
      <c r="GMZ10" s="2"/>
      <c r="GNA10" s="2"/>
      <c r="GNB10" s="2"/>
      <c r="GNC10" s="2"/>
      <c r="GND10" s="2"/>
      <c r="GNE10" s="2"/>
      <c r="GNF10" s="2"/>
      <c r="GNG10" s="2"/>
      <c r="GNH10" s="2"/>
      <c r="GNI10" s="2"/>
      <c r="GNJ10" s="2"/>
      <c r="GNK10" s="2"/>
      <c r="GNL10" s="2"/>
      <c r="GNM10" s="2"/>
      <c r="GNN10" s="2"/>
      <c r="GNO10" s="2"/>
      <c r="GNP10" s="2"/>
      <c r="GNQ10" s="2"/>
      <c r="GNR10" s="2"/>
      <c r="GNS10" s="2"/>
      <c r="GNT10" s="2"/>
      <c r="GNU10" s="2"/>
      <c r="GNV10" s="2"/>
      <c r="GNW10" s="2"/>
      <c r="GNX10" s="2"/>
      <c r="GNY10" s="2"/>
      <c r="GNZ10" s="2"/>
      <c r="GOA10" s="2"/>
      <c r="GOB10" s="2"/>
      <c r="GOC10" s="2"/>
      <c r="GOD10" s="2"/>
      <c r="GOE10" s="2"/>
      <c r="GOF10" s="2"/>
      <c r="GOG10" s="2"/>
      <c r="GOH10" s="2"/>
      <c r="GOI10" s="2"/>
      <c r="GOJ10" s="2"/>
      <c r="GOK10" s="2"/>
      <c r="GOL10" s="2"/>
      <c r="GOM10" s="2"/>
      <c r="GON10" s="2"/>
      <c r="GOO10" s="2"/>
      <c r="GOP10" s="2"/>
      <c r="GOQ10" s="2"/>
      <c r="GOR10" s="2"/>
      <c r="GOS10" s="2"/>
      <c r="GOT10" s="2"/>
      <c r="GOU10" s="2"/>
      <c r="GOV10" s="2"/>
      <c r="GOW10" s="2"/>
      <c r="GOX10" s="2"/>
      <c r="GOY10" s="2"/>
      <c r="GOZ10" s="2"/>
      <c r="GPA10" s="2"/>
      <c r="GPB10" s="2"/>
      <c r="GPC10" s="2"/>
      <c r="GPD10" s="2"/>
      <c r="GPE10" s="2"/>
      <c r="GPF10" s="2"/>
      <c r="GPG10" s="2"/>
      <c r="GPH10" s="2"/>
      <c r="GPI10" s="2"/>
      <c r="GPJ10" s="2"/>
      <c r="GPK10" s="2"/>
      <c r="GPL10" s="2"/>
      <c r="GPM10" s="2"/>
      <c r="GPN10" s="2"/>
      <c r="GPO10" s="2"/>
      <c r="GPP10" s="2"/>
      <c r="GPQ10" s="2"/>
      <c r="GPR10" s="2"/>
      <c r="GPS10" s="2"/>
      <c r="GPT10" s="2"/>
      <c r="GPU10" s="2"/>
      <c r="GPV10" s="2"/>
      <c r="GPW10" s="2"/>
      <c r="GPX10" s="2"/>
      <c r="GPY10" s="2"/>
      <c r="GPZ10" s="2"/>
      <c r="GQA10" s="2"/>
      <c r="GQB10" s="2"/>
      <c r="GQC10" s="2"/>
      <c r="GQD10" s="2"/>
      <c r="GQE10" s="2"/>
      <c r="GQF10" s="2"/>
      <c r="GQG10" s="2"/>
      <c r="GQH10" s="2"/>
      <c r="GQI10" s="2"/>
      <c r="GQJ10" s="2"/>
      <c r="GQK10" s="2"/>
      <c r="GQL10" s="2"/>
      <c r="GQM10" s="2"/>
      <c r="GQN10" s="2"/>
      <c r="GQO10" s="2"/>
      <c r="GQP10" s="2"/>
      <c r="GQQ10" s="2"/>
      <c r="GQR10" s="2"/>
      <c r="GQS10" s="2"/>
      <c r="GQT10" s="2"/>
      <c r="GQU10" s="2"/>
      <c r="GQV10" s="2"/>
      <c r="GQW10" s="2"/>
      <c r="GQX10" s="2"/>
      <c r="GQY10" s="2"/>
      <c r="GQZ10" s="2"/>
      <c r="GRA10" s="2"/>
      <c r="GRB10" s="2"/>
      <c r="GRC10" s="2"/>
      <c r="GRD10" s="2"/>
      <c r="GRE10" s="2"/>
      <c r="GRF10" s="2"/>
      <c r="GRG10" s="2"/>
      <c r="GRH10" s="2"/>
      <c r="GRI10" s="2"/>
      <c r="GRJ10" s="2"/>
      <c r="GRK10" s="2"/>
      <c r="GRL10" s="2"/>
      <c r="GRM10" s="2"/>
      <c r="GRN10" s="2"/>
      <c r="GRO10" s="2"/>
      <c r="GRP10" s="2"/>
      <c r="GRQ10" s="2"/>
      <c r="GRR10" s="2"/>
      <c r="GRS10" s="2"/>
      <c r="GRT10" s="2"/>
      <c r="GRU10" s="2"/>
      <c r="GRV10" s="2"/>
      <c r="GRW10" s="2"/>
      <c r="GRX10" s="2"/>
      <c r="GRY10" s="2"/>
      <c r="GRZ10" s="2"/>
      <c r="GSA10" s="2"/>
      <c r="GSB10" s="2"/>
      <c r="GSC10" s="2"/>
      <c r="GSD10" s="2"/>
      <c r="GSE10" s="2"/>
      <c r="GSF10" s="2"/>
      <c r="GSG10" s="2"/>
      <c r="GSH10" s="2"/>
      <c r="GSI10" s="2"/>
      <c r="GSJ10" s="2"/>
      <c r="GSK10" s="2"/>
      <c r="GSL10" s="2"/>
      <c r="GSM10" s="2"/>
      <c r="GSN10" s="2"/>
      <c r="GSO10" s="2"/>
      <c r="GSP10" s="2"/>
      <c r="GSQ10" s="2"/>
      <c r="GSR10" s="2"/>
      <c r="GSS10" s="2"/>
      <c r="GST10" s="2"/>
      <c r="GSU10" s="2"/>
      <c r="GSV10" s="2"/>
      <c r="GSW10" s="2"/>
      <c r="GSX10" s="2"/>
      <c r="GSY10" s="2"/>
      <c r="GSZ10" s="2"/>
      <c r="GTA10" s="2"/>
      <c r="GTB10" s="2"/>
      <c r="GTC10" s="2"/>
      <c r="GTD10" s="2"/>
      <c r="GTE10" s="2"/>
      <c r="GTF10" s="2"/>
      <c r="GTG10" s="2"/>
      <c r="GTH10" s="2"/>
      <c r="GTI10" s="2"/>
      <c r="GTJ10" s="2"/>
      <c r="GTK10" s="2"/>
      <c r="GTL10" s="2"/>
      <c r="GTM10" s="2"/>
      <c r="GTN10" s="2"/>
      <c r="GTO10" s="2"/>
      <c r="GTP10" s="2"/>
      <c r="GTQ10" s="2"/>
      <c r="GTR10" s="2"/>
      <c r="GTS10" s="2"/>
      <c r="GTT10" s="2"/>
      <c r="GTU10" s="2"/>
      <c r="GTV10" s="2"/>
      <c r="GTW10" s="2"/>
      <c r="GTX10" s="2"/>
      <c r="GTY10" s="2"/>
      <c r="GTZ10" s="2"/>
      <c r="GUA10" s="2"/>
      <c r="GUB10" s="2"/>
      <c r="GUC10" s="2"/>
      <c r="GUD10" s="2"/>
      <c r="GUE10" s="2"/>
      <c r="GUF10" s="2"/>
      <c r="GUG10" s="2"/>
      <c r="GUH10" s="2"/>
      <c r="GUI10" s="2"/>
      <c r="GUJ10" s="2"/>
      <c r="GUK10" s="2"/>
      <c r="GUL10" s="2"/>
      <c r="GUM10" s="2"/>
      <c r="GUN10" s="2"/>
      <c r="GUO10" s="2"/>
      <c r="GUP10" s="2"/>
      <c r="GUQ10" s="2"/>
      <c r="GUR10" s="2"/>
      <c r="GUS10" s="2"/>
      <c r="GUT10" s="2"/>
      <c r="GUU10" s="2"/>
      <c r="GUV10" s="2"/>
      <c r="GUW10" s="2"/>
      <c r="GUX10" s="2"/>
      <c r="GUY10" s="2"/>
      <c r="GUZ10" s="2"/>
      <c r="GVA10" s="2"/>
      <c r="GVB10" s="2"/>
      <c r="GVC10" s="2"/>
      <c r="GVD10" s="2"/>
      <c r="GVE10" s="2"/>
      <c r="GVF10" s="2"/>
      <c r="GVG10" s="2"/>
      <c r="GVH10" s="2"/>
      <c r="GVI10" s="2"/>
      <c r="GVJ10" s="2"/>
      <c r="GVK10" s="2"/>
      <c r="GVL10" s="2"/>
      <c r="GVM10" s="2"/>
      <c r="GVN10" s="2"/>
      <c r="GVO10" s="2"/>
      <c r="GVP10" s="2"/>
      <c r="GVQ10" s="2"/>
      <c r="GVR10" s="2"/>
      <c r="GVS10" s="2"/>
      <c r="GVT10" s="2"/>
      <c r="GVU10" s="2"/>
      <c r="GVV10" s="2"/>
      <c r="GVW10" s="2"/>
      <c r="GVX10" s="2"/>
      <c r="GVY10" s="2"/>
      <c r="GVZ10" s="2"/>
      <c r="GWA10" s="2"/>
      <c r="GWB10" s="2"/>
      <c r="GWC10" s="2"/>
      <c r="GWD10" s="2"/>
      <c r="GWE10" s="2"/>
      <c r="GWF10" s="2"/>
      <c r="GWG10" s="2"/>
      <c r="GWH10" s="2"/>
      <c r="GWI10" s="2"/>
      <c r="GWJ10" s="2"/>
      <c r="GWK10" s="2"/>
      <c r="GWL10" s="2"/>
      <c r="GWM10" s="2"/>
      <c r="GWN10" s="2"/>
      <c r="GWO10" s="2"/>
      <c r="GWP10" s="2"/>
      <c r="GWQ10" s="2"/>
      <c r="GWR10" s="2"/>
      <c r="GWS10" s="2"/>
      <c r="GWT10" s="2"/>
      <c r="GWU10" s="2"/>
      <c r="GWV10" s="2"/>
      <c r="GWW10" s="2"/>
      <c r="GWX10" s="2"/>
      <c r="GWY10" s="2"/>
      <c r="GWZ10" s="2"/>
      <c r="GXA10" s="2"/>
      <c r="GXB10" s="2"/>
      <c r="GXC10" s="2"/>
      <c r="GXD10" s="2"/>
      <c r="GXE10" s="2"/>
      <c r="GXF10" s="2"/>
      <c r="GXG10" s="2"/>
      <c r="GXH10" s="2"/>
      <c r="GXI10" s="2"/>
      <c r="GXJ10" s="2"/>
      <c r="GXK10" s="2"/>
      <c r="GXL10" s="2"/>
      <c r="GXM10" s="2"/>
      <c r="GXN10" s="2"/>
      <c r="GXO10" s="2"/>
      <c r="GXP10" s="2"/>
      <c r="GXQ10" s="2"/>
      <c r="GXR10" s="2"/>
      <c r="GXS10" s="2"/>
      <c r="GXT10" s="2"/>
      <c r="GXU10" s="2"/>
      <c r="GXV10" s="2"/>
      <c r="GXW10" s="2"/>
      <c r="GXX10" s="2"/>
      <c r="GXY10" s="2"/>
      <c r="GXZ10" s="2"/>
      <c r="GYA10" s="2"/>
      <c r="GYB10" s="2"/>
      <c r="GYC10" s="2"/>
      <c r="GYD10" s="2"/>
      <c r="GYE10" s="2"/>
      <c r="GYF10" s="2"/>
      <c r="GYG10" s="2"/>
      <c r="GYH10" s="2"/>
      <c r="GYI10" s="2"/>
      <c r="GYJ10" s="2"/>
      <c r="GYK10" s="2"/>
      <c r="GYL10" s="2"/>
      <c r="GYM10" s="2"/>
      <c r="GYN10" s="2"/>
      <c r="GYO10" s="2"/>
      <c r="GYP10" s="2"/>
      <c r="GYQ10" s="2"/>
      <c r="GYR10" s="2"/>
      <c r="GYS10" s="2"/>
      <c r="GYT10" s="2"/>
      <c r="GYU10" s="2"/>
      <c r="GYV10" s="2"/>
      <c r="GYW10" s="2"/>
      <c r="GYX10" s="2"/>
      <c r="GYY10" s="2"/>
      <c r="GYZ10" s="2"/>
      <c r="GZA10" s="2"/>
      <c r="GZB10" s="2"/>
      <c r="GZC10" s="2"/>
      <c r="GZD10" s="2"/>
      <c r="GZE10" s="2"/>
      <c r="GZF10" s="2"/>
      <c r="GZG10" s="2"/>
      <c r="GZH10" s="2"/>
      <c r="GZI10" s="2"/>
      <c r="GZJ10" s="2"/>
      <c r="GZK10" s="2"/>
      <c r="GZL10" s="2"/>
      <c r="GZM10" s="2"/>
      <c r="GZN10" s="2"/>
      <c r="GZO10" s="2"/>
      <c r="GZP10" s="2"/>
      <c r="GZQ10" s="2"/>
      <c r="GZR10" s="2"/>
      <c r="GZS10" s="2"/>
      <c r="GZT10" s="2"/>
      <c r="GZU10" s="2"/>
      <c r="GZV10" s="2"/>
      <c r="GZW10" s="2"/>
      <c r="GZX10" s="2"/>
      <c r="GZY10" s="2"/>
      <c r="GZZ10" s="2"/>
      <c r="HAA10" s="2"/>
      <c r="HAB10" s="2"/>
      <c r="HAC10" s="2"/>
      <c r="HAD10" s="2"/>
      <c r="HAE10" s="2"/>
      <c r="HAF10" s="2"/>
      <c r="HAG10" s="2"/>
      <c r="HAH10" s="2"/>
      <c r="HAI10" s="2"/>
      <c r="HAJ10" s="2"/>
      <c r="HAK10" s="2"/>
      <c r="HAL10" s="2"/>
      <c r="HAM10" s="2"/>
      <c r="HAN10" s="2"/>
      <c r="HAO10" s="2"/>
      <c r="HAP10" s="2"/>
      <c r="HAQ10" s="2"/>
      <c r="HAR10" s="2"/>
      <c r="HAS10" s="2"/>
      <c r="HAT10" s="2"/>
      <c r="HAU10" s="2"/>
      <c r="HAV10" s="2"/>
      <c r="HAW10" s="2"/>
      <c r="HAX10" s="2"/>
      <c r="HAY10" s="2"/>
      <c r="HAZ10" s="2"/>
      <c r="HBA10" s="2"/>
      <c r="HBB10" s="2"/>
      <c r="HBC10" s="2"/>
      <c r="HBD10" s="2"/>
      <c r="HBE10" s="2"/>
      <c r="HBF10" s="2"/>
      <c r="HBG10" s="2"/>
      <c r="HBH10" s="2"/>
      <c r="HBI10" s="2"/>
      <c r="HBJ10" s="2"/>
      <c r="HBK10" s="2"/>
      <c r="HBL10" s="2"/>
      <c r="HBM10" s="2"/>
      <c r="HBN10" s="2"/>
      <c r="HBO10" s="2"/>
      <c r="HBP10" s="2"/>
      <c r="HBQ10" s="2"/>
      <c r="HBR10" s="2"/>
      <c r="HBS10" s="2"/>
      <c r="HBT10" s="2"/>
      <c r="HBU10" s="2"/>
      <c r="HBV10" s="2"/>
      <c r="HBW10" s="2"/>
      <c r="HBX10" s="2"/>
      <c r="HBY10" s="2"/>
      <c r="HBZ10" s="2"/>
      <c r="HCA10" s="2"/>
      <c r="HCB10" s="2"/>
      <c r="HCC10" s="2"/>
      <c r="HCD10" s="2"/>
      <c r="HCE10" s="2"/>
      <c r="HCF10" s="2"/>
      <c r="HCG10" s="2"/>
      <c r="HCH10" s="2"/>
      <c r="HCI10" s="2"/>
      <c r="HCJ10" s="2"/>
      <c r="HCK10" s="2"/>
      <c r="HCL10" s="2"/>
      <c r="HCM10" s="2"/>
      <c r="HCN10" s="2"/>
      <c r="HCO10" s="2"/>
      <c r="HCP10" s="2"/>
      <c r="HCQ10" s="2"/>
      <c r="HCR10" s="2"/>
      <c r="HCS10" s="2"/>
      <c r="HCT10" s="2"/>
      <c r="HCU10" s="2"/>
      <c r="HCV10" s="2"/>
      <c r="HCW10" s="2"/>
      <c r="HCX10" s="2"/>
      <c r="HCY10" s="2"/>
      <c r="HCZ10" s="2"/>
      <c r="HDA10" s="2"/>
      <c r="HDB10" s="2"/>
      <c r="HDC10" s="2"/>
      <c r="HDD10" s="2"/>
      <c r="HDE10" s="2"/>
      <c r="HDF10" s="2"/>
      <c r="HDG10" s="2"/>
      <c r="HDH10" s="2"/>
      <c r="HDI10" s="2"/>
      <c r="HDJ10" s="2"/>
      <c r="HDK10" s="2"/>
      <c r="HDL10" s="2"/>
      <c r="HDM10" s="2"/>
      <c r="HDN10" s="2"/>
      <c r="HDO10" s="2"/>
      <c r="HDP10" s="2"/>
      <c r="HDQ10" s="2"/>
      <c r="HDR10" s="2"/>
      <c r="HDS10" s="2"/>
      <c r="HDT10" s="2"/>
      <c r="HDU10" s="2"/>
      <c r="HDV10" s="2"/>
      <c r="HDW10" s="2"/>
      <c r="HDX10" s="2"/>
      <c r="HDY10" s="2"/>
      <c r="HDZ10" s="2"/>
      <c r="HEA10" s="2"/>
      <c r="HEB10" s="2"/>
      <c r="HEC10" s="2"/>
      <c r="HED10" s="2"/>
      <c r="HEE10" s="2"/>
      <c r="HEF10" s="2"/>
      <c r="HEG10" s="2"/>
      <c r="HEH10" s="2"/>
      <c r="HEI10" s="2"/>
      <c r="HEJ10" s="2"/>
      <c r="HEK10" s="2"/>
      <c r="HEL10" s="2"/>
      <c r="HEM10" s="2"/>
      <c r="HEN10" s="2"/>
      <c r="HEO10" s="2"/>
      <c r="HEP10" s="2"/>
      <c r="HEQ10" s="2"/>
      <c r="HER10" s="2"/>
      <c r="HES10" s="2"/>
      <c r="HET10" s="2"/>
      <c r="HEU10" s="2"/>
      <c r="HEV10" s="2"/>
      <c r="HEW10" s="2"/>
      <c r="HEX10" s="2"/>
      <c r="HEY10" s="2"/>
      <c r="HEZ10" s="2"/>
      <c r="HFA10" s="2"/>
      <c r="HFB10" s="2"/>
      <c r="HFC10" s="2"/>
      <c r="HFD10" s="2"/>
      <c r="HFE10" s="2"/>
      <c r="HFF10" s="2"/>
      <c r="HFG10" s="2"/>
      <c r="HFH10" s="2"/>
      <c r="HFI10" s="2"/>
      <c r="HFJ10" s="2"/>
      <c r="HFK10" s="2"/>
      <c r="HFL10" s="2"/>
      <c r="HFM10" s="2"/>
      <c r="HFN10" s="2"/>
      <c r="HFO10" s="2"/>
      <c r="HFP10" s="2"/>
      <c r="HFQ10" s="2"/>
      <c r="HFR10" s="2"/>
      <c r="HFS10" s="2"/>
      <c r="HFT10" s="2"/>
      <c r="HFU10" s="2"/>
      <c r="HFV10" s="2"/>
      <c r="HFW10" s="2"/>
      <c r="HFX10" s="2"/>
      <c r="HFY10" s="2"/>
      <c r="HFZ10" s="2"/>
      <c r="HGA10" s="2"/>
      <c r="HGB10" s="2"/>
      <c r="HGC10" s="2"/>
      <c r="HGD10" s="2"/>
      <c r="HGE10" s="2"/>
      <c r="HGF10" s="2"/>
      <c r="HGG10" s="2"/>
      <c r="HGH10" s="2"/>
      <c r="HGI10" s="2"/>
      <c r="HGJ10" s="2"/>
      <c r="HGK10" s="2"/>
      <c r="HGL10" s="2"/>
      <c r="HGM10" s="2"/>
      <c r="HGN10" s="2"/>
      <c r="HGO10" s="2"/>
      <c r="HGP10" s="2"/>
      <c r="HGQ10" s="2"/>
      <c r="HGR10" s="2"/>
      <c r="HGS10" s="2"/>
      <c r="HGT10" s="2"/>
      <c r="HGU10" s="2"/>
      <c r="HGV10" s="2"/>
      <c r="HGW10" s="2"/>
      <c r="HGX10" s="2"/>
      <c r="HGY10" s="2"/>
      <c r="HGZ10" s="2"/>
      <c r="HHA10" s="2"/>
      <c r="HHB10" s="2"/>
      <c r="HHC10" s="2"/>
      <c r="HHD10" s="2"/>
      <c r="HHE10" s="2"/>
      <c r="HHF10" s="2"/>
      <c r="HHG10" s="2"/>
      <c r="HHH10" s="2"/>
      <c r="HHI10" s="2"/>
      <c r="HHJ10" s="2"/>
      <c r="HHK10" s="2"/>
      <c r="HHL10" s="2"/>
      <c r="HHM10" s="2"/>
      <c r="HHN10" s="2"/>
      <c r="HHO10" s="2"/>
      <c r="HHP10" s="2"/>
      <c r="HHQ10" s="2"/>
      <c r="HHR10" s="2"/>
      <c r="HHS10" s="2"/>
      <c r="HHT10" s="2"/>
      <c r="HHU10" s="2"/>
      <c r="HHV10" s="2"/>
      <c r="HHW10" s="2"/>
      <c r="HHX10" s="2"/>
      <c r="HHY10" s="2"/>
      <c r="HHZ10" s="2"/>
      <c r="HIA10" s="2"/>
      <c r="HIB10" s="2"/>
      <c r="HIC10" s="2"/>
      <c r="HID10" s="2"/>
      <c r="HIE10" s="2"/>
      <c r="HIF10" s="2"/>
      <c r="HIG10" s="2"/>
      <c r="HIH10" s="2"/>
      <c r="HII10" s="2"/>
      <c r="HIJ10" s="2"/>
      <c r="HIK10" s="2"/>
      <c r="HIL10" s="2"/>
      <c r="HIM10" s="2"/>
      <c r="HIN10" s="2"/>
      <c r="HIO10" s="2"/>
      <c r="HIP10" s="2"/>
      <c r="HIQ10" s="2"/>
      <c r="HIR10" s="2"/>
      <c r="HIS10" s="2"/>
      <c r="HIT10" s="2"/>
      <c r="HIU10" s="2"/>
      <c r="HIV10" s="2"/>
      <c r="HIW10" s="2"/>
      <c r="HIX10" s="2"/>
      <c r="HIY10" s="2"/>
      <c r="HIZ10" s="2"/>
      <c r="HJA10" s="2"/>
      <c r="HJB10" s="2"/>
      <c r="HJC10" s="2"/>
      <c r="HJD10" s="2"/>
      <c r="HJE10" s="2"/>
      <c r="HJF10" s="2"/>
      <c r="HJG10" s="2"/>
      <c r="HJH10" s="2"/>
      <c r="HJI10" s="2"/>
      <c r="HJJ10" s="2"/>
      <c r="HJK10" s="2"/>
      <c r="HJL10" s="2"/>
      <c r="HJM10" s="2"/>
      <c r="HJN10" s="2"/>
      <c r="HJO10" s="2"/>
      <c r="HJP10" s="2"/>
      <c r="HJQ10" s="2"/>
      <c r="HJR10" s="2"/>
      <c r="HJS10" s="2"/>
      <c r="HJT10" s="2"/>
      <c r="HJU10" s="2"/>
      <c r="HJV10" s="2"/>
      <c r="HJW10" s="2"/>
      <c r="HJX10" s="2"/>
      <c r="HJY10" s="2"/>
      <c r="HJZ10" s="2"/>
      <c r="HKA10" s="2"/>
      <c r="HKB10" s="2"/>
      <c r="HKC10" s="2"/>
      <c r="HKD10" s="2"/>
      <c r="HKE10" s="2"/>
      <c r="HKF10" s="2"/>
      <c r="HKG10" s="2"/>
      <c r="HKH10" s="2"/>
      <c r="HKI10" s="2"/>
      <c r="HKJ10" s="2"/>
      <c r="HKK10" s="2"/>
      <c r="HKL10" s="2"/>
      <c r="HKM10" s="2"/>
      <c r="HKN10" s="2"/>
      <c r="HKO10" s="2"/>
      <c r="HKP10" s="2"/>
      <c r="HKQ10" s="2"/>
      <c r="HKR10" s="2"/>
      <c r="HKS10" s="2"/>
      <c r="HKT10" s="2"/>
      <c r="HKU10" s="2"/>
      <c r="HKV10" s="2"/>
      <c r="HKW10" s="2"/>
      <c r="HKX10" s="2"/>
      <c r="HKY10" s="2"/>
      <c r="HKZ10" s="2"/>
      <c r="HLA10" s="2"/>
      <c r="HLB10" s="2"/>
      <c r="HLC10" s="2"/>
      <c r="HLD10" s="2"/>
      <c r="HLE10" s="2"/>
      <c r="HLF10" s="2"/>
      <c r="HLG10" s="2"/>
      <c r="HLH10" s="2"/>
      <c r="HLI10" s="2"/>
      <c r="HLJ10" s="2"/>
      <c r="HLK10" s="2"/>
      <c r="HLL10" s="2"/>
      <c r="HLM10" s="2"/>
      <c r="HLN10" s="2"/>
      <c r="HLO10" s="2"/>
      <c r="HLP10" s="2"/>
      <c r="HLQ10" s="2"/>
      <c r="HLR10" s="2"/>
      <c r="HLS10" s="2"/>
      <c r="HLT10" s="2"/>
      <c r="HLU10" s="2"/>
      <c r="HLV10" s="2"/>
      <c r="HLW10" s="2"/>
      <c r="HLX10" s="2"/>
      <c r="HLY10" s="2"/>
      <c r="HLZ10" s="2"/>
      <c r="HMA10" s="2"/>
      <c r="HMB10" s="2"/>
      <c r="HMC10" s="2"/>
      <c r="HMD10" s="2"/>
      <c r="HME10" s="2"/>
      <c r="HMF10" s="2"/>
      <c r="HMG10" s="2"/>
      <c r="HMH10" s="2"/>
      <c r="HMI10" s="2"/>
      <c r="HMJ10" s="2"/>
      <c r="HMK10" s="2"/>
      <c r="HML10" s="2"/>
      <c r="HMM10" s="2"/>
      <c r="HMN10" s="2"/>
      <c r="HMO10" s="2"/>
      <c r="HMP10" s="2"/>
      <c r="HMQ10" s="2"/>
      <c r="HMR10" s="2"/>
      <c r="HMS10" s="2"/>
      <c r="HMT10" s="2"/>
      <c r="HMU10" s="2"/>
      <c r="HMV10" s="2"/>
      <c r="HMW10" s="2"/>
      <c r="HMX10" s="2"/>
      <c r="HMY10" s="2"/>
      <c r="HMZ10" s="2"/>
      <c r="HNA10" s="2"/>
      <c r="HNB10" s="2"/>
      <c r="HNC10" s="2"/>
      <c r="HND10" s="2"/>
      <c r="HNE10" s="2"/>
      <c r="HNF10" s="2"/>
      <c r="HNG10" s="2"/>
      <c r="HNH10" s="2"/>
      <c r="HNI10" s="2"/>
      <c r="HNJ10" s="2"/>
      <c r="HNK10" s="2"/>
      <c r="HNL10" s="2"/>
      <c r="HNM10" s="2"/>
      <c r="HNN10" s="2"/>
      <c r="HNO10" s="2"/>
      <c r="HNP10" s="2"/>
      <c r="HNQ10" s="2"/>
      <c r="HNR10" s="2"/>
      <c r="HNS10" s="2"/>
      <c r="HNT10" s="2"/>
      <c r="HNU10" s="2"/>
      <c r="HNV10" s="2"/>
      <c r="HNW10" s="2"/>
      <c r="HNX10" s="2"/>
      <c r="HNY10" s="2"/>
      <c r="HNZ10" s="2"/>
      <c r="HOA10" s="2"/>
      <c r="HOB10" s="2"/>
      <c r="HOC10" s="2"/>
      <c r="HOD10" s="2"/>
      <c r="HOE10" s="2"/>
      <c r="HOF10" s="2"/>
      <c r="HOG10" s="2"/>
      <c r="HOH10" s="2"/>
      <c r="HOI10" s="2"/>
      <c r="HOJ10" s="2"/>
      <c r="HOK10" s="2"/>
      <c r="HOL10" s="2"/>
      <c r="HOM10" s="2"/>
      <c r="HON10" s="2"/>
      <c r="HOO10" s="2"/>
      <c r="HOP10" s="2"/>
      <c r="HOQ10" s="2"/>
      <c r="HOR10" s="2"/>
      <c r="HOS10" s="2"/>
      <c r="HOT10" s="2"/>
      <c r="HOU10" s="2"/>
      <c r="HOV10" s="2"/>
      <c r="HOW10" s="2"/>
      <c r="HOX10" s="2"/>
      <c r="HOY10" s="2"/>
      <c r="HOZ10" s="2"/>
      <c r="HPA10" s="2"/>
      <c r="HPB10" s="2"/>
      <c r="HPC10" s="2"/>
      <c r="HPD10" s="2"/>
      <c r="HPE10" s="2"/>
      <c r="HPF10" s="2"/>
      <c r="HPG10" s="2"/>
      <c r="HPH10" s="2"/>
      <c r="HPI10" s="2"/>
      <c r="HPJ10" s="2"/>
      <c r="HPK10" s="2"/>
      <c r="HPL10" s="2"/>
      <c r="HPM10" s="2"/>
      <c r="HPN10" s="2"/>
      <c r="HPO10" s="2"/>
      <c r="HPP10" s="2"/>
      <c r="HPQ10" s="2"/>
      <c r="HPR10" s="2"/>
      <c r="HPS10" s="2"/>
      <c r="HPT10" s="2"/>
      <c r="HPU10" s="2"/>
      <c r="HPV10" s="2"/>
      <c r="HPW10" s="2"/>
      <c r="HPX10" s="2"/>
      <c r="HPY10" s="2"/>
      <c r="HPZ10" s="2"/>
      <c r="HQA10" s="2"/>
      <c r="HQB10" s="2"/>
      <c r="HQC10" s="2"/>
      <c r="HQD10" s="2"/>
      <c r="HQE10" s="2"/>
      <c r="HQF10" s="2"/>
      <c r="HQG10" s="2"/>
      <c r="HQH10" s="2"/>
      <c r="HQI10" s="2"/>
      <c r="HQJ10" s="2"/>
      <c r="HQK10" s="2"/>
      <c r="HQL10" s="2"/>
      <c r="HQM10" s="2"/>
      <c r="HQN10" s="2"/>
      <c r="HQO10" s="2"/>
      <c r="HQP10" s="2"/>
      <c r="HQQ10" s="2"/>
      <c r="HQR10" s="2"/>
      <c r="HQS10" s="2"/>
      <c r="HQT10" s="2"/>
      <c r="HQU10" s="2"/>
      <c r="HQV10" s="2"/>
      <c r="HQW10" s="2"/>
      <c r="HQX10" s="2"/>
      <c r="HQY10" s="2"/>
      <c r="HQZ10" s="2"/>
      <c r="HRA10" s="2"/>
      <c r="HRB10" s="2"/>
      <c r="HRC10" s="2"/>
      <c r="HRD10" s="2"/>
      <c r="HRE10" s="2"/>
      <c r="HRF10" s="2"/>
      <c r="HRG10" s="2"/>
      <c r="HRH10" s="2"/>
      <c r="HRI10" s="2"/>
      <c r="HRJ10" s="2"/>
      <c r="HRK10" s="2"/>
      <c r="HRL10" s="2"/>
      <c r="HRM10" s="2"/>
      <c r="HRN10" s="2"/>
      <c r="HRO10" s="2"/>
      <c r="HRP10" s="2"/>
      <c r="HRQ10" s="2"/>
      <c r="HRR10" s="2"/>
      <c r="HRS10" s="2"/>
      <c r="HRT10" s="2"/>
      <c r="HRU10" s="2"/>
      <c r="HRV10" s="2"/>
      <c r="HRW10" s="2"/>
      <c r="HRX10" s="2"/>
      <c r="HRY10" s="2"/>
      <c r="HRZ10" s="2"/>
      <c r="HSA10" s="2"/>
      <c r="HSB10" s="2"/>
      <c r="HSC10" s="2"/>
      <c r="HSD10" s="2"/>
      <c r="HSE10" s="2"/>
      <c r="HSF10" s="2"/>
      <c r="HSG10" s="2"/>
      <c r="HSH10" s="2"/>
      <c r="HSI10" s="2"/>
      <c r="HSJ10" s="2"/>
      <c r="HSK10" s="2"/>
      <c r="HSL10" s="2"/>
      <c r="HSM10" s="2"/>
      <c r="HSN10" s="2"/>
      <c r="HSO10" s="2"/>
      <c r="HSP10" s="2"/>
      <c r="HSQ10" s="2"/>
      <c r="HSR10" s="2"/>
      <c r="HSS10" s="2"/>
      <c r="HST10" s="2"/>
      <c r="HSU10" s="2"/>
      <c r="HSV10" s="2"/>
      <c r="HSW10" s="2"/>
      <c r="HSX10" s="2"/>
      <c r="HSY10" s="2"/>
      <c r="HSZ10" s="2"/>
      <c r="HTA10" s="2"/>
      <c r="HTB10" s="2"/>
      <c r="HTC10" s="2"/>
      <c r="HTD10" s="2"/>
      <c r="HTE10" s="2"/>
      <c r="HTF10" s="2"/>
      <c r="HTG10" s="2"/>
      <c r="HTH10" s="2"/>
      <c r="HTI10" s="2"/>
      <c r="HTJ10" s="2"/>
      <c r="HTK10" s="2"/>
      <c r="HTL10" s="2"/>
      <c r="HTM10" s="2"/>
      <c r="HTN10" s="2"/>
      <c r="HTO10" s="2"/>
      <c r="HTP10" s="2"/>
      <c r="HTQ10" s="2"/>
      <c r="HTR10" s="2"/>
      <c r="HTS10" s="2"/>
      <c r="HTT10" s="2"/>
      <c r="HTU10" s="2"/>
      <c r="HTV10" s="2"/>
      <c r="HTW10" s="2"/>
      <c r="HTX10" s="2"/>
      <c r="HTY10" s="2"/>
      <c r="HTZ10" s="2"/>
      <c r="HUA10" s="2"/>
      <c r="HUB10" s="2"/>
      <c r="HUC10" s="2"/>
      <c r="HUD10" s="2"/>
      <c r="HUE10" s="2"/>
      <c r="HUF10" s="2"/>
      <c r="HUG10" s="2"/>
      <c r="HUH10" s="2"/>
      <c r="HUI10" s="2"/>
      <c r="HUJ10" s="2"/>
      <c r="HUK10" s="2"/>
      <c r="HUL10" s="2"/>
      <c r="HUM10" s="2"/>
      <c r="HUN10" s="2"/>
      <c r="HUO10" s="2"/>
      <c r="HUP10" s="2"/>
      <c r="HUQ10" s="2"/>
      <c r="HUR10" s="2"/>
      <c r="HUS10" s="2"/>
      <c r="HUT10" s="2"/>
      <c r="HUU10" s="2"/>
      <c r="HUV10" s="2"/>
      <c r="HUW10" s="2"/>
      <c r="HUX10" s="2"/>
      <c r="HUY10" s="2"/>
      <c r="HUZ10" s="2"/>
      <c r="HVA10" s="2"/>
      <c r="HVB10" s="2"/>
      <c r="HVC10" s="2"/>
      <c r="HVD10" s="2"/>
      <c r="HVE10" s="2"/>
      <c r="HVF10" s="2"/>
      <c r="HVG10" s="2"/>
      <c r="HVH10" s="2"/>
      <c r="HVI10" s="2"/>
      <c r="HVJ10" s="2"/>
      <c r="HVK10" s="2"/>
      <c r="HVL10" s="2"/>
      <c r="HVM10" s="2"/>
      <c r="HVN10" s="2"/>
      <c r="HVO10" s="2"/>
      <c r="HVP10" s="2"/>
      <c r="HVQ10" s="2"/>
      <c r="HVR10" s="2"/>
      <c r="HVS10" s="2"/>
      <c r="HVT10" s="2"/>
      <c r="HVU10" s="2"/>
      <c r="HVV10" s="2"/>
      <c r="HVW10" s="2"/>
      <c r="HVX10" s="2"/>
      <c r="HVY10" s="2"/>
      <c r="HVZ10" s="2"/>
      <c r="HWA10" s="2"/>
      <c r="HWB10" s="2"/>
      <c r="HWC10" s="2"/>
      <c r="HWD10" s="2"/>
      <c r="HWE10" s="2"/>
      <c r="HWF10" s="2"/>
      <c r="HWG10" s="2"/>
      <c r="HWH10" s="2"/>
      <c r="HWI10" s="2"/>
      <c r="HWJ10" s="2"/>
      <c r="HWK10" s="2"/>
      <c r="HWL10" s="2"/>
      <c r="HWM10" s="2"/>
      <c r="HWN10" s="2"/>
      <c r="HWO10" s="2"/>
      <c r="HWP10" s="2"/>
      <c r="HWQ10" s="2"/>
      <c r="HWR10" s="2"/>
      <c r="HWS10" s="2"/>
      <c r="HWT10" s="2"/>
      <c r="HWU10" s="2"/>
      <c r="HWV10" s="2"/>
      <c r="HWW10" s="2"/>
      <c r="HWX10" s="2"/>
      <c r="HWY10" s="2"/>
      <c r="HWZ10" s="2"/>
      <c r="HXA10" s="2"/>
      <c r="HXB10" s="2"/>
      <c r="HXC10" s="2"/>
      <c r="HXD10" s="2"/>
      <c r="HXE10" s="2"/>
      <c r="HXF10" s="2"/>
      <c r="HXG10" s="2"/>
      <c r="HXH10" s="2"/>
      <c r="HXI10" s="2"/>
      <c r="HXJ10" s="2"/>
      <c r="HXK10" s="2"/>
      <c r="HXL10" s="2"/>
      <c r="HXM10" s="2"/>
      <c r="HXN10" s="2"/>
      <c r="HXO10" s="2"/>
      <c r="HXP10" s="2"/>
      <c r="HXQ10" s="2"/>
      <c r="HXR10" s="2"/>
      <c r="HXS10" s="2"/>
      <c r="HXT10" s="2"/>
      <c r="HXU10" s="2"/>
      <c r="HXV10" s="2"/>
      <c r="HXW10" s="2"/>
      <c r="HXX10" s="2"/>
      <c r="HXY10" s="2"/>
      <c r="HXZ10" s="2"/>
      <c r="HYA10" s="2"/>
      <c r="HYB10" s="2"/>
      <c r="HYC10" s="2"/>
      <c r="HYD10" s="2"/>
      <c r="HYE10" s="2"/>
      <c r="HYF10" s="2"/>
      <c r="HYG10" s="2"/>
      <c r="HYH10" s="2"/>
      <c r="HYI10" s="2"/>
      <c r="HYJ10" s="2"/>
      <c r="HYK10" s="2"/>
      <c r="HYL10" s="2"/>
      <c r="HYM10" s="2"/>
      <c r="HYN10" s="2"/>
      <c r="HYO10" s="2"/>
      <c r="HYP10" s="2"/>
      <c r="HYQ10" s="2"/>
      <c r="HYR10" s="2"/>
      <c r="HYS10" s="2"/>
      <c r="HYT10" s="2"/>
      <c r="HYU10" s="2"/>
      <c r="HYV10" s="2"/>
      <c r="HYW10" s="2"/>
      <c r="HYX10" s="2"/>
      <c r="HYY10" s="2"/>
      <c r="HYZ10" s="2"/>
      <c r="HZA10" s="2"/>
      <c r="HZB10" s="2"/>
      <c r="HZC10" s="2"/>
      <c r="HZD10" s="2"/>
      <c r="HZE10" s="2"/>
      <c r="HZF10" s="2"/>
      <c r="HZG10" s="2"/>
      <c r="HZH10" s="2"/>
      <c r="HZI10" s="2"/>
      <c r="HZJ10" s="2"/>
      <c r="HZK10" s="2"/>
      <c r="HZL10" s="2"/>
      <c r="HZM10" s="2"/>
      <c r="HZN10" s="2"/>
      <c r="HZO10" s="2"/>
      <c r="HZP10" s="2"/>
      <c r="HZQ10" s="2"/>
      <c r="HZR10" s="2"/>
      <c r="HZS10" s="2"/>
      <c r="HZT10" s="2"/>
      <c r="HZU10" s="2"/>
      <c r="HZV10" s="2"/>
      <c r="HZW10" s="2"/>
      <c r="HZX10" s="2"/>
      <c r="HZY10" s="2"/>
      <c r="HZZ10" s="2"/>
      <c r="IAA10" s="2"/>
      <c r="IAB10" s="2"/>
      <c r="IAC10" s="2"/>
      <c r="IAD10" s="2"/>
      <c r="IAE10" s="2"/>
      <c r="IAF10" s="2"/>
      <c r="IAG10" s="2"/>
      <c r="IAH10" s="2"/>
      <c r="IAI10" s="2"/>
      <c r="IAJ10" s="2"/>
      <c r="IAK10" s="2"/>
      <c r="IAL10" s="2"/>
      <c r="IAM10" s="2"/>
      <c r="IAN10" s="2"/>
      <c r="IAO10" s="2"/>
      <c r="IAP10" s="2"/>
      <c r="IAQ10" s="2"/>
      <c r="IAR10" s="2"/>
      <c r="IAS10" s="2"/>
      <c r="IAT10" s="2"/>
      <c r="IAU10" s="2"/>
      <c r="IAV10" s="2"/>
      <c r="IAW10" s="2"/>
      <c r="IAX10" s="2"/>
      <c r="IAY10" s="2"/>
      <c r="IAZ10" s="2"/>
      <c r="IBA10" s="2"/>
      <c r="IBB10" s="2"/>
      <c r="IBC10" s="2"/>
      <c r="IBD10" s="2"/>
      <c r="IBE10" s="2"/>
      <c r="IBF10" s="2"/>
      <c r="IBG10" s="2"/>
      <c r="IBH10" s="2"/>
      <c r="IBI10" s="2"/>
      <c r="IBJ10" s="2"/>
      <c r="IBK10" s="2"/>
      <c r="IBL10" s="2"/>
      <c r="IBM10" s="2"/>
      <c r="IBN10" s="2"/>
      <c r="IBO10" s="2"/>
      <c r="IBP10" s="2"/>
      <c r="IBQ10" s="2"/>
      <c r="IBR10" s="2"/>
      <c r="IBS10" s="2"/>
      <c r="IBT10" s="2"/>
      <c r="IBU10" s="2"/>
      <c r="IBV10" s="2"/>
      <c r="IBW10" s="2"/>
      <c r="IBX10" s="2"/>
      <c r="IBY10" s="2"/>
      <c r="IBZ10" s="2"/>
      <c r="ICA10" s="2"/>
      <c r="ICB10" s="2"/>
      <c r="ICC10" s="2"/>
      <c r="ICD10" s="2"/>
      <c r="ICE10" s="2"/>
      <c r="ICF10" s="2"/>
      <c r="ICG10" s="2"/>
      <c r="ICH10" s="2"/>
      <c r="ICI10" s="2"/>
      <c r="ICJ10" s="2"/>
      <c r="ICK10" s="2"/>
      <c r="ICL10" s="2"/>
      <c r="ICM10" s="2"/>
      <c r="ICN10" s="2"/>
      <c r="ICO10" s="2"/>
      <c r="ICP10" s="2"/>
      <c r="ICQ10" s="2"/>
      <c r="ICR10" s="2"/>
      <c r="ICS10" s="2"/>
      <c r="ICT10" s="2"/>
      <c r="ICU10" s="2"/>
      <c r="ICV10" s="2"/>
      <c r="ICW10" s="2"/>
      <c r="ICX10" s="2"/>
      <c r="ICY10" s="2"/>
      <c r="ICZ10" s="2"/>
      <c r="IDA10" s="2"/>
      <c r="IDB10" s="2"/>
      <c r="IDC10" s="2"/>
      <c r="IDD10" s="2"/>
      <c r="IDE10" s="2"/>
      <c r="IDF10" s="2"/>
      <c r="IDG10" s="2"/>
      <c r="IDH10" s="2"/>
      <c r="IDI10" s="2"/>
      <c r="IDJ10" s="2"/>
      <c r="IDK10" s="2"/>
      <c r="IDL10" s="2"/>
      <c r="IDM10" s="2"/>
      <c r="IDN10" s="2"/>
      <c r="IDO10" s="2"/>
      <c r="IDP10" s="2"/>
      <c r="IDQ10" s="2"/>
      <c r="IDR10" s="2"/>
      <c r="IDS10" s="2"/>
      <c r="IDT10" s="2"/>
      <c r="IDU10" s="2"/>
      <c r="IDV10" s="2"/>
      <c r="IDW10" s="2"/>
      <c r="IDX10" s="2"/>
      <c r="IDY10" s="2"/>
      <c r="IDZ10" s="2"/>
      <c r="IEA10" s="2"/>
      <c r="IEB10" s="2"/>
      <c r="IEC10" s="2"/>
      <c r="IED10" s="2"/>
      <c r="IEE10" s="2"/>
      <c r="IEF10" s="2"/>
      <c r="IEG10" s="2"/>
      <c r="IEH10" s="2"/>
      <c r="IEI10" s="2"/>
      <c r="IEJ10" s="2"/>
      <c r="IEK10" s="2"/>
      <c r="IEL10" s="2"/>
      <c r="IEM10" s="2"/>
      <c r="IEN10" s="2"/>
      <c r="IEO10" s="2"/>
      <c r="IEP10" s="2"/>
      <c r="IEQ10" s="2"/>
      <c r="IER10" s="2"/>
      <c r="IES10" s="2"/>
      <c r="IET10" s="2"/>
      <c r="IEU10" s="2"/>
      <c r="IEV10" s="2"/>
      <c r="IEW10" s="2"/>
      <c r="IEX10" s="2"/>
      <c r="IEY10" s="2"/>
      <c r="IEZ10" s="2"/>
      <c r="IFA10" s="2"/>
      <c r="IFB10" s="2"/>
      <c r="IFC10" s="2"/>
      <c r="IFD10" s="2"/>
      <c r="IFE10" s="2"/>
      <c r="IFF10" s="2"/>
      <c r="IFG10" s="2"/>
      <c r="IFH10" s="2"/>
      <c r="IFI10" s="2"/>
      <c r="IFJ10" s="2"/>
      <c r="IFK10" s="2"/>
      <c r="IFL10" s="2"/>
      <c r="IFM10" s="2"/>
      <c r="IFN10" s="2"/>
      <c r="IFO10" s="2"/>
      <c r="IFP10" s="2"/>
      <c r="IFQ10" s="2"/>
      <c r="IFR10" s="2"/>
      <c r="IFS10" s="2"/>
      <c r="IFT10" s="2"/>
      <c r="IFU10" s="2"/>
      <c r="IFV10" s="2"/>
      <c r="IFW10" s="2"/>
      <c r="IFX10" s="2"/>
      <c r="IFY10" s="2"/>
      <c r="IFZ10" s="2"/>
      <c r="IGA10" s="2"/>
      <c r="IGB10" s="2"/>
      <c r="IGC10" s="2"/>
      <c r="IGD10" s="2"/>
      <c r="IGE10" s="2"/>
      <c r="IGF10" s="2"/>
      <c r="IGG10" s="2"/>
      <c r="IGH10" s="2"/>
      <c r="IGI10" s="2"/>
      <c r="IGJ10" s="2"/>
      <c r="IGK10" s="2"/>
      <c r="IGL10" s="2"/>
      <c r="IGM10" s="2"/>
      <c r="IGN10" s="2"/>
      <c r="IGO10" s="2"/>
      <c r="IGP10" s="2"/>
      <c r="IGQ10" s="2"/>
      <c r="IGR10" s="2"/>
      <c r="IGS10" s="2"/>
      <c r="IGT10" s="2"/>
      <c r="IGU10" s="2"/>
      <c r="IGV10" s="2"/>
      <c r="IGW10" s="2"/>
      <c r="IGX10" s="2"/>
      <c r="IGY10" s="2"/>
      <c r="IGZ10" s="2"/>
      <c r="IHA10" s="2"/>
      <c r="IHB10" s="2"/>
      <c r="IHC10" s="2"/>
      <c r="IHD10" s="2"/>
      <c r="IHE10" s="2"/>
      <c r="IHF10" s="2"/>
      <c r="IHG10" s="2"/>
      <c r="IHH10" s="2"/>
      <c r="IHI10" s="2"/>
      <c r="IHJ10" s="2"/>
      <c r="IHK10" s="2"/>
      <c r="IHL10" s="2"/>
      <c r="IHM10" s="2"/>
      <c r="IHN10" s="2"/>
      <c r="IHO10" s="2"/>
      <c r="IHP10" s="2"/>
      <c r="IHQ10" s="2"/>
      <c r="IHR10" s="2"/>
      <c r="IHS10" s="2"/>
      <c r="IHT10" s="2"/>
      <c r="IHU10" s="2"/>
      <c r="IHV10" s="2"/>
      <c r="IHW10" s="2"/>
      <c r="IHX10" s="2"/>
      <c r="IHY10" s="2"/>
      <c r="IHZ10" s="2"/>
      <c r="IIA10" s="2"/>
      <c r="IIB10" s="2"/>
      <c r="IIC10" s="2"/>
      <c r="IID10" s="2"/>
      <c r="IIE10" s="2"/>
      <c r="IIF10" s="2"/>
      <c r="IIG10" s="2"/>
      <c r="IIH10" s="2"/>
      <c r="III10" s="2"/>
      <c r="IIJ10" s="2"/>
      <c r="IIK10" s="2"/>
      <c r="IIL10" s="2"/>
      <c r="IIM10" s="2"/>
      <c r="IIN10" s="2"/>
      <c r="IIO10" s="2"/>
      <c r="IIP10" s="2"/>
      <c r="IIQ10" s="2"/>
      <c r="IIR10" s="2"/>
      <c r="IIS10" s="2"/>
      <c r="IIT10" s="2"/>
      <c r="IIU10" s="2"/>
      <c r="IIV10" s="2"/>
      <c r="IIW10" s="2"/>
      <c r="IIX10" s="2"/>
      <c r="IIY10" s="2"/>
      <c r="IIZ10" s="2"/>
      <c r="IJA10" s="2"/>
      <c r="IJB10" s="2"/>
      <c r="IJC10" s="2"/>
      <c r="IJD10" s="2"/>
      <c r="IJE10" s="2"/>
      <c r="IJF10" s="2"/>
      <c r="IJG10" s="2"/>
      <c r="IJH10" s="2"/>
      <c r="IJI10" s="2"/>
      <c r="IJJ10" s="2"/>
      <c r="IJK10" s="2"/>
      <c r="IJL10" s="2"/>
      <c r="IJM10" s="2"/>
      <c r="IJN10" s="2"/>
      <c r="IJO10" s="2"/>
      <c r="IJP10" s="2"/>
      <c r="IJQ10" s="2"/>
      <c r="IJR10" s="2"/>
      <c r="IJS10" s="2"/>
      <c r="IJT10" s="2"/>
      <c r="IJU10" s="2"/>
      <c r="IJV10" s="2"/>
      <c r="IJW10" s="2"/>
      <c r="IJX10" s="2"/>
      <c r="IJY10" s="2"/>
      <c r="IJZ10" s="2"/>
      <c r="IKA10" s="2"/>
      <c r="IKB10" s="2"/>
      <c r="IKC10" s="2"/>
      <c r="IKD10" s="2"/>
      <c r="IKE10" s="2"/>
      <c r="IKF10" s="2"/>
      <c r="IKG10" s="2"/>
      <c r="IKH10" s="2"/>
      <c r="IKI10" s="2"/>
      <c r="IKJ10" s="2"/>
      <c r="IKK10" s="2"/>
      <c r="IKL10" s="2"/>
      <c r="IKM10" s="2"/>
      <c r="IKN10" s="2"/>
      <c r="IKO10" s="2"/>
      <c r="IKP10" s="2"/>
      <c r="IKQ10" s="2"/>
      <c r="IKR10" s="2"/>
      <c r="IKS10" s="2"/>
      <c r="IKT10" s="2"/>
      <c r="IKU10" s="2"/>
      <c r="IKV10" s="2"/>
      <c r="IKW10" s="2"/>
      <c r="IKX10" s="2"/>
      <c r="IKY10" s="2"/>
      <c r="IKZ10" s="2"/>
      <c r="ILA10" s="2"/>
      <c r="ILB10" s="2"/>
      <c r="ILC10" s="2"/>
      <c r="ILD10" s="2"/>
      <c r="ILE10" s="2"/>
      <c r="ILF10" s="2"/>
      <c r="ILG10" s="2"/>
      <c r="ILH10" s="2"/>
      <c r="ILI10" s="2"/>
      <c r="ILJ10" s="2"/>
      <c r="ILK10" s="2"/>
      <c r="ILL10" s="2"/>
      <c r="ILM10" s="2"/>
      <c r="ILN10" s="2"/>
      <c r="ILO10" s="2"/>
      <c r="ILP10" s="2"/>
      <c r="ILQ10" s="2"/>
      <c r="ILR10" s="2"/>
      <c r="ILS10" s="2"/>
      <c r="ILT10" s="2"/>
      <c r="ILU10" s="2"/>
      <c r="ILV10" s="2"/>
      <c r="ILW10" s="2"/>
      <c r="ILX10" s="2"/>
      <c r="ILY10" s="2"/>
      <c r="ILZ10" s="2"/>
      <c r="IMA10" s="2"/>
      <c r="IMB10" s="2"/>
      <c r="IMC10" s="2"/>
      <c r="IMD10" s="2"/>
      <c r="IME10" s="2"/>
      <c r="IMF10" s="2"/>
      <c r="IMG10" s="2"/>
      <c r="IMH10" s="2"/>
      <c r="IMI10" s="2"/>
      <c r="IMJ10" s="2"/>
      <c r="IMK10" s="2"/>
      <c r="IML10" s="2"/>
      <c r="IMM10" s="2"/>
      <c r="IMN10" s="2"/>
      <c r="IMO10" s="2"/>
      <c r="IMP10" s="2"/>
      <c r="IMQ10" s="2"/>
      <c r="IMR10" s="2"/>
      <c r="IMS10" s="2"/>
      <c r="IMT10" s="2"/>
      <c r="IMU10" s="2"/>
      <c r="IMV10" s="2"/>
      <c r="IMW10" s="2"/>
      <c r="IMX10" s="2"/>
      <c r="IMY10" s="2"/>
      <c r="IMZ10" s="2"/>
      <c r="INA10" s="2"/>
      <c r="INB10" s="2"/>
      <c r="INC10" s="2"/>
      <c r="IND10" s="2"/>
      <c r="INE10" s="2"/>
      <c r="INF10" s="2"/>
      <c r="ING10" s="2"/>
      <c r="INH10" s="2"/>
      <c r="INI10" s="2"/>
      <c r="INJ10" s="2"/>
      <c r="INK10" s="2"/>
      <c r="INL10" s="2"/>
      <c r="INM10" s="2"/>
      <c r="INN10" s="2"/>
      <c r="INO10" s="2"/>
      <c r="INP10" s="2"/>
      <c r="INQ10" s="2"/>
      <c r="INR10" s="2"/>
      <c r="INS10" s="2"/>
      <c r="INT10" s="2"/>
      <c r="INU10" s="2"/>
      <c r="INV10" s="2"/>
      <c r="INW10" s="2"/>
      <c r="INX10" s="2"/>
      <c r="INY10" s="2"/>
      <c r="INZ10" s="2"/>
      <c r="IOA10" s="2"/>
      <c r="IOB10" s="2"/>
      <c r="IOC10" s="2"/>
      <c r="IOD10" s="2"/>
      <c r="IOE10" s="2"/>
      <c r="IOF10" s="2"/>
      <c r="IOG10" s="2"/>
      <c r="IOH10" s="2"/>
      <c r="IOI10" s="2"/>
      <c r="IOJ10" s="2"/>
      <c r="IOK10" s="2"/>
      <c r="IOL10" s="2"/>
      <c r="IOM10" s="2"/>
      <c r="ION10" s="2"/>
      <c r="IOO10" s="2"/>
      <c r="IOP10" s="2"/>
      <c r="IOQ10" s="2"/>
      <c r="IOR10" s="2"/>
      <c r="IOS10" s="2"/>
      <c r="IOT10" s="2"/>
      <c r="IOU10" s="2"/>
      <c r="IOV10" s="2"/>
      <c r="IOW10" s="2"/>
      <c r="IOX10" s="2"/>
      <c r="IOY10" s="2"/>
      <c r="IOZ10" s="2"/>
      <c r="IPA10" s="2"/>
      <c r="IPB10" s="2"/>
      <c r="IPC10" s="2"/>
      <c r="IPD10" s="2"/>
      <c r="IPE10" s="2"/>
      <c r="IPF10" s="2"/>
      <c r="IPG10" s="2"/>
      <c r="IPH10" s="2"/>
      <c r="IPI10" s="2"/>
      <c r="IPJ10" s="2"/>
      <c r="IPK10" s="2"/>
      <c r="IPL10" s="2"/>
      <c r="IPM10" s="2"/>
      <c r="IPN10" s="2"/>
      <c r="IPO10" s="2"/>
      <c r="IPP10" s="2"/>
      <c r="IPQ10" s="2"/>
      <c r="IPR10" s="2"/>
      <c r="IPS10" s="2"/>
      <c r="IPT10" s="2"/>
      <c r="IPU10" s="2"/>
      <c r="IPV10" s="2"/>
      <c r="IPW10" s="2"/>
      <c r="IPX10" s="2"/>
      <c r="IPY10" s="2"/>
      <c r="IPZ10" s="2"/>
      <c r="IQA10" s="2"/>
      <c r="IQB10" s="2"/>
      <c r="IQC10" s="2"/>
      <c r="IQD10" s="2"/>
      <c r="IQE10" s="2"/>
      <c r="IQF10" s="2"/>
      <c r="IQG10" s="2"/>
      <c r="IQH10" s="2"/>
      <c r="IQI10" s="2"/>
      <c r="IQJ10" s="2"/>
      <c r="IQK10" s="2"/>
      <c r="IQL10" s="2"/>
      <c r="IQM10" s="2"/>
      <c r="IQN10" s="2"/>
      <c r="IQO10" s="2"/>
      <c r="IQP10" s="2"/>
      <c r="IQQ10" s="2"/>
      <c r="IQR10" s="2"/>
      <c r="IQS10" s="2"/>
      <c r="IQT10" s="2"/>
      <c r="IQU10" s="2"/>
      <c r="IQV10" s="2"/>
      <c r="IQW10" s="2"/>
      <c r="IQX10" s="2"/>
      <c r="IQY10" s="2"/>
      <c r="IQZ10" s="2"/>
      <c r="IRA10" s="2"/>
      <c r="IRB10" s="2"/>
      <c r="IRC10" s="2"/>
      <c r="IRD10" s="2"/>
      <c r="IRE10" s="2"/>
      <c r="IRF10" s="2"/>
      <c r="IRG10" s="2"/>
      <c r="IRH10" s="2"/>
      <c r="IRI10" s="2"/>
      <c r="IRJ10" s="2"/>
      <c r="IRK10" s="2"/>
      <c r="IRL10" s="2"/>
      <c r="IRM10" s="2"/>
      <c r="IRN10" s="2"/>
      <c r="IRO10" s="2"/>
      <c r="IRP10" s="2"/>
      <c r="IRQ10" s="2"/>
      <c r="IRR10" s="2"/>
      <c r="IRS10" s="2"/>
      <c r="IRT10" s="2"/>
      <c r="IRU10" s="2"/>
      <c r="IRV10" s="2"/>
      <c r="IRW10" s="2"/>
      <c r="IRX10" s="2"/>
      <c r="IRY10" s="2"/>
      <c r="IRZ10" s="2"/>
      <c r="ISA10" s="2"/>
      <c r="ISB10" s="2"/>
      <c r="ISC10" s="2"/>
      <c r="ISD10" s="2"/>
      <c r="ISE10" s="2"/>
      <c r="ISF10" s="2"/>
      <c r="ISG10" s="2"/>
      <c r="ISH10" s="2"/>
      <c r="ISI10" s="2"/>
      <c r="ISJ10" s="2"/>
      <c r="ISK10" s="2"/>
      <c r="ISL10" s="2"/>
      <c r="ISM10" s="2"/>
      <c r="ISN10" s="2"/>
      <c r="ISO10" s="2"/>
      <c r="ISP10" s="2"/>
      <c r="ISQ10" s="2"/>
      <c r="ISR10" s="2"/>
      <c r="ISS10" s="2"/>
      <c r="IST10" s="2"/>
      <c r="ISU10" s="2"/>
      <c r="ISV10" s="2"/>
      <c r="ISW10" s="2"/>
      <c r="ISX10" s="2"/>
      <c r="ISY10" s="2"/>
      <c r="ISZ10" s="2"/>
      <c r="ITA10" s="2"/>
      <c r="ITB10" s="2"/>
      <c r="ITC10" s="2"/>
      <c r="ITD10" s="2"/>
      <c r="ITE10" s="2"/>
      <c r="ITF10" s="2"/>
      <c r="ITG10" s="2"/>
      <c r="ITH10" s="2"/>
      <c r="ITI10" s="2"/>
      <c r="ITJ10" s="2"/>
      <c r="ITK10" s="2"/>
      <c r="ITL10" s="2"/>
      <c r="ITM10" s="2"/>
      <c r="ITN10" s="2"/>
      <c r="ITO10" s="2"/>
      <c r="ITP10" s="2"/>
      <c r="ITQ10" s="2"/>
      <c r="ITR10" s="2"/>
      <c r="ITS10" s="2"/>
      <c r="ITT10" s="2"/>
      <c r="ITU10" s="2"/>
      <c r="ITV10" s="2"/>
      <c r="ITW10" s="2"/>
      <c r="ITX10" s="2"/>
      <c r="ITY10" s="2"/>
      <c r="ITZ10" s="2"/>
      <c r="IUA10" s="2"/>
      <c r="IUB10" s="2"/>
      <c r="IUC10" s="2"/>
      <c r="IUD10" s="2"/>
      <c r="IUE10" s="2"/>
      <c r="IUF10" s="2"/>
      <c r="IUG10" s="2"/>
      <c r="IUH10" s="2"/>
      <c r="IUI10" s="2"/>
      <c r="IUJ10" s="2"/>
      <c r="IUK10" s="2"/>
      <c r="IUL10" s="2"/>
      <c r="IUM10" s="2"/>
      <c r="IUN10" s="2"/>
      <c r="IUO10" s="2"/>
      <c r="IUP10" s="2"/>
      <c r="IUQ10" s="2"/>
      <c r="IUR10" s="2"/>
      <c r="IUS10" s="2"/>
      <c r="IUT10" s="2"/>
      <c r="IUU10" s="2"/>
      <c r="IUV10" s="2"/>
      <c r="IUW10" s="2"/>
      <c r="IUX10" s="2"/>
      <c r="IUY10" s="2"/>
      <c r="IUZ10" s="2"/>
      <c r="IVA10" s="2"/>
      <c r="IVB10" s="2"/>
      <c r="IVC10" s="2"/>
      <c r="IVD10" s="2"/>
      <c r="IVE10" s="2"/>
      <c r="IVF10" s="2"/>
      <c r="IVG10" s="2"/>
      <c r="IVH10" s="2"/>
      <c r="IVI10" s="2"/>
      <c r="IVJ10" s="2"/>
      <c r="IVK10" s="2"/>
      <c r="IVL10" s="2"/>
      <c r="IVM10" s="2"/>
      <c r="IVN10" s="2"/>
      <c r="IVO10" s="2"/>
      <c r="IVP10" s="2"/>
      <c r="IVQ10" s="2"/>
      <c r="IVR10" s="2"/>
      <c r="IVS10" s="2"/>
      <c r="IVT10" s="2"/>
      <c r="IVU10" s="2"/>
      <c r="IVV10" s="2"/>
      <c r="IVW10" s="2"/>
      <c r="IVX10" s="2"/>
      <c r="IVY10" s="2"/>
      <c r="IVZ10" s="2"/>
      <c r="IWA10" s="2"/>
      <c r="IWB10" s="2"/>
      <c r="IWC10" s="2"/>
      <c r="IWD10" s="2"/>
      <c r="IWE10" s="2"/>
      <c r="IWF10" s="2"/>
      <c r="IWG10" s="2"/>
      <c r="IWH10" s="2"/>
      <c r="IWI10" s="2"/>
      <c r="IWJ10" s="2"/>
      <c r="IWK10" s="2"/>
      <c r="IWL10" s="2"/>
      <c r="IWM10" s="2"/>
      <c r="IWN10" s="2"/>
      <c r="IWO10" s="2"/>
      <c r="IWP10" s="2"/>
      <c r="IWQ10" s="2"/>
      <c r="IWR10" s="2"/>
      <c r="IWS10" s="2"/>
      <c r="IWT10" s="2"/>
      <c r="IWU10" s="2"/>
      <c r="IWV10" s="2"/>
      <c r="IWW10" s="2"/>
      <c r="IWX10" s="2"/>
      <c r="IWY10" s="2"/>
      <c r="IWZ10" s="2"/>
      <c r="IXA10" s="2"/>
      <c r="IXB10" s="2"/>
      <c r="IXC10" s="2"/>
      <c r="IXD10" s="2"/>
      <c r="IXE10" s="2"/>
      <c r="IXF10" s="2"/>
      <c r="IXG10" s="2"/>
      <c r="IXH10" s="2"/>
      <c r="IXI10" s="2"/>
      <c r="IXJ10" s="2"/>
      <c r="IXK10" s="2"/>
      <c r="IXL10" s="2"/>
      <c r="IXM10" s="2"/>
      <c r="IXN10" s="2"/>
      <c r="IXO10" s="2"/>
      <c r="IXP10" s="2"/>
      <c r="IXQ10" s="2"/>
      <c r="IXR10" s="2"/>
      <c r="IXS10" s="2"/>
      <c r="IXT10" s="2"/>
      <c r="IXU10" s="2"/>
      <c r="IXV10" s="2"/>
      <c r="IXW10" s="2"/>
      <c r="IXX10" s="2"/>
      <c r="IXY10" s="2"/>
      <c r="IXZ10" s="2"/>
      <c r="IYA10" s="2"/>
      <c r="IYB10" s="2"/>
      <c r="IYC10" s="2"/>
      <c r="IYD10" s="2"/>
      <c r="IYE10" s="2"/>
      <c r="IYF10" s="2"/>
      <c r="IYG10" s="2"/>
      <c r="IYH10" s="2"/>
      <c r="IYI10" s="2"/>
      <c r="IYJ10" s="2"/>
      <c r="IYK10" s="2"/>
      <c r="IYL10" s="2"/>
      <c r="IYM10" s="2"/>
      <c r="IYN10" s="2"/>
      <c r="IYO10" s="2"/>
      <c r="IYP10" s="2"/>
      <c r="IYQ10" s="2"/>
      <c r="IYR10" s="2"/>
      <c r="IYS10" s="2"/>
      <c r="IYT10" s="2"/>
      <c r="IYU10" s="2"/>
      <c r="IYV10" s="2"/>
      <c r="IYW10" s="2"/>
      <c r="IYX10" s="2"/>
      <c r="IYY10" s="2"/>
      <c r="IYZ10" s="2"/>
      <c r="IZA10" s="2"/>
      <c r="IZB10" s="2"/>
      <c r="IZC10" s="2"/>
      <c r="IZD10" s="2"/>
      <c r="IZE10" s="2"/>
      <c r="IZF10" s="2"/>
      <c r="IZG10" s="2"/>
      <c r="IZH10" s="2"/>
      <c r="IZI10" s="2"/>
      <c r="IZJ10" s="2"/>
      <c r="IZK10" s="2"/>
      <c r="IZL10" s="2"/>
      <c r="IZM10" s="2"/>
      <c r="IZN10" s="2"/>
      <c r="IZO10" s="2"/>
      <c r="IZP10" s="2"/>
      <c r="IZQ10" s="2"/>
      <c r="IZR10" s="2"/>
      <c r="IZS10" s="2"/>
      <c r="IZT10" s="2"/>
      <c r="IZU10" s="2"/>
      <c r="IZV10" s="2"/>
      <c r="IZW10" s="2"/>
      <c r="IZX10" s="2"/>
      <c r="IZY10" s="2"/>
      <c r="IZZ10" s="2"/>
      <c r="JAA10" s="2"/>
      <c r="JAB10" s="2"/>
      <c r="JAC10" s="2"/>
      <c r="JAD10" s="2"/>
      <c r="JAE10" s="2"/>
      <c r="JAF10" s="2"/>
      <c r="JAG10" s="2"/>
      <c r="JAH10" s="2"/>
      <c r="JAI10" s="2"/>
      <c r="JAJ10" s="2"/>
      <c r="JAK10" s="2"/>
      <c r="JAL10" s="2"/>
      <c r="JAM10" s="2"/>
      <c r="JAN10" s="2"/>
      <c r="JAO10" s="2"/>
      <c r="JAP10" s="2"/>
      <c r="JAQ10" s="2"/>
      <c r="JAR10" s="2"/>
      <c r="JAS10" s="2"/>
      <c r="JAT10" s="2"/>
      <c r="JAU10" s="2"/>
      <c r="JAV10" s="2"/>
      <c r="JAW10" s="2"/>
      <c r="JAX10" s="2"/>
      <c r="JAY10" s="2"/>
      <c r="JAZ10" s="2"/>
      <c r="JBA10" s="2"/>
      <c r="JBB10" s="2"/>
      <c r="JBC10" s="2"/>
      <c r="JBD10" s="2"/>
      <c r="JBE10" s="2"/>
      <c r="JBF10" s="2"/>
      <c r="JBG10" s="2"/>
      <c r="JBH10" s="2"/>
      <c r="JBI10" s="2"/>
      <c r="JBJ10" s="2"/>
      <c r="JBK10" s="2"/>
      <c r="JBL10" s="2"/>
      <c r="JBM10" s="2"/>
      <c r="JBN10" s="2"/>
      <c r="JBO10" s="2"/>
      <c r="JBP10" s="2"/>
      <c r="JBQ10" s="2"/>
      <c r="JBR10" s="2"/>
      <c r="JBS10" s="2"/>
      <c r="JBT10" s="2"/>
      <c r="JBU10" s="2"/>
      <c r="JBV10" s="2"/>
      <c r="JBW10" s="2"/>
      <c r="JBX10" s="2"/>
      <c r="JBY10" s="2"/>
      <c r="JBZ10" s="2"/>
      <c r="JCA10" s="2"/>
      <c r="JCB10" s="2"/>
      <c r="JCC10" s="2"/>
      <c r="JCD10" s="2"/>
      <c r="JCE10" s="2"/>
      <c r="JCF10" s="2"/>
      <c r="JCG10" s="2"/>
      <c r="JCH10" s="2"/>
      <c r="JCI10" s="2"/>
      <c r="JCJ10" s="2"/>
      <c r="JCK10" s="2"/>
      <c r="JCL10" s="2"/>
      <c r="JCM10" s="2"/>
      <c r="JCN10" s="2"/>
      <c r="JCO10" s="2"/>
      <c r="JCP10" s="2"/>
      <c r="JCQ10" s="2"/>
      <c r="JCR10" s="2"/>
      <c r="JCS10" s="2"/>
      <c r="JCT10" s="2"/>
      <c r="JCU10" s="2"/>
      <c r="JCV10" s="2"/>
      <c r="JCW10" s="2"/>
      <c r="JCX10" s="2"/>
      <c r="JCY10" s="2"/>
      <c r="JCZ10" s="2"/>
      <c r="JDA10" s="2"/>
      <c r="JDB10" s="2"/>
      <c r="JDC10" s="2"/>
      <c r="JDD10" s="2"/>
      <c r="JDE10" s="2"/>
      <c r="JDF10" s="2"/>
      <c r="JDG10" s="2"/>
      <c r="JDH10" s="2"/>
      <c r="JDI10" s="2"/>
      <c r="JDJ10" s="2"/>
      <c r="JDK10" s="2"/>
      <c r="JDL10" s="2"/>
      <c r="JDM10" s="2"/>
      <c r="JDN10" s="2"/>
      <c r="JDO10" s="2"/>
      <c r="JDP10" s="2"/>
      <c r="JDQ10" s="2"/>
      <c r="JDR10" s="2"/>
      <c r="JDS10" s="2"/>
      <c r="JDT10" s="2"/>
      <c r="JDU10" s="2"/>
      <c r="JDV10" s="2"/>
      <c r="JDW10" s="2"/>
      <c r="JDX10" s="2"/>
      <c r="JDY10" s="2"/>
      <c r="JDZ10" s="2"/>
      <c r="JEA10" s="2"/>
      <c r="JEB10" s="2"/>
      <c r="JEC10" s="2"/>
      <c r="JED10" s="2"/>
      <c r="JEE10" s="2"/>
      <c r="JEF10" s="2"/>
      <c r="JEG10" s="2"/>
      <c r="JEH10" s="2"/>
      <c r="JEI10" s="2"/>
      <c r="JEJ10" s="2"/>
      <c r="JEK10" s="2"/>
      <c r="JEL10" s="2"/>
      <c r="JEM10" s="2"/>
      <c r="JEN10" s="2"/>
      <c r="JEO10" s="2"/>
      <c r="JEP10" s="2"/>
      <c r="JEQ10" s="2"/>
      <c r="JER10" s="2"/>
      <c r="JES10" s="2"/>
      <c r="JET10" s="2"/>
      <c r="JEU10" s="2"/>
      <c r="JEV10" s="2"/>
      <c r="JEW10" s="2"/>
      <c r="JEX10" s="2"/>
      <c r="JEY10" s="2"/>
      <c r="JEZ10" s="2"/>
      <c r="JFA10" s="2"/>
      <c r="JFB10" s="2"/>
      <c r="JFC10" s="2"/>
      <c r="JFD10" s="2"/>
      <c r="JFE10" s="2"/>
      <c r="JFF10" s="2"/>
      <c r="JFG10" s="2"/>
      <c r="JFH10" s="2"/>
      <c r="JFI10" s="2"/>
      <c r="JFJ10" s="2"/>
      <c r="JFK10" s="2"/>
      <c r="JFL10" s="2"/>
      <c r="JFM10" s="2"/>
      <c r="JFN10" s="2"/>
      <c r="JFO10" s="2"/>
      <c r="JFP10" s="2"/>
      <c r="JFQ10" s="2"/>
      <c r="JFR10" s="2"/>
      <c r="JFS10" s="2"/>
      <c r="JFT10" s="2"/>
      <c r="JFU10" s="2"/>
      <c r="JFV10" s="2"/>
      <c r="JFW10" s="2"/>
      <c r="JFX10" s="2"/>
      <c r="JFY10" s="2"/>
      <c r="JFZ10" s="2"/>
      <c r="JGA10" s="2"/>
      <c r="JGB10" s="2"/>
      <c r="JGC10" s="2"/>
      <c r="JGD10" s="2"/>
      <c r="JGE10" s="2"/>
      <c r="JGF10" s="2"/>
      <c r="JGG10" s="2"/>
      <c r="JGH10" s="2"/>
      <c r="JGI10" s="2"/>
      <c r="JGJ10" s="2"/>
      <c r="JGK10" s="2"/>
      <c r="JGL10" s="2"/>
      <c r="JGM10" s="2"/>
      <c r="JGN10" s="2"/>
      <c r="JGO10" s="2"/>
      <c r="JGP10" s="2"/>
      <c r="JGQ10" s="2"/>
      <c r="JGR10" s="2"/>
      <c r="JGS10" s="2"/>
      <c r="JGT10" s="2"/>
      <c r="JGU10" s="2"/>
      <c r="JGV10" s="2"/>
      <c r="JGW10" s="2"/>
      <c r="JGX10" s="2"/>
      <c r="JGY10" s="2"/>
      <c r="JGZ10" s="2"/>
      <c r="JHA10" s="2"/>
      <c r="JHB10" s="2"/>
      <c r="JHC10" s="2"/>
      <c r="JHD10" s="2"/>
      <c r="JHE10" s="2"/>
      <c r="JHF10" s="2"/>
      <c r="JHG10" s="2"/>
      <c r="JHH10" s="2"/>
      <c r="JHI10" s="2"/>
      <c r="JHJ10" s="2"/>
      <c r="JHK10" s="2"/>
      <c r="JHL10" s="2"/>
      <c r="JHM10" s="2"/>
      <c r="JHN10" s="2"/>
      <c r="JHO10" s="2"/>
      <c r="JHP10" s="2"/>
      <c r="JHQ10" s="2"/>
      <c r="JHR10" s="2"/>
      <c r="JHS10" s="2"/>
      <c r="JHT10" s="2"/>
      <c r="JHU10" s="2"/>
      <c r="JHV10" s="2"/>
      <c r="JHW10" s="2"/>
      <c r="JHX10" s="2"/>
      <c r="JHY10" s="2"/>
      <c r="JHZ10" s="2"/>
      <c r="JIA10" s="2"/>
      <c r="JIB10" s="2"/>
      <c r="JIC10" s="2"/>
      <c r="JID10" s="2"/>
      <c r="JIE10" s="2"/>
      <c r="JIF10" s="2"/>
      <c r="JIG10" s="2"/>
      <c r="JIH10" s="2"/>
      <c r="JII10" s="2"/>
      <c r="JIJ10" s="2"/>
      <c r="JIK10" s="2"/>
      <c r="JIL10" s="2"/>
      <c r="JIM10" s="2"/>
      <c r="JIN10" s="2"/>
      <c r="JIO10" s="2"/>
      <c r="JIP10" s="2"/>
      <c r="JIQ10" s="2"/>
      <c r="JIR10" s="2"/>
      <c r="JIS10" s="2"/>
      <c r="JIT10" s="2"/>
      <c r="JIU10" s="2"/>
      <c r="JIV10" s="2"/>
      <c r="JIW10" s="2"/>
      <c r="JIX10" s="2"/>
      <c r="JIY10" s="2"/>
      <c r="JIZ10" s="2"/>
      <c r="JJA10" s="2"/>
      <c r="JJB10" s="2"/>
      <c r="JJC10" s="2"/>
      <c r="JJD10" s="2"/>
      <c r="JJE10" s="2"/>
      <c r="JJF10" s="2"/>
      <c r="JJG10" s="2"/>
      <c r="JJH10" s="2"/>
      <c r="JJI10" s="2"/>
      <c r="JJJ10" s="2"/>
      <c r="JJK10" s="2"/>
      <c r="JJL10" s="2"/>
      <c r="JJM10" s="2"/>
      <c r="JJN10" s="2"/>
      <c r="JJO10" s="2"/>
      <c r="JJP10" s="2"/>
      <c r="JJQ10" s="2"/>
      <c r="JJR10" s="2"/>
      <c r="JJS10" s="2"/>
      <c r="JJT10" s="2"/>
      <c r="JJU10" s="2"/>
      <c r="JJV10" s="2"/>
      <c r="JJW10" s="2"/>
      <c r="JJX10" s="2"/>
      <c r="JJY10" s="2"/>
      <c r="JJZ10" s="2"/>
      <c r="JKA10" s="2"/>
      <c r="JKB10" s="2"/>
      <c r="JKC10" s="2"/>
      <c r="JKD10" s="2"/>
      <c r="JKE10" s="2"/>
      <c r="JKF10" s="2"/>
      <c r="JKG10" s="2"/>
      <c r="JKH10" s="2"/>
      <c r="JKI10" s="2"/>
      <c r="JKJ10" s="2"/>
      <c r="JKK10" s="2"/>
      <c r="JKL10" s="2"/>
      <c r="JKM10" s="2"/>
      <c r="JKN10" s="2"/>
      <c r="JKO10" s="2"/>
      <c r="JKP10" s="2"/>
      <c r="JKQ10" s="2"/>
      <c r="JKR10" s="2"/>
      <c r="JKS10" s="2"/>
      <c r="JKT10" s="2"/>
      <c r="JKU10" s="2"/>
      <c r="JKV10" s="2"/>
      <c r="JKW10" s="2"/>
      <c r="JKX10" s="2"/>
      <c r="JKY10" s="2"/>
      <c r="JKZ10" s="2"/>
      <c r="JLA10" s="2"/>
      <c r="JLB10" s="2"/>
      <c r="JLC10" s="2"/>
      <c r="JLD10" s="2"/>
      <c r="JLE10" s="2"/>
      <c r="JLF10" s="2"/>
      <c r="JLG10" s="2"/>
      <c r="JLH10" s="2"/>
      <c r="JLI10" s="2"/>
      <c r="JLJ10" s="2"/>
      <c r="JLK10" s="2"/>
      <c r="JLL10" s="2"/>
      <c r="JLM10" s="2"/>
      <c r="JLN10" s="2"/>
      <c r="JLO10" s="2"/>
      <c r="JLP10" s="2"/>
      <c r="JLQ10" s="2"/>
      <c r="JLR10" s="2"/>
      <c r="JLS10" s="2"/>
      <c r="JLT10" s="2"/>
      <c r="JLU10" s="2"/>
      <c r="JLV10" s="2"/>
      <c r="JLW10" s="2"/>
      <c r="JLX10" s="2"/>
      <c r="JLY10" s="2"/>
      <c r="JLZ10" s="2"/>
      <c r="JMA10" s="2"/>
      <c r="JMB10" s="2"/>
      <c r="JMC10" s="2"/>
      <c r="JMD10" s="2"/>
      <c r="JME10" s="2"/>
      <c r="JMF10" s="2"/>
      <c r="JMG10" s="2"/>
      <c r="JMH10" s="2"/>
      <c r="JMI10" s="2"/>
      <c r="JMJ10" s="2"/>
      <c r="JMK10" s="2"/>
      <c r="JML10" s="2"/>
      <c r="JMM10" s="2"/>
      <c r="JMN10" s="2"/>
      <c r="JMO10" s="2"/>
      <c r="JMP10" s="2"/>
      <c r="JMQ10" s="2"/>
      <c r="JMR10" s="2"/>
      <c r="JMS10" s="2"/>
      <c r="JMT10" s="2"/>
      <c r="JMU10" s="2"/>
      <c r="JMV10" s="2"/>
      <c r="JMW10" s="2"/>
      <c r="JMX10" s="2"/>
      <c r="JMY10" s="2"/>
      <c r="JMZ10" s="2"/>
      <c r="JNA10" s="2"/>
      <c r="JNB10" s="2"/>
      <c r="JNC10" s="2"/>
      <c r="JND10" s="2"/>
      <c r="JNE10" s="2"/>
      <c r="JNF10" s="2"/>
      <c r="JNG10" s="2"/>
      <c r="JNH10" s="2"/>
      <c r="JNI10" s="2"/>
      <c r="JNJ10" s="2"/>
      <c r="JNK10" s="2"/>
      <c r="JNL10" s="2"/>
      <c r="JNM10" s="2"/>
      <c r="JNN10" s="2"/>
      <c r="JNO10" s="2"/>
      <c r="JNP10" s="2"/>
      <c r="JNQ10" s="2"/>
      <c r="JNR10" s="2"/>
      <c r="JNS10" s="2"/>
      <c r="JNT10" s="2"/>
      <c r="JNU10" s="2"/>
      <c r="JNV10" s="2"/>
      <c r="JNW10" s="2"/>
      <c r="JNX10" s="2"/>
      <c r="JNY10" s="2"/>
      <c r="JNZ10" s="2"/>
      <c r="JOA10" s="2"/>
      <c r="JOB10" s="2"/>
      <c r="JOC10" s="2"/>
      <c r="JOD10" s="2"/>
      <c r="JOE10" s="2"/>
      <c r="JOF10" s="2"/>
      <c r="JOG10" s="2"/>
      <c r="JOH10" s="2"/>
      <c r="JOI10" s="2"/>
      <c r="JOJ10" s="2"/>
      <c r="JOK10" s="2"/>
      <c r="JOL10" s="2"/>
      <c r="JOM10" s="2"/>
      <c r="JON10" s="2"/>
      <c r="JOO10" s="2"/>
      <c r="JOP10" s="2"/>
      <c r="JOQ10" s="2"/>
      <c r="JOR10" s="2"/>
      <c r="JOS10" s="2"/>
      <c r="JOT10" s="2"/>
      <c r="JOU10" s="2"/>
      <c r="JOV10" s="2"/>
      <c r="JOW10" s="2"/>
      <c r="JOX10" s="2"/>
      <c r="JOY10" s="2"/>
      <c r="JOZ10" s="2"/>
      <c r="JPA10" s="2"/>
      <c r="JPB10" s="2"/>
      <c r="JPC10" s="2"/>
      <c r="JPD10" s="2"/>
      <c r="JPE10" s="2"/>
      <c r="JPF10" s="2"/>
      <c r="JPG10" s="2"/>
      <c r="JPH10" s="2"/>
      <c r="JPI10" s="2"/>
      <c r="JPJ10" s="2"/>
      <c r="JPK10" s="2"/>
      <c r="JPL10" s="2"/>
      <c r="JPM10" s="2"/>
      <c r="JPN10" s="2"/>
      <c r="JPO10" s="2"/>
      <c r="JPP10" s="2"/>
      <c r="JPQ10" s="2"/>
      <c r="JPR10" s="2"/>
      <c r="JPS10" s="2"/>
      <c r="JPT10" s="2"/>
      <c r="JPU10" s="2"/>
      <c r="JPV10" s="2"/>
      <c r="JPW10" s="2"/>
      <c r="JPX10" s="2"/>
      <c r="JPY10" s="2"/>
      <c r="JPZ10" s="2"/>
      <c r="JQA10" s="2"/>
      <c r="JQB10" s="2"/>
      <c r="JQC10" s="2"/>
      <c r="JQD10" s="2"/>
      <c r="JQE10" s="2"/>
      <c r="JQF10" s="2"/>
      <c r="JQG10" s="2"/>
      <c r="JQH10" s="2"/>
      <c r="JQI10" s="2"/>
      <c r="JQJ10" s="2"/>
      <c r="JQK10" s="2"/>
      <c r="JQL10" s="2"/>
      <c r="JQM10" s="2"/>
      <c r="JQN10" s="2"/>
      <c r="JQO10" s="2"/>
      <c r="JQP10" s="2"/>
      <c r="JQQ10" s="2"/>
      <c r="JQR10" s="2"/>
      <c r="JQS10" s="2"/>
      <c r="JQT10" s="2"/>
      <c r="JQU10" s="2"/>
      <c r="JQV10" s="2"/>
      <c r="JQW10" s="2"/>
      <c r="JQX10" s="2"/>
      <c r="JQY10" s="2"/>
      <c r="JQZ10" s="2"/>
      <c r="JRA10" s="2"/>
      <c r="JRB10" s="2"/>
      <c r="JRC10" s="2"/>
      <c r="JRD10" s="2"/>
      <c r="JRE10" s="2"/>
      <c r="JRF10" s="2"/>
      <c r="JRG10" s="2"/>
      <c r="JRH10" s="2"/>
      <c r="JRI10" s="2"/>
      <c r="JRJ10" s="2"/>
      <c r="JRK10" s="2"/>
      <c r="JRL10" s="2"/>
      <c r="JRM10" s="2"/>
      <c r="JRN10" s="2"/>
      <c r="JRO10" s="2"/>
      <c r="JRP10" s="2"/>
      <c r="JRQ10" s="2"/>
      <c r="JRR10" s="2"/>
      <c r="JRS10" s="2"/>
      <c r="JRT10" s="2"/>
      <c r="JRU10" s="2"/>
      <c r="JRV10" s="2"/>
      <c r="JRW10" s="2"/>
      <c r="JRX10" s="2"/>
      <c r="JRY10" s="2"/>
      <c r="JRZ10" s="2"/>
      <c r="JSA10" s="2"/>
      <c r="JSB10" s="2"/>
      <c r="JSC10" s="2"/>
      <c r="JSD10" s="2"/>
      <c r="JSE10" s="2"/>
      <c r="JSF10" s="2"/>
      <c r="JSG10" s="2"/>
      <c r="JSH10" s="2"/>
      <c r="JSI10" s="2"/>
      <c r="JSJ10" s="2"/>
      <c r="JSK10" s="2"/>
      <c r="JSL10" s="2"/>
      <c r="JSM10" s="2"/>
      <c r="JSN10" s="2"/>
      <c r="JSO10" s="2"/>
      <c r="JSP10" s="2"/>
      <c r="JSQ10" s="2"/>
      <c r="JSR10" s="2"/>
      <c r="JSS10" s="2"/>
      <c r="JST10" s="2"/>
      <c r="JSU10" s="2"/>
      <c r="JSV10" s="2"/>
      <c r="JSW10" s="2"/>
      <c r="JSX10" s="2"/>
      <c r="JSY10" s="2"/>
      <c r="JSZ10" s="2"/>
      <c r="JTA10" s="2"/>
      <c r="JTB10" s="2"/>
      <c r="JTC10" s="2"/>
      <c r="JTD10" s="2"/>
      <c r="JTE10" s="2"/>
      <c r="JTF10" s="2"/>
      <c r="JTG10" s="2"/>
      <c r="JTH10" s="2"/>
      <c r="JTI10" s="2"/>
      <c r="JTJ10" s="2"/>
      <c r="JTK10" s="2"/>
      <c r="JTL10" s="2"/>
      <c r="JTM10" s="2"/>
      <c r="JTN10" s="2"/>
      <c r="JTO10" s="2"/>
      <c r="JTP10" s="2"/>
      <c r="JTQ10" s="2"/>
      <c r="JTR10" s="2"/>
      <c r="JTS10" s="2"/>
      <c r="JTT10" s="2"/>
      <c r="JTU10" s="2"/>
      <c r="JTV10" s="2"/>
      <c r="JTW10" s="2"/>
      <c r="JTX10" s="2"/>
      <c r="JTY10" s="2"/>
      <c r="JTZ10" s="2"/>
      <c r="JUA10" s="2"/>
      <c r="JUB10" s="2"/>
      <c r="JUC10" s="2"/>
      <c r="JUD10" s="2"/>
      <c r="JUE10" s="2"/>
      <c r="JUF10" s="2"/>
      <c r="JUG10" s="2"/>
      <c r="JUH10" s="2"/>
      <c r="JUI10" s="2"/>
      <c r="JUJ10" s="2"/>
      <c r="JUK10" s="2"/>
      <c r="JUL10" s="2"/>
      <c r="JUM10" s="2"/>
      <c r="JUN10" s="2"/>
      <c r="JUO10" s="2"/>
      <c r="JUP10" s="2"/>
      <c r="JUQ10" s="2"/>
      <c r="JUR10" s="2"/>
      <c r="JUS10" s="2"/>
      <c r="JUT10" s="2"/>
      <c r="JUU10" s="2"/>
      <c r="JUV10" s="2"/>
      <c r="JUW10" s="2"/>
      <c r="JUX10" s="2"/>
      <c r="JUY10" s="2"/>
      <c r="JUZ10" s="2"/>
      <c r="JVA10" s="2"/>
      <c r="JVB10" s="2"/>
      <c r="JVC10" s="2"/>
      <c r="JVD10" s="2"/>
      <c r="JVE10" s="2"/>
      <c r="JVF10" s="2"/>
      <c r="JVG10" s="2"/>
      <c r="JVH10" s="2"/>
      <c r="JVI10" s="2"/>
      <c r="JVJ10" s="2"/>
      <c r="JVK10" s="2"/>
      <c r="JVL10" s="2"/>
      <c r="JVM10" s="2"/>
      <c r="JVN10" s="2"/>
      <c r="JVO10" s="2"/>
      <c r="JVP10" s="2"/>
      <c r="JVQ10" s="2"/>
      <c r="JVR10" s="2"/>
      <c r="JVS10" s="2"/>
      <c r="JVT10" s="2"/>
      <c r="JVU10" s="2"/>
      <c r="JVV10" s="2"/>
      <c r="JVW10" s="2"/>
      <c r="JVX10" s="2"/>
      <c r="JVY10" s="2"/>
      <c r="JVZ10" s="2"/>
      <c r="JWA10" s="2"/>
      <c r="JWB10" s="2"/>
      <c r="JWC10" s="2"/>
      <c r="JWD10" s="2"/>
      <c r="JWE10" s="2"/>
      <c r="JWF10" s="2"/>
      <c r="JWG10" s="2"/>
      <c r="JWH10" s="2"/>
      <c r="JWI10" s="2"/>
      <c r="JWJ10" s="2"/>
      <c r="JWK10" s="2"/>
      <c r="JWL10" s="2"/>
      <c r="JWM10" s="2"/>
      <c r="JWN10" s="2"/>
      <c r="JWO10" s="2"/>
      <c r="JWP10" s="2"/>
      <c r="JWQ10" s="2"/>
      <c r="JWR10" s="2"/>
      <c r="JWS10" s="2"/>
      <c r="JWT10" s="2"/>
      <c r="JWU10" s="2"/>
      <c r="JWV10" s="2"/>
      <c r="JWW10" s="2"/>
      <c r="JWX10" s="2"/>
      <c r="JWY10" s="2"/>
      <c r="JWZ10" s="2"/>
      <c r="JXA10" s="2"/>
      <c r="JXB10" s="2"/>
      <c r="JXC10" s="2"/>
      <c r="JXD10" s="2"/>
      <c r="JXE10" s="2"/>
      <c r="JXF10" s="2"/>
      <c r="JXG10" s="2"/>
      <c r="JXH10" s="2"/>
      <c r="JXI10" s="2"/>
      <c r="JXJ10" s="2"/>
      <c r="JXK10" s="2"/>
      <c r="JXL10" s="2"/>
      <c r="JXM10" s="2"/>
      <c r="JXN10" s="2"/>
      <c r="JXO10" s="2"/>
      <c r="JXP10" s="2"/>
      <c r="JXQ10" s="2"/>
      <c r="JXR10" s="2"/>
      <c r="JXS10" s="2"/>
      <c r="JXT10" s="2"/>
      <c r="JXU10" s="2"/>
      <c r="JXV10" s="2"/>
      <c r="JXW10" s="2"/>
      <c r="JXX10" s="2"/>
      <c r="JXY10" s="2"/>
      <c r="JXZ10" s="2"/>
      <c r="JYA10" s="2"/>
      <c r="JYB10" s="2"/>
      <c r="JYC10" s="2"/>
      <c r="JYD10" s="2"/>
      <c r="JYE10" s="2"/>
      <c r="JYF10" s="2"/>
      <c r="JYG10" s="2"/>
      <c r="JYH10" s="2"/>
      <c r="JYI10" s="2"/>
      <c r="JYJ10" s="2"/>
      <c r="JYK10" s="2"/>
      <c r="JYL10" s="2"/>
      <c r="JYM10" s="2"/>
      <c r="JYN10" s="2"/>
      <c r="JYO10" s="2"/>
      <c r="JYP10" s="2"/>
      <c r="JYQ10" s="2"/>
      <c r="JYR10" s="2"/>
      <c r="JYS10" s="2"/>
      <c r="JYT10" s="2"/>
      <c r="JYU10" s="2"/>
      <c r="JYV10" s="2"/>
      <c r="JYW10" s="2"/>
      <c r="JYX10" s="2"/>
      <c r="JYY10" s="2"/>
      <c r="JYZ10" s="2"/>
      <c r="JZA10" s="2"/>
      <c r="JZB10" s="2"/>
      <c r="JZC10" s="2"/>
      <c r="JZD10" s="2"/>
      <c r="JZE10" s="2"/>
      <c r="JZF10" s="2"/>
      <c r="JZG10" s="2"/>
      <c r="JZH10" s="2"/>
      <c r="JZI10" s="2"/>
      <c r="JZJ10" s="2"/>
      <c r="JZK10" s="2"/>
      <c r="JZL10" s="2"/>
      <c r="JZM10" s="2"/>
      <c r="JZN10" s="2"/>
      <c r="JZO10" s="2"/>
      <c r="JZP10" s="2"/>
      <c r="JZQ10" s="2"/>
      <c r="JZR10" s="2"/>
      <c r="JZS10" s="2"/>
      <c r="JZT10" s="2"/>
      <c r="JZU10" s="2"/>
      <c r="JZV10" s="2"/>
      <c r="JZW10" s="2"/>
      <c r="JZX10" s="2"/>
      <c r="JZY10" s="2"/>
      <c r="JZZ10" s="2"/>
      <c r="KAA10" s="2"/>
      <c r="KAB10" s="2"/>
      <c r="KAC10" s="2"/>
      <c r="KAD10" s="2"/>
      <c r="KAE10" s="2"/>
      <c r="KAF10" s="2"/>
      <c r="KAG10" s="2"/>
      <c r="KAH10" s="2"/>
      <c r="KAI10" s="2"/>
      <c r="KAJ10" s="2"/>
      <c r="KAK10" s="2"/>
      <c r="KAL10" s="2"/>
      <c r="KAM10" s="2"/>
      <c r="KAN10" s="2"/>
      <c r="KAO10" s="2"/>
      <c r="KAP10" s="2"/>
      <c r="KAQ10" s="2"/>
      <c r="KAR10" s="2"/>
      <c r="KAS10" s="2"/>
      <c r="KAT10" s="2"/>
      <c r="KAU10" s="2"/>
      <c r="KAV10" s="2"/>
      <c r="KAW10" s="2"/>
      <c r="KAX10" s="2"/>
      <c r="KAY10" s="2"/>
      <c r="KAZ10" s="2"/>
      <c r="KBA10" s="2"/>
      <c r="KBB10" s="2"/>
      <c r="KBC10" s="2"/>
      <c r="KBD10" s="2"/>
      <c r="KBE10" s="2"/>
      <c r="KBF10" s="2"/>
      <c r="KBG10" s="2"/>
      <c r="KBH10" s="2"/>
      <c r="KBI10" s="2"/>
      <c r="KBJ10" s="2"/>
      <c r="KBK10" s="2"/>
      <c r="KBL10" s="2"/>
      <c r="KBM10" s="2"/>
      <c r="KBN10" s="2"/>
      <c r="KBO10" s="2"/>
      <c r="KBP10" s="2"/>
      <c r="KBQ10" s="2"/>
      <c r="KBR10" s="2"/>
      <c r="KBS10" s="2"/>
      <c r="KBT10" s="2"/>
      <c r="KBU10" s="2"/>
      <c r="KBV10" s="2"/>
      <c r="KBW10" s="2"/>
      <c r="KBX10" s="2"/>
      <c r="KBY10" s="2"/>
      <c r="KBZ10" s="2"/>
      <c r="KCA10" s="2"/>
      <c r="KCB10" s="2"/>
      <c r="KCC10" s="2"/>
      <c r="KCD10" s="2"/>
      <c r="KCE10" s="2"/>
      <c r="KCF10" s="2"/>
      <c r="KCG10" s="2"/>
      <c r="KCH10" s="2"/>
      <c r="KCI10" s="2"/>
      <c r="KCJ10" s="2"/>
      <c r="KCK10" s="2"/>
      <c r="KCL10" s="2"/>
      <c r="KCM10" s="2"/>
      <c r="KCN10" s="2"/>
      <c r="KCO10" s="2"/>
      <c r="KCP10" s="2"/>
      <c r="KCQ10" s="2"/>
      <c r="KCR10" s="2"/>
      <c r="KCS10" s="2"/>
      <c r="KCT10" s="2"/>
      <c r="KCU10" s="2"/>
      <c r="KCV10" s="2"/>
      <c r="KCW10" s="2"/>
      <c r="KCX10" s="2"/>
      <c r="KCY10" s="2"/>
      <c r="KCZ10" s="2"/>
      <c r="KDA10" s="2"/>
      <c r="KDB10" s="2"/>
      <c r="KDC10" s="2"/>
      <c r="KDD10" s="2"/>
      <c r="KDE10" s="2"/>
      <c r="KDF10" s="2"/>
      <c r="KDG10" s="2"/>
      <c r="KDH10" s="2"/>
      <c r="KDI10" s="2"/>
      <c r="KDJ10" s="2"/>
      <c r="KDK10" s="2"/>
      <c r="KDL10" s="2"/>
      <c r="KDM10" s="2"/>
      <c r="KDN10" s="2"/>
      <c r="KDO10" s="2"/>
      <c r="KDP10" s="2"/>
      <c r="KDQ10" s="2"/>
      <c r="KDR10" s="2"/>
      <c r="KDS10" s="2"/>
      <c r="KDT10" s="2"/>
      <c r="KDU10" s="2"/>
      <c r="KDV10" s="2"/>
      <c r="KDW10" s="2"/>
      <c r="KDX10" s="2"/>
      <c r="KDY10" s="2"/>
      <c r="KDZ10" s="2"/>
      <c r="KEA10" s="2"/>
      <c r="KEB10" s="2"/>
      <c r="KEC10" s="2"/>
      <c r="KED10" s="2"/>
      <c r="KEE10" s="2"/>
      <c r="KEF10" s="2"/>
      <c r="KEG10" s="2"/>
      <c r="KEH10" s="2"/>
      <c r="KEI10" s="2"/>
      <c r="KEJ10" s="2"/>
      <c r="KEK10" s="2"/>
      <c r="KEL10" s="2"/>
      <c r="KEM10" s="2"/>
      <c r="KEN10" s="2"/>
      <c r="KEO10" s="2"/>
      <c r="KEP10" s="2"/>
      <c r="KEQ10" s="2"/>
      <c r="KER10" s="2"/>
      <c r="KES10" s="2"/>
      <c r="KET10" s="2"/>
      <c r="KEU10" s="2"/>
      <c r="KEV10" s="2"/>
      <c r="KEW10" s="2"/>
      <c r="KEX10" s="2"/>
      <c r="KEY10" s="2"/>
      <c r="KEZ10" s="2"/>
      <c r="KFA10" s="2"/>
      <c r="KFB10" s="2"/>
      <c r="KFC10" s="2"/>
      <c r="KFD10" s="2"/>
      <c r="KFE10" s="2"/>
      <c r="KFF10" s="2"/>
      <c r="KFG10" s="2"/>
      <c r="KFH10" s="2"/>
      <c r="KFI10" s="2"/>
      <c r="KFJ10" s="2"/>
      <c r="KFK10" s="2"/>
      <c r="KFL10" s="2"/>
      <c r="KFM10" s="2"/>
      <c r="KFN10" s="2"/>
      <c r="KFO10" s="2"/>
      <c r="KFP10" s="2"/>
      <c r="KFQ10" s="2"/>
      <c r="KFR10" s="2"/>
      <c r="KFS10" s="2"/>
      <c r="KFT10" s="2"/>
      <c r="KFU10" s="2"/>
      <c r="KFV10" s="2"/>
      <c r="KFW10" s="2"/>
      <c r="KFX10" s="2"/>
      <c r="KFY10" s="2"/>
      <c r="KFZ10" s="2"/>
      <c r="KGA10" s="2"/>
      <c r="KGB10" s="2"/>
      <c r="KGC10" s="2"/>
      <c r="KGD10" s="2"/>
      <c r="KGE10" s="2"/>
      <c r="KGF10" s="2"/>
      <c r="KGG10" s="2"/>
      <c r="KGH10" s="2"/>
      <c r="KGI10" s="2"/>
      <c r="KGJ10" s="2"/>
      <c r="KGK10" s="2"/>
      <c r="KGL10" s="2"/>
      <c r="KGM10" s="2"/>
      <c r="KGN10" s="2"/>
      <c r="KGO10" s="2"/>
      <c r="KGP10" s="2"/>
      <c r="KGQ10" s="2"/>
      <c r="KGR10" s="2"/>
      <c r="KGS10" s="2"/>
      <c r="KGT10" s="2"/>
      <c r="KGU10" s="2"/>
      <c r="KGV10" s="2"/>
      <c r="KGW10" s="2"/>
      <c r="KGX10" s="2"/>
      <c r="KGY10" s="2"/>
      <c r="KGZ10" s="2"/>
      <c r="KHA10" s="2"/>
      <c r="KHB10" s="2"/>
      <c r="KHC10" s="2"/>
      <c r="KHD10" s="2"/>
      <c r="KHE10" s="2"/>
      <c r="KHF10" s="2"/>
      <c r="KHG10" s="2"/>
      <c r="KHH10" s="2"/>
      <c r="KHI10" s="2"/>
      <c r="KHJ10" s="2"/>
      <c r="KHK10" s="2"/>
      <c r="KHL10" s="2"/>
      <c r="KHM10" s="2"/>
      <c r="KHN10" s="2"/>
      <c r="KHO10" s="2"/>
      <c r="KHP10" s="2"/>
      <c r="KHQ10" s="2"/>
      <c r="KHR10" s="2"/>
      <c r="KHS10" s="2"/>
      <c r="KHT10" s="2"/>
      <c r="KHU10" s="2"/>
      <c r="KHV10" s="2"/>
      <c r="KHW10" s="2"/>
      <c r="KHX10" s="2"/>
      <c r="KHY10" s="2"/>
      <c r="KHZ10" s="2"/>
      <c r="KIA10" s="2"/>
      <c r="KIB10" s="2"/>
      <c r="KIC10" s="2"/>
      <c r="KID10" s="2"/>
      <c r="KIE10" s="2"/>
      <c r="KIF10" s="2"/>
      <c r="KIG10" s="2"/>
      <c r="KIH10" s="2"/>
      <c r="KII10" s="2"/>
      <c r="KIJ10" s="2"/>
      <c r="KIK10" s="2"/>
      <c r="KIL10" s="2"/>
      <c r="KIM10" s="2"/>
      <c r="KIN10" s="2"/>
      <c r="KIO10" s="2"/>
      <c r="KIP10" s="2"/>
      <c r="KIQ10" s="2"/>
      <c r="KIR10" s="2"/>
      <c r="KIS10" s="2"/>
      <c r="KIT10" s="2"/>
      <c r="KIU10" s="2"/>
      <c r="KIV10" s="2"/>
      <c r="KIW10" s="2"/>
      <c r="KIX10" s="2"/>
      <c r="KIY10" s="2"/>
      <c r="KIZ10" s="2"/>
      <c r="KJA10" s="2"/>
      <c r="KJB10" s="2"/>
      <c r="KJC10" s="2"/>
      <c r="KJD10" s="2"/>
      <c r="KJE10" s="2"/>
      <c r="KJF10" s="2"/>
      <c r="KJG10" s="2"/>
      <c r="KJH10" s="2"/>
      <c r="KJI10" s="2"/>
      <c r="KJJ10" s="2"/>
      <c r="KJK10" s="2"/>
      <c r="KJL10" s="2"/>
      <c r="KJM10" s="2"/>
      <c r="KJN10" s="2"/>
      <c r="KJO10" s="2"/>
      <c r="KJP10" s="2"/>
      <c r="KJQ10" s="2"/>
      <c r="KJR10" s="2"/>
      <c r="KJS10" s="2"/>
      <c r="KJT10" s="2"/>
      <c r="KJU10" s="2"/>
      <c r="KJV10" s="2"/>
      <c r="KJW10" s="2"/>
      <c r="KJX10" s="2"/>
      <c r="KJY10" s="2"/>
      <c r="KJZ10" s="2"/>
      <c r="KKA10" s="2"/>
      <c r="KKB10" s="2"/>
      <c r="KKC10" s="2"/>
      <c r="KKD10" s="2"/>
      <c r="KKE10" s="2"/>
      <c r="KKF10" s="2"/>
      <c r="KKG10" s="2"/>
      <c r="KKH10" s="2"/>
      <c r="KKI10" s="2"/>
      <c r="KKJ10" s="2"/>
      <c r="KKK10" s="2"/>
      <c r="KKL10" s="2"/>
      <c r="KKM10" s="2"/>
      <c r="KKN10" s="2"/>
      <c r="KKO10" s="2"/>
      <c r="KKP10" s="2"/>
      <c r="KKQ10" s="2"/>
      <c r="KKR10" s="2"/>
      <c r="KKS10" s="2"/>
      <c r="KKT10" s="2"/>
      <c r="KKU10" s="2"/>
      <c r="KKV10" s="2"/>
      <c r="KKW10" s="2"/>
      <c r="KKX10" s="2"/>
      <c r="KKY10" s="2"/>
      <c r="KKZ10" s="2"/>
      <c r="KLA10" s="2"/>
      <c r="KLB10" s="2"/>
      <c r="KLC10" s="2"/>
      <c r="KLD10" s="2"/>
      <c r="KLE10" s="2"/>
      <c r="KLF10" s="2"/>
      <c r="KLG10" s="2"/>
      <c r="KLH10" s="2"/>
      <c r="KLI10" s="2"/>
      <c r="KLJ10" s="2"/>
      <c r="KLK10" s="2"/>
      <c r="KLL10" s="2"/>
      <c r="KLM10" s="2"/>
      <c r="KLN10" s="2"/>
      <c r="KLO10" s="2"/>
      <c r="KLP10" s="2"/>
      <c r="KLQ10" s="2"/>
      <c r="KLR10" s="2"/>
      <c r="KLS10" s="2"/>
      <c r="KLT10" s="2"/>
      <c r="KLU10" s="2"/>
      <c r="KLV10" s="2"/>
      <c r="KLW10" s="2"/>
      <c r="KLX10" s="2"/>
      <c r="KLY10" s="2"/>
      <c r="KLZ10" s="2"/>
      <c r="KMA10" s="2"/>
      <c r="KMB10" s="2"/>
      <c r="KMC10" s="2"/>
      <c r="KMD10" s="2"/>
      <c r="KME10" s="2"/>
      <c r="KMF10" s="2"/>
      <c r="KMG10" s="2"/>
      <c r="KMH10" s="2"/>
      <c r="KMI10" s="2"/>
      <c r="KMJ10" s="2"/>
      <c r="KMK10" s="2"/>
      <c r="KML10" s="2"/>
      <c r="KMM10" s="2"/>
      <c r="KMN10" s="2"/>
      <c r="KMO10" s="2"/>
      <c r="KMP10" s="2"/>
      <c r="KMQ10" s="2"/>
      <c r="KMR10" s="2"/>
      <c r="KMS10" s="2"/>
      <c r="KMT10" s="2"/>
      <c r="KMU10" s="2"/>
      <c r="KMV10" s="2"/>
      <c r="KMW10" s="2"/>
      <c r="KMX10" s="2"/>
      <c r="KMY10" s="2"/>
      <c r="KMZ10" s="2"/>
      <c r="KNA10" s="2"/>
      <c r="KNB10" s="2"/>
      <c r="KNC10" s="2"/>
      <c r="KND10" s="2"/>
      <c r="KNE10" s="2"/>
      <c r="KNF10" s="2"/>
      <c r="KNG10" s="2"/>
      <c r="KNH10" s="2"/>
      <c r="KNI10" s="2"/>
      <c r="KNJ10" s="2"/>
      <c r="KNK10" s="2"/>
      <c r="KNL10" s="2"/>
      <c r="KNM10" s="2"/>
      <c r="KNN10" s="2"/>
      <c r="KNO10" s="2"/>
      <c r="KNP10" s="2"/>
      <c r="KNQ10" s="2"/>
      <c r="KNR10" s="2"/>
      <c r="KNS10" s="2"/>
      <c r="KNT10" s="2"/>
      <c r="KNU10" s="2"/>
      <c r="KNV10" s="2"/>
      <c r="KNW10" s="2"/>
      <c r="KNX10" s="2"/>
      <c r="KNY10" s="2"/>
      <c r="KNZ10" s="2"/>
      <c r="KOA10" s="2"/>
      <c r="KOB10" s="2"/>
      <c r="KOC10" s="2"/>
      <c r="KOD10" s="2"/>
      <c r="KOE10" s="2"/>
      <c r="KOF10" s="2"/>
      <c r="KOG10" s="2"/>
      <c r="KOH10" s="2"/>
      <c r="KOI10" s="2"/>
      <c r="KOJ10" s="2"/>
      <c r="KOK10" s="2"/>
      <c r="KOL10" s="2"/>
      <c r="KOM10" s="2"/>
      <c r="KON10" s="2"/>
      <c r="KOO10" s="2"/>
      <c r="KOP10" s="2"/>
      <c r="KOQ10" s="2"/>
      <c r="KOR10" s="2"/>
      <c r="KOS10" s="2"/>
      <c r="KOT10" s="2"/>
      <c r="KOU10" s="2"/>
      <c r="KOV10" s="2"/>
      <c r="KOW10" s="2"/>
      <c r="KOX10" s="2"/>
      <c r="KOY10" s="2"/>
      <c r="KOZ10" s="2"/>
      <c r="KPA10" s="2"/>
      <c r="KPB10" s="2"/>
      <c r="KPC10" s="2"/>
      <c r="KPD10" s="2"/>
      <c r="KPE10" s="2"/>
      <c r="KPF10" s="2"/>
      <c r="KPG10" s="2"/>
      <c r="KPH10" s="2"/>
      <c r="KPI10" s="2"/>
      <c r="KPJ10" s="2"/>
      <c r="KPK10" s="2"/>
      <c r="KPL10" s="2"/>
      <c r="KPM10" s="2"/>
      <c r="KPN10" s="2"/>
      <c r="KPO10" s="2"/>
      <c r="KPP10" s="2"/>
      <c r="KPQ10" s="2"/>
      <c r="KPR10" s="2"/>
      <c r="KPS10" s="2"/>
      <c r="KPT10" s="2"/>
      <c r="KPU10" s="2"/>
      <c r="KPV10" s="2"/>
      <c r="KPW10" s="2"/>
      <c r="KPX10" s="2"/>
      <c r="KPY10" s="2"/>
      <c r="KPZ10" s="2"/>
      <c r="KQA10" s="2"/>
      <c r="KQB10" s="2"/>
      <c r="KQC10" s="2"/>
      <c r="KQD10" s="2"/>
      <c r="KQE10" s="2"/>
      <c r="KQF10" s="2"/>
      <c r="KQG10" s="2"/>
      <c r="KQH10" s="2"/>
      <c r="KQI10" s="2"/>
      <c r="KQJ10" s="2"/>
      <c r="KQK10" s="2"/>
      <c r="KQL10" s="2"/>
      <c r="KQM10" s="2"/>
      <c r="KQN10" s="2"/>
      <c r="KQO10" s="2"/>
      <c r="KQP10" s="2"/>
      <c r="KQQ10" s="2"/>
      <c r="KQR10" s="2"/>
      <c r="KQS10" s="2"/>
      <c r="KQT10" s="2"/>
      <c r="KQU10" s="2"/>
      <c r="KQV10" s="2"/>
      <c r="KQW10" s="2"/>
      <c r="KQX10" s="2"/>
      <c r="KQY10" s="2"/>
      <c r="KQZ10" s="2"/>
      <c r="KRA10" s="2"/>
      <c r="KRB10" s="2"/>
      <c r="KRC10" s="2"/>
      <c r="KRD10" s="2"/>
      <c r="KRE10" s="2"/>
      <c r="KRF10" s="2"/>
      <c r="KRG10" s="2"/>
      <c r="KRH10" s="2"/>
      <c r="KRI10" s="2"/>
      <c r="KRJ10" s="2"/>
      <c r="KRK10" s="2"/>
      <c r="KRL10" s="2"/>
      <c r="KRM10" s="2"/>
      <c r="KRN10" s="2"/>
      <c r="KRO10" s="2"/>
      <c r="KRP10" s="2"/>
      <c r="KRQ10" s="2"/>
      <c r="KRR10" s="2"/>
      <c r="KRS10" s="2"/>
      <c r="KRT10" s="2"/>
      <c r="KRU10" s="2"/>
      <c r="KRV10" s="2"/>
      <c r="KRW10" s="2"/>
      <c r="KRX10" s="2"/>
      <c r="KRY10" s="2"/>
      <c r="KRZ10" s="2"/>
      <c r="KSA10" s="2"/>
      <c r="KSB10" s="2"/>
      <c r="KSC10" s="2"/>
      <c r="KSD10" s="2"/>
      <c r="KSE10" s="2"/>
      <c r="KSF10" s="2"/>
      <c r="KSG10" s="2"/>
      <c r="KSH10" s="2"/>
      <c r="KSI10" s="2"/>
      <c r="KSJ10" s="2"/>
      <c r="KSK10" s="2"/>
      <c r="KSL10" s="2"/>
      <c r="KSM10" s="2"/>
      <c r="KSN10" s="2"/>
      <c r="KSO10" s="2"/>
      <c r="KSP10" s="2"/>
      <c r="KSQ10" s="2"/>
      <c r="KSR10" s="2"/>
      <c r="KSS10" s="2"/>
      <c r="KST10" s="2"/>
      <c r="KSU10" s="2"/>
      <c r="KSV10" s="2"/>
      <c r="KSW10" s="2"/>
      <c r="KSX10" s="2"/>
      <c r="KSY10" s="2"/>
      <c r="KSZ10" s="2"/>
      <c r="KTA10" s="2"/>
      <c r="KTB10" s="2"/>
      <c r="KTC10" s="2"/>
      <c r="KTD10" s="2"/>
      <c r="KTE10" s="2"/>
      <c r="KTF10" s="2"/>
      <c r="KTG10" s="2"/>
      <c r="KTH10" s="2"/>
      <c r="KTI10" s="2"/>
      <c r="KTJ10" s="2"/>
      <c r="KTK10" s="2"/>
      <c r="KTL10" s="2"/>
      <c r="KTM10" s="2"/>
      <c r="KTN10" s="2"/>
      <c r="KTO10" s="2"/>
      <c r="KTP10" s="2"/>
      <c r="KTQ10" s="2"/>
      <c r="KTR10" s="2"/>
      <c r="KTS10" s="2"/>
      <c r="KTT10" s="2"/>
      <c r="KTU10" s="2"/>
      <c r="KTV10" s="2"/>
      <c r="KTW10" s="2"/>
      <c r="KTX10" s="2"/>
      <c r="KTY10" s="2"/>
      <c r="KTZ10" s="2"/>
      <c r="KUA10" s="2"/>
      <c r="KUB10" s="2"/>
      <c r="KUC10" s="2"/>
      <c r="KUD10" s="2"/>
      <c r="KUE10" s="2"/>
      <c r="KUF10" s="2"/>
      <c r="KUG10" s="2"/>
      <c r="KUH10" s="2"/>
      <c r="KUI10" s="2"/>
      <c r="KUJ10" s="2"/>
      <c r="KUK10" s="2"/>
      <c r="KUL10" s="2"/>
      <c r="KUM10" s="2"/>
      <c r="KUN10" s="2"/>
      <c r="KUO10" s="2"/>
      <c r="KUP10" s="2"/>
      <c r="KUQ10" s="2"/>
      <c r="KUR10" s="2"/>
      <c r="KUS10" s="2"/>
      <c r="KUT10" s="2"/>
      <c r="KUU10" s="2"/>
      <c r="KUV10" s="2"/>
      <c r="KUW10" s="2"/>
      <c r="KUX10" s="2"/>
      <c r="KUY10" s="2"/>
      <c r="KUZ10" s="2"/>
      <c r="KVA10" s="2"/>
      <c r="KVB10" s="2"/>
      <c r="KVC10" s="2"/>
      <c r="KVD10" s="2"/>
      <c r="KVE10" s="2"/>
      <c r="KVF10" s="2"/>
      <c r="KVG10" s="2"/>
      <c r="KVH10" s="2"/>
      <c r="KVI10" s="2"/>
      <c r="KVJ10" s="2"/>
      <c r="KVK10" s="2"/>
      <c r="KVL10" s="2"/>
      <c r="KVM10" s="2"/>
      <c r="KVN10" s="2"/>
      <c r="KVO10" s="2"/>
      <c r="KVP10" s="2"/>
      <c r="KVQ10" s="2"/>
      <c r="KVR10" s="2"/>
      <c r="KVS10" s="2"/>
      <c r="KVT10" s="2"/>
      <c r="KVU10" s="2"/>
      <c r="KVV10" s="2"/>
      <c r="KVW10" s="2"/>
      <c r="KVX10" s="2"/>
      <c r="KVY10" s="2"/>
      <c r="KVZ10" s="2"/>
      <c r="KWA10" s="2"/>
      <c r="KWB10" s="2"/>
      <c r="KWC10" s="2"/>
      <c r="KWD10" s="2"/>
      <c r="KWE10" s="2"/>
      <c r="KWF10" s="2"/>
      <c r="KWG10" s="2"/>
      <c r="KWH10" s="2"/>
      <c r="KWI10" s="2"/>
      <c r="KWJ10" s="2"/>
      <c r="KWK10" s="2"/>
      <c r="KWL10" s="2"/>
      <c r="KWM10" s="2"/>
      <c r="KWN10" s="2"/>
      <c r="KWO10" s="2"/>
      <c r="KWP10" s="2"/>
      <c r="KWQ10" s="2"/>
      <c r="KWR10" s="2"/>
      <c r="KWS10" s="2"/>
      <c r="KWT10" s="2"/>
      <c r="KWU10" s="2"/>
      <c r="KWV10" s="2"/>
      <c r="KWW10" s="2"/>
      <c r="KWX10" s="2"/>
      <c r="KWY10" s="2"/>
      <c r="KWZ10" s="2"/>
      <c r="KXA10" s="2"/>
      <c r="KXB10" s="2"/>
      <c r="KXC10" s="2"/>
      <c r="KXD10" s="2"/>
      <c r="KXE10" s="2"/>
      <c r="KXF10" s="2"/>
      <c r="KXG10" s="2"/>
      <c r="KXH10" s="2"/>
      <c r="KXI10" s="2"/>
      <c r="KXJ10" s="2"/>
      <c r="KXK10" s="2"/>
      <c r="KXL10" s="2"/>
      <c r="KXM10" s="2"/>
      <c r="KXN10" s="2"/>
      <c r="KXO10" s="2"/>
      <c r="KXP10" s="2"/>
      <c r="KXQ10" s="2"/>
      <c r="KXR10" s="2"/>
      <c r="KXS10" s="2"/>
      <c r="KXT10" s="2"/>
      <c r="KXU10" s="2"/>
      <c r="KXV10" s="2"/>
      <c r="KXW10" s="2"/>
      <c r="KXX10" s="2"/>
      <c r="KXY10" s="2"/>
      <c r="KXZ10" s="2"/>
      <c r="KYA10" s="2"/>
      <c r="KYB10" s="2"/>
      <c r="KYC10" s="2"/>
      <c r="KYD10" s="2"/>
      <c r="KYE10" s="2"/>
      <c r="KYF10" s="2"/>
      <c r="KYG10" s="2"/>
      <c r="KYH10" s="2"/>
      <c r="KYI10" s="2"/>
      <c r="KYJ10" s="2"/>
      <c r="KYK10" s="2"/>
      <c r="KYL10" s="2"/>
      <c r="KYM10" s="2"/>
      <c r="KYN10" s="2"/>
      <c r="KYO10" s="2"/>
      <c r="KYP10" s="2"/>
      <c r="KYQ10" s="2"/>
      <c r="KYR10" s="2"/>
      <c r="KYS10" s="2"/>
      <c r="KYT10" s="2"/>
      <c r="KYU10" s="2"/>
      <c r="KYV10" s="2"/>
      <c r="KYW10" s="2"/>
      <c r="KYX10" s="2"/>
      <c r="KYY10" s="2"/>
      <c r="KYZ10" s="2"/>
      <c r="KZA10" s="2"/>
      <c r="KZB10" s="2"/>
      <c r="KZC10" s="2"/>
      <c r="KZD10" s="2"/>
      <c r="KZE10" s="2"/>
      <c r="KZF10" s="2"/>
      <c r="KZG10" s="2"/>
      <c r="KZH10" s="2"/>
      <c r="KZI10" s="2"/>
      <c r="KZJ10" s="2"/>
      <c r="KZK10" s="2"/>
      <c r="KZL10" s="2"/>
      <c r="KZM10" s="2"/>
      <c r="KZN10" s="2"/>
      <c r="KZO10" s="2"/>
      <c r="KZP10" s="2"/>
      <c r="KZQ10" s="2"/>
      <c r="KZR10" s="2"/>
      <c r="KZS10" s="2"/>
      <c r="KZT10" s="2"/>
      <c r="KZU10" s="2"/>
      <c r="KZV10" s="2"/>
      <c r="KZW10" s="2"/>
      <c r="KZX10" s="2"/>
      <c r="KZY10" s="2"/>
      <c r="KZZ10" s="2"/>
      <c r="LAA10" s="2"/>
      <c r="LAB10" s="2"/>
      <c r="LAC10" s="2"/>
      <c r="LAD10" s="2"/>
      <c r="LAE10" s="2"/>
      <c r="LAF10" s="2"/>
      <c r="LAG10" s="2"/>
      <c r="LAH10" s="2"/>
      <c r="LAI10" s="2"/>
      <c r="LAJ10" s="2"/>
      <c r="LAK10" s="2"/>
      <c r="LAL10" s="2"/>
      <c r="LAM10" s="2"/>
      <c r="LAN10" s="2"/>
      <c r="LAO10" s="2"/>
      <c r="LAP10" s="2"/>
      <c r="LAQ10" s="2"/>
      <c r="LAR10" s="2"/>
      <c r="LAS10" s="2"/>
      <c r="LAT10" s="2"/>
      <c r="LAU10" s="2"/>
      <c r="LAV10" s="2"/>
      <c r="LAW10" s="2"/>
      <c r="LAX10" s="2"/>
      <c r="LAY10" s="2"/>
      <c r="LAZ10" s="2"/>
      <c r="LBA10" s="2"/>
      <c r="LBB10" s="2"/>
      <c r="LBC10" s="2"/>
      <c r="LBD10" s="2"/>
      <c r="LBE10" s="2"/>
      <c r="LBF10" s="2"/>
      <c r="LBG10" s="2"/>
      <c r="LBH10" s="2"/>
      <c r="LBI10" s="2"/>
      <c r="LBJ10" s="2"/>
      <c r="LBK10" s="2"/>
      <c r="LBL10" s="2"/>
      <c r="LBM10" s="2"/>
      <c r="LBN10" s="2"/>
      <c r="LBO10" s="2"/>
      <c r="LBP10" s="2"/>
      <c r="LBQ10" s="2"/>
      <c r="LBR10" s="2"/>
      <c r="LBS10" s="2"/>
      <c r="LBT10" s="2"/>
      <c r="LBU10" s="2"/>
      <c r="LBV10" s="2"/>
      <c r="LBW10" s="2"/>
      <c r="LBX10" s="2"/>
      <c r="LBY10" s="2"/>
      <c r="LBZ10" s="2"/>
      <c r="LCA10" s="2"/>
      <c r="LCB10" s="2"/>
      <c r="LCC10" s="2"/>
      <c r="LCD10" s="2"/>
      <c r="LCE10" s="2"/>
      <c r="LCF10" s="2"/>
      <c r="LCG10" s="2"/>
      <c r="LCH10" s="2"/>
      <c r="LCI10" s="2"/>
      <c r="LCJ10" s="2"/>
      <c r="LCK10" s="2"/>
      <c r="LCL10" s="2"/>
      <c r="LCM10" s="2"/>
      <c r="LCN10" s="2"/>
      <c r="LCO10" s="2"/>
      <c r="LCP10" s="2"/>
      <c r="LCQ10" s="2"/>
      <c r="LCR10" s="2"/>
      <c r="LCS10" s="2"/>
      <c r="LCT10" s="2"/>
      <c r="LCU10" s="2"/>
      <c r="LCV10" s="2"/>
      <c r="LCW10" s="2"/>
      <c r="LCX10" s="2"/>
      <c r="LCY10" s="2"/>
      <c r="LCZ10" s="2"/>
      <c r="LDA10" s="2"/>
      <c r="LDB10" s="2"/>
      <c r="LDC10" s="2"/>
      <c r="LDD10" s="2"/>
      <c r="LDE10" s="2"/>
      <c r="LDF10" s="2"/>
      <c r="LDG10" s="2"/>
      <c r="LDH10" s="2"/>
      <c r="LDI10" s="2"/>
      <c r="LDJ10" s="2"/>
      <c r="LDK10" s="2"/>
      <c r="LDL10" s="2"/>
      <c r="LDM10" s="2"/>
      <c r="LDN10" s="2"/>
      <c r="LDO10" s="2"/>
      <c r="LDP10" s="2"/>
      <c r="LDQ10" s="2"/>
      <c r="LDR10" s="2"/>
      <c r="LDS10" s="2"/>
      <c r="LDT10" s="2"/>
      <c r="LDU10" s="2"/>
      <c r="LDV10" s="2"/>
      <c r="LDW10" s="2"/>
      <c r="LDX10" s="2"/>
      <c r="LDY10" s="2"/>
      <c r="LDZ10" s="2"/>
      <c r="LEA10" s="2"/>
      <c r="LEB10" s="2"/>
      <c r="LEC10" s="2"/>
      <c r="LED10" s="2"/>
      <c r="LEE10" s="2"/>
      <c r="LEF10" s="2"/>
      <c r="LEG10" s="2"/>
      <c r="LEH10" s="2"/>
      <c r="LEI10" s="2"/>
      <c r="LEJ10" s="2"/>
      <c r="LEK10" s="2"/>
      <c r="LEL10" s="2"/>
      <c r="LEM10" s="2"/>
      <c r="LEN10" s="2"/>
      <c r="LEO10" s="2"/>
      <c r="LEP10" s="2"/>
      <c r="LEQ10" s="2"/>
      <c r="LER10" s="2"/>
      <c r="LES10" s="2"/>
      <c r="LET10" s="2"/>
      <c r="LEU10" s="2"/>
      <c r="LEV10" s="2"/>
      <c r="LEW10" s="2"/>
      <c r="LEX10" s="2"/>
      <c r="LEY10" s="2"/>
      <c r="LEZ10" s="2"/>
      <c r="LFA10" s="2"/>
      <c r="LFB10" s="2"/>
      <c r="LFC10" s="2"/>
      <c r="LFD10" s="2"/>
      <c r="LFE10" s="2"/>
      <c r="LFF10" s="2"/>
      <c r="LFG10" s="2"/>
      <c r="LFH10" s="2"/>
      <c r="LFI10" s="2"/>
      <c r="LFJ10" s="2"/>
      <c r="LFK10" s="2"/>
      <c r="LFL10" s="2"/>
      <c r="LFM10" s="2"/>
      <c r="LFN10" s="2"/>
      <c r="LFO10" s="2"/>
      <c r="LFP10" s="2"/>
      <c r="LFQ10" s="2"/>
      <c r="LFR10" s="2"/>
      <c r="LFS10" s="2"/>
      <c r="LFT10" s="2"/>
      <c r="LFU10" s="2"/>
      <c r="LFV10" s="2"/>
      <c r="LFW10" s="2"/>
      <c r="LFX10" s="2"/>
      <c r="LFY10" s="2"/>
      <c r="LFZ10" s="2"/>
      <c r="LGA10" s="2"/>
      <c r="LGB10" s="2"/>
      <c r="LGC10" s="2"/>
      <c r="LGD10" s="2"/>
      <c r="LGE10" s="2"/>
      <c r="LGF10" s="2"/>
      <c r="LGG10" s="2"/>
      <c r="LGH10" s="2"/>
      <c r="LGI10" s="2"/>
      <c r="LGJ10" s="2"/>
      <c r="LGK10" s="2"/>
      <c r="LGL10" s="2"/>
      <c r="LGM10" s="2"/>
      <c r="LGN10" s="2"/>
      <c r="LGO10" s="2"/>
      <c r="LGP10" s="2"/>
      <c r="LGQ10" s="2"/>
      <c r="LGR10" s="2"/>
      <c r="LGS10" s="2"/>
      <c r="LGT10" s="2"/>
      <c r="LGU10" s="2"/>
      <c r="LGV10" s="2"/>
      <c r="LGW10" s="2"/>
      <c r="LGX10" s="2"/>
      <c r="LGY10" s="2"/>
      <c r="LGZ10" s="2"/>
      <c r="LHA10" s="2"/>
      <c r="LHB10" s="2"/>
      <c r="LHC10" s="2"/>
      <c r="LHD10" s="2"/>
      <c r="LHE10" s="2"/>
      <c r="LHF10" s="2"/>
      <c r="LHG10" s="2"/>
      <c r="LHH10" s="2"/>
      <c r="LHI10" s="2"/>
      <c r="LHJ10" s="2"/>
      <c r="LHK10" s="2"/>
      <c r="LHL10" s="2"/>
      <c r="LHM10" s="2"/>
      <c r="LHN10" s="2"/>
      <c r="LHO10" s="2"/>
      <c r="LHP10" s="2"/>
      <c r="LHQ10" s="2"/>
      <c r="LHR10" s="2"/>
      <c r="LHS10" s="2"/>
      <c r="LHT10" s="2"/>
      <c r="LHU10" s="2"/>
      <c r="LHV10" s="2"/>
      <c r="LHW10" s="2"/>
      <c r="LHX10" s="2"/>
      <c r="LHY10" s="2"/>
      <c r="LHZ10" s="2"/>
      <c r="LIA10" s="2"/>
      <c r="LIB10" s="2"/>
      <c r="LIC10" s="2"/>
      <c r="LID10" s="2"/>
      <c r="LIE10" s="2"/>
      <c r="LIF10" s="2"/>
      <c r="LIG10" s="2"/>
      <c r="LIH10" s="2"/>
      <c r="LII10" s="2"/>
      <c r="LIJ10" s="2"/>
      <c r="LIK10" s="2"/>
      <c r="LIL10" s="2"/>
      <c r="LIM10" s="2"/>
      <c r="LIN10" s="2"/>
      <c r="LIO10" s="2"/>
      <c r="LIP10" s="2"/>
      <c r="LIQ10" s="2"/>
      <c r="LIR10" s="2"/>
      <c r="LIS10" s="2"/>
      <c r="LIT10" s="2"/>
      <c r="LIU10" s="2"/>
      <c r="LIV10" s="2"/>
      <c r="LIW10" s="2"/>
      <c r="LIX10" s="2"/>
      <c r="LIY10" s="2"/>
      <c r="LIZ10" s="2"/>
      <c r="LJA10" s="2"/>
      <c r="LJB10" s="2"/>
      <c r="LJC10" s="2"/>
      <c r="LJD10" s="2"/>
      <c r="LJE10" s="2"/>
      <c r="LJF10" s="2"/>
      <c r="LJG10" s="2"/>
      <c r="LJH10" s="2"/>
      <c r="LJI10" s="2"/>
      <c r="LJJ10" s="2"/>
      <c r="LJK10" s="2"/>
      <c r="LJL10" s="2"/>
      <c r="LJM10" s="2"/>
      <c r="LJN10" s="2"/>
      <c r="LJO10" s="2"/>
      <c r="LJP10" s="2"/>
      <c r="LJQ10" s="2"/>
      <c r="LJR10" s="2"/>
      <c r="LJS10" s="2"/>
      <c r="LJT10" s="2"/>
      <c r="LJU10" s="2"/>
      <c r="LJV10" s="2"/>
      <c r="LJW10" s="2"/>
      <c r="LJX10" s="2"/>
      <c r="LJY10" s="2"/>
      <c r="LJZ10" s="2"/>
      <c r="LKA10" s="2"/>
      <c r="LKB10" s="2"/>
      <c r="LKC10" s="2"/>
      <c r="LKD10" s="2"/>
      <c r="LKE10" s="2"/>
      <c r="LKF10" s="2"/>
      <c r="LKG10" s="2"/>
      <c r="LKH10" s="2"/>
      <c r="LKI10" s="2"/>
      <c r="LKJ10" s="2"/>
      <c r="LKK10" s="2"/>
      <c r="LKL10" s="2"/>
      <c r="LKM10" s="2"/>
      <c r="LKN10" s="2"/>
      <c r="LKO10" s="2"/>
      <c r="LKP10" s="2"/>
      <c r="LKQ10" s="2"/>
      <c r="LKR10" s="2"/>
      <c r="LKS10" s="2"/>
      <c r="LKT10" s="2"/>
      <c r="LKU10" s="2"/>
      <c r="LKV10" s="2"/>
      <c r="LKW10" s="2"/>
      <c r="LKX10" s="2"/>
      <c r="LKY10" s="2"/>
      <c r="LKZ10" s="2"/>
      <c r="LLA10" s="2"/>
      <c r="LLB10" s="2"/>
      <c r="LLC10" s="2"/>
      <c r="LLD10" s="2"/>
      <c r="LLE10" s="2"/>
      <c r="LLF10" s="2"/>
      <c r="LLG10" s="2"/>
      <c r="LLH10" s="2"/>
      <c r="LLI10" s="2"/>
      <c r="LLJ10" s="2"/>
      <c r="LLK10" s="2"/>
      <c r="LLL10" s="2"/>
      <c r="LLM10" s="2"/>
      <c r="LLN10" s="2"/>
      <c r="LLO10" s="2"/>
      <c r="LLP10" s="2"/>
      <c r="LLQ10" s="2"/>
      <c r="LLR10" s="2"/>
      <c r="LLS10" s="2"/>
      <c r="LLT10" s="2"/>
      <c r="LLU10" s="2"/>
      <c r="LLV10" s="2"/>
      <c r="LLW10" s="2"/>
      <c r="LLX10" s="2"/>
      <c r="LLY10" s="2"/>
      <c r="LLZ10" s="2"/>
      <c r="LMA10" s="2"/>
      <c r="LMB10" s="2"/>
      <c r="LMC10" s="2"/>
      <c r="LMD10" s="2"/>
      <c r="LME10" s="2"/>
      <c r="LMF10" s="2"/>
      <c r="LMG10" s="2"/>
      <c r="LMH10" s="2"/>
      <c r="LMI10" s="2"/>
      <c r="LMJ10" s="2"/>
      <c r="LMK10" s="2"/>
      <c r="LML10" s="2"/>
      <c r="LMM10" s="2"/>
      <c r="LMN10" s="2"/>
      <c r="LMO10" s="2"/>
      <c r="LMP10" s="2"/>
      <c r="LMQ10" s="2"/>
      <c r="LMR10" s="2"/>
      <c r="LMS10" s="2"/>
      <c r="LMT10" s="2"/>
      <c r="LMU10" s="2"/>
      <c r="LMV10" s="2"/>
      <c r="LMW10" s="2"/>
      <c r="LMX10" s="2"/>
      <c r="LMY10" s="2"/>
      <c r="LMZ10" s="2"/>
      <c r="LNA10" s="2"/>
      <c r="LNB10" s="2"/>
      <c r="LNC10" s="2"/>
      <c r="LND10" s="2"/>
      <c r="LNE10" s="2"/>
      <c r="LNF10" s="2"/>
      <c r="LNG10" s="2"/>
      <c r="LNH10" s="2"/>
      <c r="LNI10" s="2"/>
      <c r="LNJ10" s="2"/>
      <c r="LNK10" s="2"/>
      <c r="LNL10" s="2"/>
      <c r="LNM10" s="2"/>
      <c r="LNN10" s="2"/>
      <c r="LNO10" s="2"/>
      <c r="LNP10" s="2"/>
      <c r="LNQ10" s="2"/>
      <c r="LNR10" s="2"/>
      <c r="LNS10" s="2"/>
      <c r="LNT10" s="2"/>
      <c r="LNU10" s="2"/>
      <c r="LNV10" s="2"/>
      <c r="LNW10" s="2"/>
      <c r="LNX10" s="2"/>
      <c r="LNY10" s="2"/>
      <c r="LNZ10" s="2"/>
      <c r="LOA10" s="2"/>
      <c r="LOB10" s="2"/>
      <c r="LOC10" s="2"/>
      <c r="LOD10" s="2"/>
      <c r="LOE10" s="2"/>
      <c r="LOF10" s="2"/>
      <c r="LOG10" s="2"/>
      <c r="LOH10" s="2"/>
      <c r="LOI10" s="2"/>
      <c r="LOJ10" s="2"/>
      <c r="LOK10" s="2"/>
      <c r="LOL10" s="2"/>
      <c r="LOM10" s="2"/>
      <c r="LON10" s="2"/>
      <c r="LOO10" s="2"/>
      <c r="LOP10" s="2"/>
      <c r="LOQ10" s="2"/>
      <c r="LOR10" s="2"/>
      <c r="LOS10" s="2"/>
      <c r="LOT10" s="2"/>
      <c r="LOU10" s="2"/>
      <c r="LOV10" s="2"/>
      <c r="LOW10" s="2"/>
      <c r="LOX10" s="2"/>
      <c r="LOY10" s="2"/>
      <c r="LOZ10" s="2"/>
      <c r="LPA10" s="2"/>
      <c r="LPB10" s="2"/>
      <c r="LPC10" s="2"/>
      <c r="LPD10" s="2"/>
      <c r="LPE10" s="2"/>
      <c r="LPF10" s="2"/>
      <c r="LPG10" s="2"/>
      <c r="LPH10" s="2"/>
      <c r="LPI10" s="2"/>
      <c r="LPJ10" s="2"/>
      <c r="LPK10" s="2"/>
      <c r="LPL10" s="2"/>
      <c r="LPM10" s="2"/>
      <c r="LPN10" s="2"/>
      <c r="LPO10" s="2"/>
      <c r="LPP10" s="2"/>
      <c r="LPQ10" s="2"/>
      <c r="LPR10" s="2"/>
      <c r="LPS10" s="2"/>
      <c r="LPT10" s="2"/>
      <c r="LPU10" s="2"/>
      <c r="LPV10" s="2"/>
      <c r="LPW10" s="2"/>
      <c r="LPX10" s="2"/>
      <c r="LPY10" s="2"/>
      <c r="LPZ10" s="2"/>
      <c r="LQA10" s="2"/>
      <c r="LQB10" s="2"/>
      <c r="LQC10" s="2"/>
      <c r="LQD10" s="2"/>
      <c r="LQE10" s="2"/>
      <c r="LQF10" s="2"/>
      <c r="LQG10" s="2"/>
      <c r="LQH10" s="2"/>
      <c r="LQI10" s="2"/>
      <c r="LQJ10" s="2"/>
      <c r="LQK10" s="2"/>
      <c r="LQL10" s="2"/>
      <c r="LQM10" s="2"/>
      <c r="LQN10" s="2"/>
      <c r="LQO10" s="2"/>
      <c r="LQP10" s="2"/>
      <c r="LQQ10" s="2"/>
      <c r="LQR10" s="2"/>
      <c r="LQS10" s="2"/>
      <c r="LQT10" s="2"/>
      <c r="LQU10" s="2"/>
      <c r="LQV10" s="2"/>
      <c r="LQW10" s="2"/>
      <c r="LQX10" s="2"/>
      <c r="LQY10" s="2"/>
      <c r="LQZ10" s="2"/>
      <c r="LRA10" s="2"/>
      <c r="LRB10" s="2"/>
      <c r="LRC10" s="2"/>
      <c r="LRD10" s="2"/>
      <c r="LRE10" s="2"/>
      <c r="LRF10" s="2"/>
      <c r="LRG10" s="2"/>
      <c r="LRH10" s="2"/>
      <c r="LRI10" s="2"/>
      <c r="LRJ10" s="2"/>
      <c r="LRK10" s="2"/>
      <c r="LRL10" s="2"/>
      <c r="LRM10" s="2"/>
      <c r="LRN10" s="2"/>
      <c r="LRO10" s="2"/>
      <c r="LRP10" s="2"/>
      <c r="LRQ10" s="2"/>
      <c r="LRR10" s="2"/>
      <c r="LRS10" s="2"/>
      <c r="LRT10" s="2"/>
      <c r="LRU10" s="2"/>
      <c r="LRV10" s="2"/>
      <c r="LRW10" s="2"/>
      <c r="LRX10" s="2"/>
      <c r="LRY10" s="2"/>
      <c r="LRZ10" s="2"/>
      <c r="LSA10" s="2"/>
      <c r="LSB10" s="2"/>
      <c r="LSC10" s="2"/>
      <c r="LSD10" s="2"/>
      <c r="LSE10" s="2"/>
      <c r="LSF10" s="2"/>
      <c r="LSG10" s="2"/>
      <c r="LSH10" s="2"/>
      <c r="LSI10" s="2"/>
      <c r="LSJ10" s="2"/>
      <c r="LSK10" s="2"/>
      <c r="LSL10" s="2"/>
      <c r="LSM10" s="2"/>
      <c r="LSN10" s="2"/>
      <c r="LSO10" s="2"/>
      <c r="LSP10" s="2"/>
      <c r="LSQ10" s="2"/>
      <c r="LSR10" s="2"/>
      <c r="LSS10" s="2"/>
      <c r="LST10" s="2"/>
      <c r="LSU10" s="2"/>
      <c r="LSV10" s="2"/>
      <c r="LSW10" s="2"/>
      <c r="LSX10" s="2"/>
      <c r="LSY10" s="2"/>
      <c r="LSZ10" s="2"/>
      <c r="LTA10" s="2"/>
      <c r="LTB10" s="2"/>
      <c r="LTC10" s="2"/>
      <c r="LTD10" s="2"/>
      <c r="LTE10" s="2"/>
      <c r="LTF10" s="2"/>
      <c r="LTG10" s="2"/>
      <c r="LTH10" s="2"/>
      <c r="LTI10" s="2"/>
      <c r="LTJ10" s="2"/>
      <c r="LTK10" s="2"/>
      <c r="LTL10" s="2"/>
      <c r="LTM10" s="2"/>
      <c r="LTN10" s="2"/>
      <c r="LTO10" s="2"/>
      <c r="LTP10" s="2"/>
      <c r="LTQ10" s="2"/>
      <c r="LTR10" s="2"/>
      <c r="LTS10" s="2"/>
      <c r="LTT10" s="2"/>
      <c r="LTU10" s="2"/>
      <c r="LTV10" s="2"/>
      <c r="LTW10" s="2"/>
      <c r="LTX10" s="2"/>
      <c r="LTY10" s="2"/>
      <c r="LTZ10" s="2"/>
      <c r="LUA10" s="2"/>
      <c r="LUB10" s="2"/>
      <c r="LUC10" s="2"/>
      <c r="LUD10" s="2"/>
      <c r="LUE10" s="2"/>
      <c r="LUF10" s="2"/>
      <c r="LUG10" s="2"/>
      <c r="LUH10" s="2"/>
      <c r="LUI10" s="2"/>
      <c r="LUJ10" s="2"/>
      <c r="LUK10" s="2"/>
      <c r="LUL10" s="2"/>
      <c r="LUM10" s="2"/>
      <c r="LUN10" s="2"/>
      <c r="LUO10" s="2"/>
      <c r="LUP10" s="2"/>
      <c r="LUQ10" s="2"/>
      <c r="LUR10" s="2"/>
      <c r="LUS10" s="2"/>
      <c r="LUT10" s="2"/>
      <c r="LUU10" s="2"/>
      <c r="LUV10" s="2"/>
      <c r="LUW10" s="2"/>
      <c r="LUX10" s="2"/>
      <c r="LUY10" s="2"/>
      <c r="LUZ10" s="2"/>
      <c r="LVA10" s="2"/>
      <c r="LVB10" s="2"/>
      <c r="LVC10" s="2"/>
      <c r="LVD10" s="2"/>
      <c r="LVE10" s="2"/>
      <c r="LVF10" s="2"/>
      <c r="LVG10" s="2"/>
      <c r="LVH10" s="2"/>
      <c r="LVI10" s="2"/>
      <c r="LVJ10" s="2"/>
      <c r="LVK10" s="2"/>
      <c r="LVL10" s="2"/>
      <c r="LVM10" s="2"/>
      <c r="LVN10" s="2"/>
      <c r="LVO10" s="2"/>
      <c r="LVP10" s="2"/>
      <c r="LVQ10" s="2"/>
      <c r="LVR10" s="2"/>
      <c r="LVS10" s="2"/>
      <c r="LVT10" s="2"/>
      <c r="LVU10" s="2"/>
      <c r="LVV10" s="2"/>
      <c r="LVW10" s="2"/>
      <c r="LVX10" s="2"/>
      <c r="LVY10" s="2"/>
      <c r="LVZ10" s="2"/>
      <c r="LWA10" s="2"/>
      <c r="LWB10" s="2"/>
      <c r="LWC10" s="2"/>
      <c r="LWD10" s="2"/>
      <c r="LWE10" s="2"/>
      <c r="LWF10" s="2"/>
      <c r="LWG10" s="2"/>
      <c r="LWH10" s="2"/>
      <c r="LWI10" s="2"/>
      <c r="LWJ10" s="2"/>
      <c r="LWK10" s="2"/>
      <c r="LWL10" s="2"/>
      <c r="LWM10" s="2"/>
      <c r="LWN10" s="2"/>
      <c r="LWO10" s="2"/>
      <c r="LWP10" s="2"/>
      <c r="LWQ10" s="2"/>
      <c r="LWR10" s="2"/>
      <c r="LWS10" s="2"/>
      <c r="LWT10" s="2"/>
      <c r="LWU10" s="2"/>
      <c r="LWV10" s="2"/>
      <c r="LWW10" s="2"/>
      <c r="LWX10" s="2"/>
      <c r="LWY10" s="2"/>
      <c r="LWZ10" s="2"/>
      <c r="LXA10" s="2"/>
      <c r="LXB10" s="2"/>
      <c r="LXC10" s="2"/>
      <c r="LXD10" s="2"/>
      <c r="LXE10" s="2"/>
      <c r="LXF10" s="2"/>
      <c r="LXG10" s="2"/>
      <c r="LXH10" s="2"/>
      <c r="LXI10" s="2"/>
      <c r="LXJ10" s="2"/>
      <c r="LXK10" s="2"/>
      <c r="LXL10" s="2"/>
      <c r="LXM10" s="2"/>
      <c r="LXN10" s="2"/>
      <c r="LXO10" s="2"/>
      <c r="LXP10" s="2"/>
      <c r="LXQ10" s="2"/>
      <c r="LXR10" s="2"/>
      <c r="LXS10" s="2"/>
      <c r="LXT10" s="2"/>
      <c r="LXU10" s="2"/>
      <c r="LXV10" s="2"/>
      <c r="LXW10" s="2"/>
      <c r="LXX10" s="2"/>
      <c r="LXY10" s="2"/>
      <c r="LXZ10" s="2"/>
      <c r="LYA10" s="2"/>
      <c r="LYB10" s="2"/>
      <c r="LYC10" s="2"/>
      <c r="LYD10" s="2"/>
      <c r="LYE10" s="2"/>
      <c r="LYF10" s="2"/>
      <c r="LYG10" s="2"/>
      <c r="LYH10" s="2"/>
      <c r="LYI10" s="2"/>
      <c r="LYJ10" s="2"/>
      <c r="LYK10" s="2"/>
      <c r="LYL10" s="2"/>
      <c r="LYM10" s="2"/>
      <c r="LYN10" s="2"/>
      <c r="LYO10" s="2"/>
      <c r="LYP10" s="2"/>
      <c r="LYQ10" s="2"/>
      <c r="LYR10" s="2"/>
      <c r="LYS10" s="2"/>
      <c r="LYT10" s="2"/>
      <c r="LYU10" s="2"/>
      <c r="LYV10" s="2"/>
      <c r="LYW10" s="2"/>
      <c r="LYX10" s="2"/>
      <c r="LYY10" s="2"/>
      <c r="LYZ10" s="2"/>
      <c r="LZA10" s="2"/>
      <c r="LZB10" s="2"/>
      <c r="LZC10" s="2"/>
      <c r="LZD10" s="2"/>
      <c r="LZE10" s="2"/>
      <c r="LZF10" s="2"/>
      <c r="LZG10" s="2"/>
      <c r="LZH10" s="2"/>
      <c r="LZI10" s="2"/>
      <c r="LZJ10" s="2"/>
      <c r="LZK10" s="2"/>
      <c r="LZL10" s="2"/>
      <c r="LZM10" s="2"/>
      <c r="LZN10" s="2"/>
      <c r="LZO10" s="2"/>
      <c r="LZP10" s="2"/>
      <c r="LZQ10" s="2"/>
      <c r="LZR10" s="2"/>
      <c r="LZS10" s="2"/>
      <c r="LZT10" s="2"/>
      <c r="LZU10" s="2"/>
      <c r="LZV10" s="2"/>
      <c r="LZW10" s="2"/>
      <c r="LZX10" s="2"/>
      <c r="LZY10" s="2"/>
      <c r="LZZ10" s="2"/>
      <c r="MAA10" s="2"/>
      <c r="MAB10" s="2"/>
      <c r="MAC10" s="2"/>
      <c r="MAD10" s="2"/>
      <c r="MAE10" s="2"/>
      <c r="MAF10" s="2"/>
      <c r="MAG10" s="2"/>
      <c r="MAH10" s="2"/>
      <c r="MAI10" s="2"/>
      <c r="MAJ10" s="2"/>
      <c r="MAK10" s="2"/>
      <c r="MAL10" s="2"/>
      <c r="MAM10" s="2"/>
      <c r="MAN10" s="2"/>
      <c r="MAO10" s="2"/>
      <c r="MAP10" s="2"/>
      <c r="MAQ10" s="2"/>
      <c r="MAR10" s="2"/>
      <c r="MAS10" s="2"/>
      <c r="MAT10" s="2"/>
      <c r="MAU10" s="2"/>
      <c r="MAV10" s="2"/>
      <c r="MAW10" s="2"/>
      <c r="MAX10" s="2"/>
      <c r="MAY10" s="2"/>
      <c r="MAZ10" s="2"/>
      <c r="MBA10" s="2"/>
      <c r="MBB10" s="2"/>
      <c r="MBC10" s="2"/>
      <c r="MBD10" s="2"/>
      <c r="MBE10" s="2"/>
      <c r="MBF10" s="2"/>
      <c r="MBG10" s="2"/>
      <c r="MBH10" s="2"/>
      <c r="MBI10" s="2"/>
      <c r="MBJ10" s="2"/>
      <c r="MBK10" s="2"/>
      <c r="MBL10" s="2"/>
      <c r="MBM10" s="2"/>
      <c r="MBN10" s="2"/>
      <c r="MBO10" s="2"/>
      <c r="MBP10" s="2"/>
      <c r="MBQ10" s="2"/>
      <c r="MBR10" s="2"/>
      <c r="MBS10" s="2"/>
      <c r="MBT10" s="2"/>
      <c r="MBU10" s="2"/>
      <c r="MBV10" s="2"/>
      <c r="MBW10" s="2"/>
      <c r="MBX10" s="2"/>
      <c r="MBY10" s="2"/>
      <c r="MBZ10" s="2"/>
      <c r="MCA10" s="2"/>
      <c r="MCB10" s="2"/>
      <c r="MCC10" s="2"/>
      <c r="MCD10" s="2"/>
      <c r="MCE10" s="2"/>
      <c r="MCF10" s="2"/>
      <c r="MCG10" s="2"/>
      <c r="MCH10" s="2"/>
      <c r="MCI10" s="2"/>
      <c r="MCJ10" s="2"/>
      <c r="MCK10" s="2"/>
      <c r="MCL10" s="2"/>
      <c r="MCM10" s="2"/>
      <c r="MCN10" s="2"/>
      <c r="MCO10" s="2"/>
      <c r="MCP10" s="2"/>
      <c r="MCQ10" s="2"/>
      <c r="MCR10" s="2"/>
      <c r="MCS10" s="2"/>
      <c r="MCT10" s="2"/>
      <c r="MCU10" s="2"/>
      <c r="MCV10" s="2"/>
      <c r="MCW10" s="2"/>
      <c r="MCX10" s="2"/>
      <c r="MCY10" s="2"/>
      <c r="MCZ10" s="2"/>
      <c r="MDA10" s="2"/>
      <c r="MDB10" s="2"/>
      <c r="MDC10" s="2"/>
      <c r="MDD10" s="2"/>
      <c r="MDE10" s="2"/>
      <c r="MDF10" s="2"/>
      <c r="MDG10" s="2"/>
      <c r="MDH10" s="2"/>
      <c r="MDI10" s="2"/>
      <c r="MDJ10" s="2"/>
      <c r="MDK10" s="2"/>
      <c r="MDL10" s="2"/>
      <c r="MDM10" s="2"/>
      <c r="MDN10" s="2"/>
      <c r="MDO10" s="2"/>
      <c r="MDP10" s="2"/>
      <c r="MDQ10" s="2"/>
      <c r="MDR10" s="2"/>
      <c r="MDS10" s="2"/>
      <c r="MDT10" s="2"/>
      <c r="MDU10" s="2"/>
      <c r="MDV10" s="2"/>
      <c r="MDW10" s="2"/>
      <c r="MDX10" s="2"/>
      <c r="MDY10" s="2"/>
      <c r="MDZ10" s="2"/>
      <c r="MEA10" s="2"/>
      <c r="MEB10" s="2"/>
      <c r="MEC10" s="2"/>
      <c r="MED10" s="2"/>
      <c r="MEE10" s="2"/>
      <c r="MEF10" s="2"/>
      <c r="MEG10" s="2"/>
      <c r="MEH10" s="2"/>
      <c r="MEI10" s="2"/>
      <c r="MEJ10" s="2"/>
      <c r="MEK10" s="2"/>
      <c r="MEL10" s="2"/>
      <c r="MEM10" s="2"/>
      <c r="MEN10" s="2"/>
      <c r="MEO10" s="2"/>
      <c r="MEP10" s="2"/>
      <c r="MEQ10" s="2"/>
      <c r="MER10" s="2"/>
      <c r="MES10" s="2"/>
      <c r="MET10" s="2"/>
      <c r="MEU10" s="2"/>
      <c r="MEV10" s="2"/>
      <c r="MEW10" s="2"/>
      <c r="MEX10" s="2"/>
      <c r="MEY10" s="2"/>
      <c r="MEZ10" s="2"/>
      <c r="MFA10" s="2"/>
      <c r="MFB10" s="2"/>
      <c r="MFC10" s="2"/>
      <c r="MFD10" s="2"/>
      <c r="MFE10" s="2"/>
      <c r="MFF10" s="2"/>
      <c r="MFG10" s="2"/>
      <c r="MFH10" s="2"/>
      <c r="MFI10" s="2"/>
      <c r="MFJ10" s="2"/>
      <c r="MFK10" s="2"/>
      <c r="MFL10" s="2"/>
      <c r="MFM10" s="2"/>
      <c r="MFN10" s="2"/>
      <c r="MFO10" s="2"/>
      <c r="MFP10" s="2"/>
      <c r="MFQ10" s="2"/>
      <c r="MFR10" s="2"/>
      <c r="MFS10" s="2"/>
      <c r="MFT10" s="2"/>
      <c r="MFU10" s="2"/>
      <c r="MFV10" s="2"/>
      <c r="MFW10" s="2"/>
      <c r="MFX10" s="2"/>
      <c r="MFY10" s="2"/>
      <c r="MFZ10" s="2"/>
      <c r="MGA10" s="2"/>
      <c r="MGB10" s="2"/>
      <c r="MGC10" s="2"/>
      <c r="MGD10" s="2"/>
      <c r="MGE10" s="2"/>
      <c r="MGF10" s="2"/>
      <c r="MGG10" s="2"/>
      <c r="MGH10" s="2"/>
      <c r="MGI10" s="2"/>
      <c r="MGJ10" s="2"/>
      <c r="MGK10" s="2"/>
      <c r="MGL10" s="2"/>
      <c r="MGM10" s="2"/>
      <c r="MGN10" s="2"/>
      <c r="MGO10" s="2"/>
      <c r="MGP10" s="2"/>
      <c r="MGQ10" s="2"/>
      <c r="MGR10" s="2"/>
      <c r="MGS10" s="2"/>
      <c r="MGT10" s="2"/>
      <c r="MGU10" s="2"/>
      <c r="MGV10" s="2"/>
      <c r="MGW10" s="2"/>
      <c r="MGX10" s="2"/>
      <c r="MGY10" s="2"/>
      <c r="MGZ10" s="2"/>
      <c r="MHA10" s="2"/>
      <c r="MHB10" s="2"/>
      <c r="MHC10" s="2"/>
      <c r="MHD10" s="2"/>
      <c r="MHE10" s="2"/>
      <c r="MHF10" s="2"/>
      <c r="MHG10" s="2"/>
      <c r="MHH10" s="2"/>
      <c r="MHI10" s="2"/>
      <c r="MHJ10" s="2"/>
      <c r="MHK10" s="2"/>
      <c r="MHL10" s="2"/>
      <c r="MHM10" s="2"/>
      <c r="MHN10" s="2"/>
      <c r="MHO10" s="2"/>
      <c r="MHP10" s="2"/>
      <c r="MHQ10" s="2"/>
      <c r="MHR10" s="2"/>
      <c r="MHS10" s="2"/>
      <c r="MHT10" s="2"/>
      <c r="MHU10" s="2"/>
      <c r="MHV10" s="2"/>
      <c r="MHW10" s="2"/>
      <c r="MHX10" s="2"/>
      <c r="MHY10" s="2"/>
      <c r="MHZ10" s="2"/>
      <c r="MIA10" s="2"/>
      <c r="MIB10" s="2"/>
      <c r="MIC10" s="2"/>
      <c r="MID10" s="2"/>
      <c r="MIE10" s="2"/>
      <c r="MIF10" s="2"/>
      <c r="MIG10" s="2"/>
      <c r="MIH10" s="2"/>
      <c r="MII10" s="2"/>
      <c r="MIJ10" s="2"/>
      <c r="MIK10" s="2"/>
      <c r="MIL10" s="2"/>
      <c r="MIM10" s="2"/>
      <c r="MIN10" s="2"/>
      <c r="MIO10" s="2"/>
      <c r="MIP10" s="2"/>
      <c r="MIQ10" s="2"/>
      <c r="MIR10" s="2"/>
      <c r="MIS10" s="2"/>
      <c r="MIT10" s="2"/>
      <c r="MIU10" s="2"/>
      <c r="MIV10" s="2"/>
      <c r="MIW10" s="2"/>
      <c r="MIX10" s="2"/>
      <c r="MIY10" s="2"/>
      <c r="MIZ10" s="2"/>
      <c r="MJA10" s="2"/>
      <c r="MJB10" s="2"/>
      <c r="MJC10" s="2"/>
      <c r="MJD10" s="2"/>
      <c r="MJE10" s="2"/>
      <c r="MJF10" s="2"/>
      <c r="MJG10" s="2"/>
      <c r="MJH10" s="2"/>
      <c r="MJI10" s="2"/>
      <c r="MJJ10" s="2"/>
      <c r="MJK10" s="2"/>
      <c r="MJL10" s="2"/>
      <c r="MJM10" s="2"/>
      <c r="MJN10" s="2"/>
      <c r="MJO10" s="2"/>
      <c r="MJP10" s="2"/>
      <c r="MJQ10" s="2"/>
      <c r="MJR10" s="2"/>
      <c r="MJS10" s="2"/>
      <c r="MJT10" s="2"/>
      <c r="MJU10" s="2"/>
      <c r="MJV10" s="2"/>
      <c r="MJW10" s="2"/>
      <c r="MJX10" s="2"/>
      <c r="MJY10" s="2"/>
      <c r="MJZ10" s="2"/>
      <c r="MKA10" s="2"/>
      <c r="MKB10" s="2"/>
      <c r="MKC10" s="2"/>
      <c r="MKD10" s="2"/>
      <c r="MKE10" s="2"/>
      <c r="MKF10" s="2"/>
      <c r="MKG10" s="2"/>
      <c r="MKH10" s="2"/>
      <c r="MKI10" s="2"/>
      <c r="MKJ10" s="2"/>
      <c r="MKK10" s="2"/>
      <c r="MKL10" s="2"/>
      <c r="MKM10" s="2"/>
      <c r="MKN10" s="2"/>
      <c r="MKO10" s="2"/>
      <c r="MKP10" s="2"/>
      <c r="MKQ10" s="2"/>
      <c r="MKR10" s="2"/>
      <c r="MKS10" s="2"/>
      <c r="MKT10" s="2"/>
      <c r="MKU10" s="2"/>
      <c r="MKV10" s="2"/>
      <c r="MKW10" s="2"/>
      <c r="MKX10" s="2"/>
      <c r="MKY10" s="2"/>
      <c r="MKZ10" s="2"/>
      <c r="MLA10" s="2"/>
      <c r="MLB10" s="2"/>
      <c r="MLC10" s="2"/>
      <c r="MLD10" s="2"/>
      <c r="MLE10" s="2"/>
      <c r="MLF10" s="2"/>
      <c r="MLG10" s="2"/>
      <c r="MLH10" s="2"/>
      <c r="MLI10" s="2"/>
      <c r="MLJ10" s="2"/>
      <c r="MLK10" s="2"/>
      <c r="MLL10" s="2"/>
      <c r="MLM10" s="2"/>
      <c r="MLN10" s="2"/>
      <c r="MLO10" s="2"/>
      <c r="MLP10" s="2"/>
      <c r="MLQ10" s="2"/>
      <c r="MLR10" s="2"/>
      <c r="MLS10" s="2"/>
      <c r="MLT10" s="2"/>
      <c r="MLU10" s="2"/>
      <c r="MLV10" s="2"/>
      <c r="MLW10" s="2"/>
      <c r="MLX10" s="2"/>
      <c r="MLY10" s="2"/>
      <c r="MLZ10" s="2"/>
      <c r="MMA10" s="2"/>
      <c r="MMB10" s="2"/>
      <c r="MMC10" s="2"/>
      <c r="MMD10" s="2"/>
      <c r="MME10" s="2"/>
      <c r="MMF10" s="2"/>
      <c r="MMG10" s="2"/>
      <c r="MMH10" s="2"/>
      <c r="MMI10" s="2"/>
      <c r="MMJ10" s="2"/>
      <c r="MMK10" s="2"/>
      <c r="MML10" s="2"/>
      <c r="MMM10" s="2"/>
      <c r="MMN10" s="2"/>
      <c r="MMO10" s="2"/>
      <c r="MMP10" s="2"/>
      <c r="MMQ10" s="2"/>
      <c r="MMR10" s="2"/>
      <c r="MMS10" s="2"/>
      <c r="MMT10" s="2"/>
      <c r="MMU10" s="2"/>
      <c r="MMV10" s="2"/>
      <c r="MMW10" s="2"/>
      <c r="MMX10" s="2"/>
      <c r="MMY10" s="2"/>
      <c r="MMZ10" s="2"/>
      <c r="MNA10" s="2"/>
      <c r="MNB10" s="2"/>
      <c r="MNC10" s="2"/>
      <c r="MND10" s="2"/>
      <c r="MNE10" s="2"/>
      <c r="MNF10" s="2"/>
      <c r="MNG10" s="2"/>
      <c r="MNH10" s="2"/>
      <c r="MNI10" s="2"/>
      <c r="MNJ10" s="2"/>
      <c r="MNK10" s="2"/>
      <c r="MNL10" s="2"/>
      <c r="MNM10" s="2"/>
      <c r="MNN10" s="2"/>
      <c r="MNO10" s="2"/>
      <c r="MNP10" s="2"/>
      <c r="MNQ10" s="2"/>
      <c r="MNR10" s="2"/>
      <c r="MNS10" s="2"/>
      <c r="MNT10" s="2"/>
      <c r="MNU10" s="2"/>
      <c r="MNV10" s="2"/>
      <c r="MNW10" s="2"/>
      <c r="MNX10" s="2"/>
      <c r="MNY10" s="2"/>
      <c r="MNZ10" s="2"/>
      <c r="MOA10" s="2"/>
      <c r="MOB10" s="2"/>
      <c r="MOC10" s="2"/>
      <c r="MOD10" s="2"/>
      <c r="MOE10" s="2"/>
      <c r="MOF10" s="2"/>
      <c r="MOG10" s="2"/>
      <c r="MOH10" s="2"/>
      <c r="MOI10" s="2"/>
      <c r="MOJ10" s="2"/>
      <c r="MOK10" s="2"/>
      <c r="MOL10" s="2"/>
      <c r="MOM10" s="2"/>
      <c r="MON10" s="2"/>
      <c r="MOO10" s="2"/>
      <c r="MOP10" s="2"/>
      <c r="MOQ10" s="2"/>
      <c r="MOR10" s="2"/>
      <c r="MOS10" s="2"/>
      <c r="MOT10" s="2"/>
      <c r="MOU10" s="2"/>
      <c r="MOV10" s="2"/>
      <c r="MOW10" s="2"/>
      <c r="MOX10" s="2"/>
      <c r="MOY10" s="2"/>
      <c r="MOZ10" s="2"/>
      <c r="MPA10" s="2"/>
      <c r="MPB10" s="2"/>
      <c r="MPC10" s="2"/>
      <c r="MPD10" s="2"/>
      <c r="MPE10" s="2"/>
      <c r="MPF10" s="2"/>
      <c r="MPG10" s="2"/>
      <c r="MPH10" s="2"/>
      <c r="MPI10" s="2"/>
      <c r="MPJ10" s="2"/>
      <c r="MPK10" s="2"/>
      <c r="MPL10" s="2"/>
      <c r="MPM10" s="2"/>
      <c r="MPN10" s="2"/>
      <c r="MPO10" s="2"/>
      <c r="MPP10" s="2"/>
      <c r="MPQ10" s="2"/>
      <c r="MPR10" s="2"/>
      <c r="MPS10" s="2"/>
      <c r="MPT10" s="2"/>
      <c r="MPU10" s="2"/>
      <c r="MPV10" s="2"/>
      <c r="MPW10" s="2"/>
      <c r="MPX10" s="2"/>
      <c r="MPY10" s="2"/>
      <c r="MPZ10" s="2"/>
      <c r="MQA10" s="2"/>
      <c r="MQB10" s="2"/>
      <c r="MQC10" s="2"/>
      <c r="MQD10" s="2"/>
      <c r="MQE10" s="2"/>
      <c r="MQF10" s="2"/>
      <c r="MQG10" s="2"/>
      <c r="MQH10" s="2"/>
      <c r="MQI10" s="2"/>
      <c r="MQJ10" s="2"/>
      <c r="MQK10" s="2"/>
      <c r="MQL10" s="2"/>
      <c r="MQM10" s="2"/>
      <c r="MQN10" s="2"/>
      <c r="MQO10" s="2"/>
      <c r="MQP10" s="2"/>
      <c r="MQQ10" s="2"/>
      <c r="MQR10" s="2"/>
      <c r="MQS10" s="2"/>
      <c r="MQT10" s="2"/>
      <c r="MQU10" s="2"/>
      <c r="MQV10" s="2"/>
      <c r="MQW10" s="2"/>
      <c r="MQX10" s="2"/>
      <c r="MQY10" s="2"/>
      <c r="MQZ10" s="2"/>
      <c r="MRA10" s="2"/>
      <c r="MRB10" s="2"/>
      <c r="MRC10" s="2"/>
      <c r="MRD10" s="2"/>
      <c r="MRE10" s="2"/>
      <c r="MRF10" s="2"/>
      <c r="MRG10" s="2"/>
      <c r="MRH10" s="2"/>
      <c r="MRI10" s="2"/>
      <c r="MRJ10" s="2"/>
      <c r="MRK10" s="2"/>
      <c r="MRL10" s="2"/>
      <c r="MRM10" s="2"/>
      <c r="MRN10" s="2"/>
      <c r="MRO10" s="2"/>
      <c r="MRP10" s="2"/>
      <c r="MRQ10" s="2"/>
      <c r="MRR10" s="2"/>
      <c r="MRS10" s="2"/>
      <c r="MRT10" s="2"/>
      <c r="MRU10" s="2"/>
      <c r="MRV10" s="2"/>
      <c r="MRW10" s="2"/>
      <c r="MRX10" s="2"/>
      <c r="MRY10" s="2"/>
      <c r="MRZ10" s="2"/>
      <c r="MSA10" s="2"/>
      <c r="MSB10" s="2"/>
      <c r="MSC10" s="2"/>
      <c r="MSD10" s="2"/>
      <c r="MSE10" s="2"/>
      <c r="MSF10" s="2"/>
      <c r="MSG10" s="2"/>
      <c r="MSH10" s="2"/>
      <c r="MSI10" s="2"/>
      <c r="MSJ10" s="2"/>
      <c r="MSK10" s="2"/>
      <c r="MSL10" s="2"/>
      <c r="MSM10" s="2"/>
      <c r="MSN10" s="2"/>
      <c r="MSO10" s="2"/>
      <c r="MSP10" s="2"/>
      <c r="MSQ10" s="2"/>
      <c r="MSR10" s="2"/>
      <c r="MSS10" s="2"/>
      <c r="MST10" s="2"/>
      <c r="MSU10" s="2"/>
      <c r="MSV10" s="2"/>
      <c r="MSW10" s="2"/>
      <c r="MSX10" s="2"/>
      <c r="MSY10" s="2"/>
      <c r="MSZ10" s="2"/>
      <c r="MTA10" s="2"/>
      <c r="MTB10" s="2"/>
      <c r="MTC10" s="2"/>
      <c r="MTD10" s="2"/>
      <c r="MTE10" s="2"/>
      <c r="MTF10" s="2"/>
      <c r="MTG10" s="2"/>
      <c r="MTH10" s="2"/>
      <c r="MTI10" s="2"/>
      <c r="MTJ10" s="2"/>
      <c r="MTK10" s="2"/>
      <c r="MTL10" s="2"/>
      <c r="MTM10" s="2"/>
      <c r="MTN10" s="2"/>
      <c r="MTO10" s="2"/>
      <c r="MTP10" s="2"/>
      <c r="MTQ10" s="2"/>
      <c r="MTR10" s="2"/>
      <c r="MTS10" s="2"/>
      <c r="MTT10" s="2"/>
      <c r="MTU10" s="2"/>
      <c r="MTV10" s="2"/>
      <c r="MTW10" s="2"/>
      <c r="MTX10" s="2"/>
      <c r="MTY10" s="2"/>
      <c r="MTZ10" s="2"/>
      <c r="MUA10" s="2"/>
      <c r="MUB10" s="2"/>
      <c r="MUC10" s="2"/>
      <c r="MUD10" s="2"/>
      <c r="MUE10" s="2"/>
      <c r="MUF10" s="2"/>
      <c r="MUG10" s="2"/>
      <c r="MUH10" s="2"/>
      <c r="MUI10" s="2"/>
      <c r="MUJ10" s="2"/>
      <c r="MUK10" s="2"/>
      <c r="MUL10" s="2"/>
      <c r="MUM10" s="2"/>
      <c r="MUN10" s="2"/>
      <c r="MUO10" s="2"/>
      <c r="MUP10" s="2"/>
      <c r="MUQ10" s="2"/>
      <c r="MUR10" s="2"/>
      <c r="MUS10" s="2"/>
      <c r="MUT10" s="2"/>
      <c r="MUU10" s="2"/>
      <c r="MUV10" s="2"/>
      <c r="MUW10" s="2"/>
      <c r="MUX10" s="2"/>
      <c r="MUY10" s="2"/>
      <c r="MUZ10" s="2"/>
      <c r="MVA10" s="2"/>
      <c r="MVB10" s="2"/>
      <c r="MVC10" s="2"/>
      <c r="MVD10" s="2"/>
      <c r="MVE10" s="2"/>
      <c r="MVF10" s="2"/>
      <c r="MVG10" s="2"/>
      <c r="MVH10" s="2"/>
      <c r="MVI10" s="2"/>
      <c r="MVJ10" s="2"/>
      <c r="MVK10" s="2"/>
      <c r="MVL10" s="2"/>
      <c r="MVM10" s="2"/>
      <c r="MVN10" s="2"/>
      <c r="MVO10" s="2"/>
      <c r="MVP10" s="2"/>
      <c r="MVQ10" s="2"/>
      <c r="MVR10" s="2"/>
      <c r="MVS10" s="2"/>
      <c r="MVT10" s="2"/>
      <c r="MVU10" s="2"/>
      <c r="MVV10" s="2"/>
      <c r="MVW10" s="2"/>
      <c r="MVX10" s="2"/>
      <c r="MVY10" s="2"/>
      <c r="MVZ10" s="2"/>
      <c r="MWA10" s="2"/>
      <c r="MWB10" s="2"/>
      <c r="MWC10" s="2"/>
      <c r="MWD10" s="2"/>
      <c r="MWE10" s="2"/>
      <c r="MWF10" s="2"/>
      <c r="MWG10" s="2"/>
      <c r="MWH10" s="2"/>
      <c r="MWI10" s="2"/>
      <c r="MWJ10" s="2"/>
      <c r="MWK10" s="2"/>
      <c r="MWL10" s="2"/>
      <c r="MWM10" s="2"/>
      <c r="MWN10" s="2"/>
      <c r="MWO10" s="2"/>
      <c r="MWP10" s="2"/>
      <c r="MWQ10" s="2"/>
      <c r="MWR10" s="2"/>
      <c r="MWS10" s="2"/>
      <c r="MWT10" s="2"/>
      <c r="MWU10" s="2"/>
      <c r="MWV10" s="2"/>
      <c r="MWW10" s="2"/>
      <c r="MWX10" s="2"/>
      <c r="MWY10" s="2"/>
      <c r="MWZ10" s="2"/>
      <c r="MXA10" s="2"/>
      <c r="MXB10" s="2"/>
      <c r="MXC10" s="2"/>
      <c r="MXD10" s="2"/>
      <c r="MXE10" s="2"/>
      <c r="MXF10" s="2"/>
      <c r="MXG10" s="2"/>
      <c r="MXH10" s="2"/>
      <c r="MXI10" s="2"/>
      <c r="MXJ10" s="2"/>
      <c r="MXK10" s="2"/>
      <c r="MXL10" s="2"/>
      <c r="MXM10" s="2"/>
      <c r="MXN10" s="2"/>
      <c r="MXO10" s="2"/>
      <c r="MXP10" s="2"/>
      <c r="MXQ10" s="2"/>
      <c r="MXR10" s="2"/>
      <c r="MXS10" s="2"/>
      <c r="MXT10" s="2"/>
      <c r="MXU10" s="2"/>
      <c r="MXV10" s="2"/>
      <c r="MXW10" s="2"/>
      <c r="MXX10" s="2"/>
      <c r="MXY10" s="2"/>
      <c r="MXZ10" s="2"/>
      <c r="MYA10" s="2"/>
      <c r="MYB10" s="2"/>
      <c r="MYC10" s="2"/>
      <c r="MYD10" s="2"/>
      <c r="MYE10" s="2"/>
      <c r="MYF10" s="2"/>
      <c r="MYG10" s="2"/>
      <c r="MYH10" s="2"/>
      <c r="MYI10" s="2"/>
      <c r="MYJ10" s="2"/>
      <c r="MYK10" s="2"/>
      <c r="MYL10" s="2"/>
      <c r="MYM10" s="2"/>
      <c r="MYN10" s="2"/>
      <c r="MYO10" s="2"/>
      <c r="MYP10" s="2"/>
      <c r="MYQ10" s="2"/>
      <c r="MYR10" s="2"/>
      <c r="MYS10" s="2"/>
      <c r="MYT10" s="2"/>
      <c r="MYU10" s="2"/>
      <c r="MYV10" s="2"/>
      <c r="MYW10" s="2"/>
      <c r="MYX10" s="2"/>
      <c r="MYY10" s="2"/>
      <c r="MYZ10" s="2"/>
      <c r="MZA10" s="2"/>
      <c r="MZB10" s="2"/>
      <c r="MZC10" s="2"/>
      <c r="MZD10" s="2"/>
      <c r="MZE10" s="2"/>
      <c r="MZF10" s="2"/>
      <c r="MZG10" s="2"/>
      <c r="MZH10" s="2"/>
      <c r="MZI10" s="2"/>
      <c r="MZJ10" s="2"/>
      <c r="MZK10" s="2"/>
      <c r="MZL10" s="2"/>
      <c r="MZM10" s="2"/>
      <c r="MZN10" s="2"/>
      <c r="MZO10" s="2"/>
      <c r="MZP10" s="2"/>
      <c r="MZQ10" s="2"/>
      <c r="MZR10" s="2"/>
      <c r="MZS10" s="2"/>
      <c r="MZT10" s="2"/>
      <c r="MZU10" s="2"/>
      <c r="MZV10" s="2"/>
      <c r="MZW10" s="2"/>
      <c r="MZX10" s="2"/>
      <c r="MZY10" s="2"/>
      <c r="MZZ10" s="2"/>
      <c r="NAA10" s="2"/>
      <c r="NAB10" s="2"/>
      <c r="NAC10" s="2"/>
      <c r="NAD10" s="2"/>
      <c r="NAE10" s="2"/>
      <c r="NAF10" s="2"/>
      <c r="NAG10" s="2"/>
      <c r="NAH10" s="2"/>
      <c r="NAI10" s="2"/>
      <c r="NAJ10" s="2"/>
      <c r="NAK10" s="2"/>
      <c r="NAL10" s="2"/>
      <c r="NAM10" s="2"/>
      <c r="NAN10" s="2"/>
      <c r="NAO10" s="2"/>
      <c r="NAP10" s="2"/>
      <c r="NAQ10" s="2"/>
      <c r="NAR10" s="2"/>
      <c r="NAS10" s="2"/>
      <c r="NAT10" s="2"/>
      <c r="NAU10" s="2"/>
      <c r="NAV10" s="2"/>
      <c r="NAW10" s="2"/>
      <c r="NAX10" s="2"/>
      <c r="NAY10" s="2"/>
      <c r="NAZ10" s="2"/>
      <c r="NBA10" s="2"/>
      <c r="NBB10" s="2"/>
      <c r="NBC10" s="2"/>
      <c r="NBD10" s="2"/>
      <c r="NBE10" s="2"/>
      <c r="NBF10" s="2"/>
      <c r="NBG10" s="2"/>
      <c r="NBH10" s="2"/>
      <c r="NBI10" s="2"/>
      <c r="NBJ10" s="2"/>
      <c r="NBK10" s="2"/>
      <c r="NBL10" s="2"/>
      <c r="NBM10" s="2"/>
      <c r="NBN10" s="2"/>
      <c r="NBO10" s="2"/>
      <c r="NBP10" s="2"/>
      <c r="NBQ10" s="2"/>
      <c r="NBR10" s="2"/>
      <c r="NBS10" s="2"/>
      <c r="NBT10" s="2"/>
      <c r="NBU10" s="2"/>
      <c r="NBV10" s="2"/>
      <c r="NBW10" s="2"/>
      <c r="NBX10" s="2"/>
      <c r="NBY10" s="2"/>
      <c r="NBZ10" s="2"/>
      <c r="NCA10" s="2"/>
      <c r="NCB10" s="2"/>
      <c r="NCC10" s="2"/>
      <c r="NCD10" s="2"/>
      <c r="NCE10" s="2"/>
      <c r="NCF10" s="2"/>
      <c r="NCG10" s="2"/>
      <c r="NCH10" s="2"/>
      <c r="NCI10" s="2"/>
      <c r="NCJ10" s="2"/>
      <c r="NCK10" s="2"/>
      <c r="NCL10" s="2"/>
      <c r="NCM10" s="2"/>
      <c r="NCN10" s="2"/>
      <c r="NCO10" s="2"/>
      <c r="NCP10" s="2"/>
      <c r="NCQ10" s="2"/>
      <c r="NCR10" s="2"/>
      <c r="NCS10" s="2"/>
      <c r="NCT10" s="2"/>
      <c r="NCU10" s="2"/>
      <c r="NCV10" s="2"/>
      <c r="NCW10" s="2"/>
      <c r="NCX10" s="2"/>
      <c r="NCY10" s="2"/>
      <c r="NCZ10" s="2"/>
      <c r="NDA10" s="2"/>
      <c r="NDB10" s="2"/>
      <c r="NDC10" s="2"/>
      <c r="NDD10" s="2"/>
      <c r="NDE10" s="2"/>
      <c r="NDF10" s="2"/>
      <c r="NDG10" s="2"/>
      <c r="NDH10" s="2"/>
      <c r="NDI10" s="2"/>
      <c r="NDJ10" s="2"/>
      <c r="NDK10" s="2"/>
      <c r="NDL10" s="2"/>
      <c r="NDM10" s="2"/>
      <c r="NDN10" s="2"/>
      <c r="NDO10" s="2"/>
      <c r="NDP10" s="2"/>
      <c r="NDQ10" s="2"/>
      <c r="NDR10" s="2"/>
      <c r="NDS10" s="2"/>
      <c r="NDT10" s="2"/>
      <c r="NDU10" s="2"/>
      <c r="NDV10" s="2"/>
      <c r="NDW10" s="2"/>
      <c r="NDX10" s="2"/>
      <c r="NDY10" s="2"/>
      <c r="NDZ10" s="2"/>
      <c r="NEA10" s="2"/>
      <c r="NEB10" s="2"/>
      <c r="NEC10" s="2"/>
      <c r="NED10" s="2"/>
      <c r="NEE10" s="2"/>
      <c r="NEF10" s="2"/>
      <c r="NEG10" s="2"/>
      <c r="NEH10" s="2"/>
      <c r="NEI10" s="2"/>
      <c r="NEJ10" s="2"/>
      <c r="NEK10" s="2"/>
      <c r="NEL10" s="2"/>
      <c r="NEM10" s="2"/>
      <c r="NEN10" s="2"/>
      <c r="NEO10" s="2"/>
      <c r="NEP10" s="2"/>
      <c r="NEQ10" s="2"/>
      <c r="NER10" s="2"/>
      <c r="NES10" s="2"/>
      <c r="NET10" s="2"/>
      <c r="NEU10" s="2"/>
      <c r="NEV10" s="2"/>
      <c r="NEW10" s="2"/>
      <c r="NEX10" s="2"/>
      <c r="NEY10" s="2"/>
      <c r="NEZ10" s="2"/>
      <c r="NFA10" s="2"/>
      <c r="NFB10" s="2"/>
      <c r="NFC10" s="2"/>
      <c r="NFD10" s="2"/>
      <c r="NFE10" s="2"/>
      <c r="NFF10" s="2"/>
      <c r="NFG10" s="2"/>
      <c r="NFH10" s="2"/>
      <c r="NFI10" s="2"/>
      <c r="NFJ10" s="2"/>
      <c r="NFK10" s="2"/>
      <c r="NFL10" s="2"/>
      <c r="NFM10" s="2"/>
      <c r="NFN10" s="2"/>
      <c r="NFO10" s="2"/>
      <c r="NFP10" s="2"/>
      <c r="NFQ10" s="2"/>
      <c r="NFR10" s="2"/>
      <c r="NFS10" s="2"/>
      <c r="NFT10" s="2"/>
      <c r="NFU10" s="2"/>
      <c r="NFV10" s="2"/>
      <c r="NFW10" s="2"/>
      <c r="NFX10" s="2"/>
      <c r="NFY10" s="2"/>
      <c r="NFZ10" s="2"/>
      <c r="NGA10" s="2"/>
      <c r="NGB10" s="2"/>
      <c r="NGC10" s="2"/>
      <c r="NGD10" s="2"/>
      <c r="NGE10" s="2"/>
      <c r="NGF10" s="2"/>
      <c r="NGG10" s="2"/>
      <c r="NGH10" s="2"/>
      <c r="NGI10" s="2"/>
      <c r="NGJ10" s="2"/>
      <c r="NGK10" s="2"/>
      <c r="NGL10" s="2"/>
      <c r="NGM10" s="2"/>
      <c r="NGN10" s="2"/>
      <c r="NGO10" s="2"/>
      <c r="NGP10" s="2"/>
      <c r="NGQ10" s="2"/>
      <c r="NGR10" s="2"/>
      <c r="NGS10" s="2"/>
      <c r="NGT10" s="2"/>
      <c r="NGU10" s="2"/>
      <c r="NGV10" s="2"/>
      <c r="NGW10" s="2"/>
      <c r="NGX10" s="2"/>
      <c r="NGY10" s="2"/>
      <c r="NGZ10" s="2"/>
      <c r="NHA10" s="2"/>
      <c r="NHB10" s="2"/>
      <c r="NHC10" s="2"/>
      <c r="NHD10" s="2"/>
      <c r="NHE10" s="2"/>
      <c r="NHF10" s="2"/>
      <c r="NHG10" s="2"/>
      <c r="NHH10" s="2"/>
      <c r="NHI10" s="2"/>
      <c r="NHJ10" s="2"/>
      <c r="NHK10" s="2"/>
      <c r="NHL10" s="2"/>
      <c r="NHM10" s="2"/>
      <c r="NHN10" s="2"/>
      <c r="NHO10" s="2"/>
      <c r="NHP10" s="2"/>
      <c r="NHQ10" s="2"/>
      <c r="NHR10" s="2"/>
      <c r="NHS10" s="2"/>
      <c r="NHT10" s="2"/>
      <c r="NHU10" s="2"/>
      <c r="NHV10" s="2"/>
      <c r="NHW10" s="2"/>
      <c r="NHX10" s="2"/>
      <c r="NHY10" s="2"/>
      <c r="NHZ10" s="2"/>
      <c r="NIA10" s="2"/>
      <c r="NIB10" s="2"/>
      <c r="NIC10" s="2"/>
      <c r="NID10" s="2"/>
      <c r="NIE10" s="2"/>
      <c r="NIF10" s="2"/>
      <c r="NIG10" s="2"/>
      <c r="NIH10" s="2"/>
      <c r="NII10" s="2"/>
      <c r="NIJ10" s="2"/>
      <c r="NIK10" s="2"/>
      <c r="NIL10" s="2"/>
      <c r="NIM10" s="2"/>
      <c r="NIN10" s="2"/>
      <c r="NIO10" s="2"/>
      <c r="NIP10" s="2"/>
      <c r="NIQ10" s="2"/>
      <c r="NIR10" s="2"/>
      <c r="NIS10" s="2"/>
      <c r="NIT10" s="2"/>
      <c r="NIU10" s="2"/>
      <c r="NIV10" s="2"/>
      <c r="NIW10" s="2"/>
      <c r="NIX10" s="2"/>
      <c r="NIY10" s="2"/>
      <c r="NIZ10" s="2"/>
      <c r="NJA10" s="2"/>
      <c r="NJB10" s="2"/>
      <c r="NJC10" s="2"/>
      <c r="NJD10" s="2"/>
      <c r="NJE10" s="2"/>
      <c r="NJF10" s="2"/>
      <c r="NJG10" s="2"/>
      <c r="NJH10" s="2"/>
      <c r="NJI10" s="2"/>
      <c r="NJJ10" s="2"/>
      <c r="NJK10" s="2"/>
      <c r="NJL10" s="2"/>
      <c r="NJM10" s="2"/>
      <c r="NJN10" s="2"/>
      <c r="NJO10" s="2"/>
      <c r="NJP10" s="2"/>
      <c r="NJQ10" s="2"/>
      <c r="NJR10" s="2"/>
      <c r="NJS10" s="2"/>
      <c r="NJT10" s="2"/>
      <c r="NJU10" s="2"/>
      <c r="NJV10" s="2"/>
      <c r="NJW10" s="2"/>
      <c r="NJX10" s="2"/>
      <c r="NJY10" s="2"/>
      <c r="NJZ10" s="2"/>
      <c r="NKA10" s="2"/>
      <c r="NKB10" s="2"/>
      <c r="NKC10" s="2"/>
      <c r="NKD10" s="2"/>
      <c r="NKE10" s="2"/>
      <c r="NKF10" s="2"/>
      <c r="NKG10" s="2"/>
      <c r="NKH10" s="2"/>
      <c r="NKI10" s="2"/>
      <c r="NKJ10" s="2"/>
      <c r="NKK10" s="2"/>
      <c r="NKL10" s="2"/>
      <c r="NKM10" s="2"/>
      <c r="NKN10" s="2"/>
      <c r="NKO10" s="2"/>
      <c r="NKP10" s="2"/>
      <c r="NKQ10" s="2"/>
      <c r="NKR10" s="2"/>
      <c r="NKS10" s="2"/>
      <c r="NKT10" s="2"/>
      <c r="NKU10" s="2"/>
      <c r="NKV10" s="2"/>
      <c r="NKW10" s="2"/>
      <c r="NKX10" s="2"/>
      <c r="NKY10" s="2"/>
      <c r="NKZ10" s="2"/>
      <c r="NLA10" s="2"/>
      <c r="NLB10" s="2"/>
      <c r="NLC10" s="2"/>
      <c r="NLD10" s="2"/>
      <c r="NLE10" s="2"/>
      <c r="NLF10" s="2"/>
      <c r="NLG10" s="2"/>
      <c r="NLH10" s="2"/>
      <c r="NLI10" s="2"/>
      <c r="NLJ10" s="2"/>
      <c r="NLK10" s="2"/>
      <c r="NLL10" s="2"/>
      <c r="NLM10" s="2"/>
      <c r="NLN10" s="2"/>
      <c r="NLO10" s="2"/>
      <c r="NLP10" s="2"/>
      <c r="NLQ10" s="2"/>
      <c r="NLR10" s="2"/>
      <c r="NLS10" s="2"/>
      <c r="NLT10" s="2"/>
      <c r="NLU10" s="2"/>
      <c r="NLV10" s="2"/>
      <c r="NLW10" s="2"/>
      <c r="NLX10" s="2"/>
      <c r="NLY10" s="2"/>
      <c r="NLZ10" s="2"/>
      <c r="NMA10" s="2"/>
      <c r="NMB10" s="2"/>
      <c r="NMC10" s="2"/>
      <c r="NMD10" s="2"/>
      <c r="NME10" s="2"/>
      <c r="NMF10" s="2"/>
      <c r="NMG10" s="2"/>
      <c r="NMH10" s="2"/>
      <c r="NMI10" s="2"/>
      <c r="NMJ10" s="2"/>
      <c r="NMK10" s="2"/>
      <c r="NML10" s="2"/>
      <c r="NMM10" s="2"/>
      <c r="NMN10" s="2"/>
      <c r="NMO10" s="2"/>
      <c r="NMP10" s="2"/>
      <c r="NMQ10" s="2"/>
      <c r="NMR10" s="2"/>
      <c r="NMS10" s="2"/>
      <c r="NMT10" s="2"/>
      <c r="NMU10" s="2"/>
      <c r="NMV10" s="2"/>
      <c r="NMW10" s="2"/>
      <c r="NMX10" s="2"/>
      <c r="NMY10" s="2"/>
      <c r="NMZ10" s="2"/>
      <c r="NNA10" s="2"/>
      <c r="NNB10" s="2"/>
      <c r="NNC10" s="2"/>
      <c r="NND10" s="2"/>
      <c r="NNE10" s="2"/>
      <c r="NNF10" s="2"/>
      <c r="NNG10" s="2"/>
      <c r="NNH10" s="2"/>
      <c r="NNI10" s="2"/>
      <c r="NNJ10" s="2"/>
      <c r="NNK10" s="2"/>
      <c r="NNL10" s="2"/>
      <c r="NNM10" s="2"/>
      <c r="NNN10" s="2"/>
      <c r="NNO10" s="2"/>
      <c r="NNP10" s="2"/>
      <c r="NNQ10" s="2"/>
      <c r="NNR10" s="2"/>
      <c r="NNS10" s="2"/>
      <c r="NNT10" s="2"/>
      <c r="NNU10" s="2"/>
      <c r="NNV10" s="2"/>
      <c r="NNW10" s="2"/>
      <c r="NNX10" s="2"/>
      <c r="NNY10" s="2"/>
      <c r="NNZ10" s="2"/>
      <c r="NOA10" s="2"/>
      <c r="NOB10" s="2"/>
      <c r="NOC10" s="2"/>
      <c r="NOD10" s="2"/>
      <c r="NOE10" s="2"/>
      <c r="NOF10" s="2"/>
      <c r="NOG10" s="2"/>
      <c r="NOH10" s="2"/>
      <c r="NOI10" s="2"/>
      <c r="NOJ10" s="2"/>
      <c r="NOK10" s="2"/>
      <c r="NOL10" s="2"/>
      <c r="NOM10" s="2"/>
      <c r="NON10" s="2"/>
      <c r="NOO10" s="2"/>
      <c r="NOP10" s="2"/>
      <c r="NOQ10" s="2"/>
      <c r="NOR10" s="2"/>
      <c r="NOS10" s="2"/>
      <c r="NOT10" s="2"/>
      <c r="NOU10" s="2"/>
      <c r="NOV10" s="2"/>
      <c r="NOW10" s="2"/>
      <c r="NOX10" s="2"/>
      <c r="NOY10" s="2"/>
      <c r="NOZ10" s="2"/>
      <c r="NPA10" s="2"/>
      <c r="NPB10" s="2"/>
      <c r="NPC10" s="2"/>
      <c r="NPD10" s="2"/>
      <c r="NPE10" s="2"/>
      <c r="NPF10" s="2"/>
      <c r="NPG10" s="2"/>
      <c r="NPH10" s="2"/>
      <c r="NPI10" s="2"/>
      <c r="NPJ10" s="2"/>
      <c r="NPK10" s="2"/>
      <c r="NPL10" s="2"/>
      <c r="NPM10" s="2"/>
      <c r="NPN10" s="2"/>
      <c r="NPO10" s="2"/>
      <c r="NPP10" s="2"/>
      <c r="NPQ10" s="2"/>
      <c r="NPR10" s="2"/>
      <c r="NPS10" s="2"/>
      <c r="NPT10" s="2"/>
      <c r="NPU10" s="2"/>
      <c r="NPV10" s="2"/>
      <c r="NPW10" s="2"/>
      <c r="NPX10" s="2"/>
      <c r="NPY10" s="2"/>
      <c r="NPZ10" s="2"/>
      <c r="NQA10" s="2"/>
      <c r="NQB10" s="2"/>
      <c r="NQC10" s="2"/>
      <c r="NQD10" s="2"/>
      <c r="NQE10" s="2"/>
      <c r="NQF10" s="2"/>
      <c r="NQG10" s="2"/>
      <c r="NQH10" s="2"/>
      <c r="NQI10" s="2"/>
      <c r="NQJ10" s="2"/>
      <c r="NQK10" s="2"/>
      <c r="NQL10" s="2"/>
      <c r="NQM10" s="2"/>
      <c r="NQN10" s="2"/>
      <c r="NQO10" s="2"/>
      <c r="NQP10" s="2"/>
      <c r="NQQ10" s="2"/>
      <c r="NQR10" s="2"/>
      <c r="NQS10" s="2"/>
      <c r="NQT10" s="2"/>
      <c r="NQU10" s="2"/>
      <c r="NQV10" s="2"/>
      <c r="NQW10" s="2"/>
      <c r="NQX10" s="2"/>
      <c r="NQY10" s="2"/>
      <c r="NQZ10" s="2"/>
      <c r="NRA10" s="2"/>
      <c r="NRB10" s="2"/>
      <c r="NRC10" s="2"/>
      <c r="NRD10" s="2"/>
      <c r="NRE10" s="2"/>
      <c r="NRF10" s="2"/>
      <c r="NRG10" s="2"/>
      <c r="NRH10" s="2"/>
      <c r="NRI10" s="2"/>
      <c r="NRJ10" s="2"/>
      <c r="NRK10" s="2"/>
      <c r="NRL10" s="2"/>
      <c r="NRM10" s="2"/>
      <c r="NRN10" s="2"/>
      <c r="NRO10" s="2"/>
      <c r="NRP10" s="2"/>
      <c r="NRQ10" s="2"/>
      <c r="NRR10" s="2"/>
      <c r="NRS10" s="2"/>
      <c r="NRT10" s="2"/>
      <c r="NRU10" s="2"/>
      <c r="NRV10" s="2"/>
      <c r="NRW10" s="2"/>
      <c r="NRX10" s="2"/>
      <c r="NRY10" s="2"/>
      <c r="NRZ10" s="2"/>
      <c r="NSA10" s="2"/>
      <c r="NSB10" s="2"/>
      <c r="NSC10" s="2"/>
      <c r="NSD10" s="2"/>
      <c r="NSE10" s="2"/>
      <c r="NSF10" s="2"/>
      <c r="NSG10" s="2"/>
      <c r="NSH10" s="2"/>
      <c r="NSI10" s="2"/>
      <c r="NSJ10" s="2"/>
      <c r="NSK10" s="2"/>
      <c r="NSL10" s="2"/>
      <c r="NSM10" s="2"/>
      <c r="NSN10" s="2"/>
      <c r="NSO10" s="2"/>
      <c r="NSP10" s="2"/>
      <c r="NSQ10" s="2"/>
      <c r="NSR10" s="2"/>
      <c r="NSS10" s="2"/>
      <c r="NST10" s="2"/>
      <c r="NSU10" s="2"/>
      <c r="NSV10" s="2"/>
      <c r="NSW10" s="2"/>
      <c r="NSX10" s="2"/>
      <c r="NSY10" s="2"/>
      <c r="NSZ10" s="2"/>
      <c r="NTA10" s="2"/>
      <c r="NTB10" s="2"/>
      <c r="NTC10" s="2"/>
      <c r="NTD10" s="2"/>
      <c r="NTE10" s="2"/>
      <c r="NTF10" s="2"/>
      <c r="NTG10" s="2"/>
      <c r="NTH10" s="2"/>
      <c r="NTI10" s="2"/>
      <c r="NTJ10" s="2"/>
      <c r="NTK10" s="2"/>
      <c r="NTL10" s="2"/>
      <c r="NTM10" s="2"/>
      <c r="NTN10" s="2"/>
      <c r="NTO10" s="2"/>
      <c r="NTP10" s="2"/>
      <c r="NTQ10" s="2"/>
      <c r="NTR10" s="2"/>
      <c r="NTS10" s="2"/>
      <c r="NTT10" s="2"/>
      <c r="NTU10" s="2"/>
      <c r="NTV10" s="2"/>
      <c r="NTW10" s="2"/>
      <c r="NTX10" s="2"/>
      <c r="NTY10" s="2"/>
      <c r="NTZ10" s="2"/>
      <c r="NUA10" s="2"/>
      <c r="NUB10" s="2"/>
      <c r="NUC10" s="2"/>
      <c r="NUD10" s="2"/>
      <c r="NUE10" s="2"/>
      <c r="NUF10" s="2"/>
      <c r="NUG10" s="2"/>
      <c r="NUH10" s="2"/>
      <c r="NUI10" s="2"/>
      <c r="NUJ10" s="2"/>
      <c r="NUK10" s="2"/>
      <c r="NUL10" s="2"/>
      <c r="NUM10" s="2"/>
      <c r="NUN10" s="2"/>
      <c r="NUO10" s="2"/>
      <c r="NUP10" s="2"/>
      <c r="NUQ10" s="2"/>
      <c r="NUR10" s="2"/>
      <c r="NUS10" s="2"/>
      <c r="NUT10" s="2"/>
      <c r="NUU10" s="2"/>
      <c r="NUV10" s="2"/>
      <c r="NUW10" s="2"/>
      <c r="NUX10" s="2"/>
      <c r="NUY10" s="2"/>
      <c r="NUZ10" s="2"/>
      <c r="NVA10" s="2"/>
      <c r="NVB10" s="2"/>
      <c r="NVC10" s="2"/>
      <c r="NVD10" s="2"/>
      <c r="NVE10" s="2"/>
      <c r="NVF10" s="2"/>
      <c r="NVG10" s="2"/>
      <c r="NVH10" s="2"/>
      <c r="NVI10" s="2"/>
      <c r="NVJ10" s="2"/>
      <c r="NVK10" s="2"/>
      <c r="NVL10" s="2"/>
      <c r="NVM10" s="2"/>
      <c r="NVN10" s="2"/>
      <c r="NVO10" s="2"/>
      <c r="NVP10" s="2"/>
      <c r="NVQ10" s="2"/>
      <c r="NVR10" s="2"/>
      <c r="NVS10" s="2"/>
      <c r="NVT10" s="2"/>
      <c r="NVU10" s="2"/>
      <c r="NVV10" s="2"/>
      <c r="NVW10" s="2"/>
      <c r="NVX10" s="2"/>
      <c r="NVY10" s="2"/>
      <c r="NVZ10" s="2"/>
      <c r="NWA10" s="2"/>
      <c r="NWB10" s="2"/>
      <c r="NWC10" s="2"/>
      <c r="NWD10" s="2"/>
      <c r="NWE10" s="2"/>
      <c r="NWF10" s="2"/>
      <c r="NWG10" s="2"/>
      <c r="NWH10" s="2"/>
      <c r="NWI10" s="2"/>
      <c r="NWJ10" s="2"/>
      <c r="NWK10" s="2"/>
      <c r="NWL10" s="2"/>
      <c r="NWM10" s="2"/>
      <c r="NWN10" s="2"/>
      <c r="NWO10" s="2"/>
      <c r="NWP10" s="2"/>
      <c r="NWQ10" s="2"/>
      <c r="NWR10" s="2"/>
      <c r="NWS10" s="2"/>
      <c r="NWT10" s="2"/>
      <c r="NWU10" s="2"/>
      <c r="NWV10" s="2"/>
      <c r="NWW10" s="2"/>
      <c r="NWX10" s="2"/>
      <c r="NWY10" s="2"/>
      <c r="NWZ10" s="2"/>
      <c r="NXA10" s="2"/>
      <c r="NXB10" s="2"/>
      <c r="NXC10" s="2"/>
      <c r="NXD10" s="2"/>
      <c r="NXE10" s="2"/>
      <c r="NXF10" s="2"/>
      <c r="NXG10" s="2"/>
      <c r="NXH10" s="2"/>
      <c r="NXI10" s="2"/>
      <c r="NXJ10" s="2"/>
      <c r="NXK10" s="2"/>
      <c r="NXL10" s="2"/>
      <c r="NXM10" s="2"/>
      <c r="NXN10" s="2"/>
      <c r="NXO10" s="2"/>
      <c r="NXP10" s="2"/>
      <c r="NXQ10" s="2"/>
      <c r="NXR10" s="2"/>
      <c r="NXS10" s="2"/>
      <c r="NXT10" s="2"/>
      <c r="NXU10" s="2"/>
      <c r="NXV10" s="2"/>
      <c r="NXW10" s="2"/>
      <c r="NXX10" s="2"/>
      <c r="NXY10" s="2"/>
      <c r="NXZ10" s="2"/>
      <c r="NYA10" s="2"/>
      <c r="NYB10" s="2"/>
      <c r="NYC10" s="2"/>
      <c r="NYD10" s="2"/>
      <c r="NYE10" s="2"/>
      <c r="NYF10" s="2"/>
      <c r="NYG10" s="2"/>
      <c r="NYH10" s="2"/>
      <c r="NYI10" s="2"/>
      <c r="NYJ10" s="2"/>
      <c r="NYK10" s="2"/>
      <c r="NYL10" s="2"/>
      <c r="NYM10" s="2"/>
      <c r="NYN10" s="2"/>
      <c r="NYO10" s="2"/>
      <c r="NYP10" s="2"/>
      <c r="NYQ10" s="2"/>
      <c r="NYR10" s="2"/>
      <c r="NYS10" s="2"/>
      <c r="NYT10" s="2"/>
      <c r="NYU10" s="2"/>
      <c r="NYV10" s="2"/>
      <c r="NYW10" s="2"/>
      <c r="NYX10" s="2"/>
      <c r="NYY10" s="2"/>
      <c r="NYZ10" s="2"/>
      <c r="NZA10" s="2"/>
      <c r="NZB10" s="2"/>
      <c r="NZC10" s="2"/>
      <c r="NZD10" s="2"/>
      <c r="NZE10" s="2"/>
      <c r="NZF10" s="2"/>
      <c r="NZG10" s="2"/>
      <c r="NZH10" s="2"/>
      <c r="NZI10" s="2"/>
      <c r="NZJ10" s="2"/>
      <c r="NZK10" s="2"/>
      <c r="NZL10" s="2"/>
      <c r="NZM10" s="2"/>
      <c r="NZN10" s="2"/>
      <c r="NZO10" s="2"/>
      <c r="NZP10" s="2"/>
      <c r="NZQ10" s="2"/>
      <c r="NZR10" s="2"/>
      <c r="NZS10" s="2"/>
      <c r="NZT10" s="2"/>
      <c r="NZU10" s="2"/>
      <c r="NZV10" s="2"/>
      <c r="NZW10" s="2"/>
      <c r="NZX10" s="2"/>
      <c r="NZY10" s="2"/>
      <c r="NZZ10" s="2"/>
      <c r="OAA10" s="2"/>
      <c r="OAB10" s="2"/>
      <c r="OAC10" s="2"/>
      <c r="OAD10" s="2"/>
      <c r="OAE10" s="2"/>
      <c r="OAF10" s="2"/>
      <c r="OAG10" s="2"/>
      <c r="OAH10" s="2"/>
      <c r="OAI10" s="2"/>
      <c r="OAJ10" s="2"/>
      <c r="OAK10" s="2"/>
      <c r="OAL10" s="2"/>
      <c r="OAM10" s="2"/>
      <c r="OAN10" s="2"/>
      <c r="OAO10" s="2"/>
      <c r="OAP10" s="2"/>
      <c r="OAQ10" s="2"/>
      <c r="OAR10" s="2"/>
      <c r="OAS10" s="2"/>
      <c r="OAT10" s="2"/>
      <c r="OAU10" s="2"/>
      <c r="OAV10" s="2"/>
      <c r="OAW10" s="2"/>
      <c r="OAX10" s="2"/>
      <c r="OAY10" s="2"/>
      <c r="OAZ10" s="2"/>
      <c r="OBA10" s="2"/>
      <c r="OBB10" s="2"/>
      <c r="OBC10" s="2"/>
      <c r="OBD10" s="2"/>
      <c r="OBE10" s="2"/>
      <c r="OBF10" s="2"/>
      <c r="OBG10" s="2"/>
      <c r="OBH10" s="2"/>
      <c r="OBI10" s="2"/>
      <c r="OBJ10" s="2"/>
      <c r="OBK10" s="2"/>
      <c r="OBL10" s="2"/>
      <c r="OBM10" s="2"/>
      <c r="OBN10" s="2"/>
      <c r="OBO10" s="2"/>
      <c r="OBP10" s="2"/>
      <c r="OBQ10" s="2"/>
      <c r="OBR10" s="2"/>
      <c r="OBS10" s="2"/>
      <c r="OBT10" s="2"/>
      <c r="OBU10" s="2"/>
      <c r="OBV10" s="2"/>
      <c r="OBW10" s="2"/>
      <c r="OBX10" s="2"/>
      <c r="OBY10" s="2"/>
      <c r="OBZ10" s="2"/>
      <c r="OCA10" s="2"/>
      <c r="OCB10" s="2"/>
      <c r="OCC10" s="2"/>
      <c r="OCD10" s="2"/>
      <c r="OCE10" s="2"/>
      <c r="OCF10" s="2"/>
      <c r="OCG10" s="2"/>
      <c r="OCH10" s="2"/>
      <c r="OCI10" s="2"/>
      <c r="OCJ10" s="2"/>
      <c r="OCK10" s="2"/>
      <c r="OCL10" s="2"/>
      <c r="OCM10" s="2"/>
      <c r="OCN10" s="2"/>
      <c r="OCO10" s="2"/>
      <c r="OCP10" s="2"/>
      <c r="OCQ10" s="2"/>
      <c r="OCR10" s="2"/>
      <c r="OCS10" s="2"/>
      <c r="OCT10" s="2"/>
      <c r="OCU10" s="2"/>
      <c r="OCV10" s="2"/>
      <c r="OCW10" s="2"/>
      <c r="OCX10" s="2"/>
      <c r="OCY10" s="2"/>
      <c r="OCZ10" s="2"/>
      <c r="ODA10" s="2"/>
      <c r="ODB10" s="2"/>
      <c r="ODC10" s="2"/>
      <c r="ODD10" s="2"/>
      <c r="ODE10" s="2"/>
      <c r="ODF10" s="2"/>
      <c r="ODG10" s="2"/>
      <c r="ODH10" s="2"/>
      <c r="ODI10" s="2"/>
      <c r="ODJ10" s="2"/>
      <c r="ODK10" s="2"/>
      <c r="ODL10" s="2"/>
      <c r="ODM10" s="2"/>
      <c r="ODN10" s="2"/>
      <c r="ODO10" s="2"/>
      <c r="ODP10" s="2"/>
      <c r="ODQ10" s="2"/>
      <c r="ODR10" s="2"/>
      <c r="ODS10" s="2"/>
      <c r="ODT10" s="2"/>
      <c r="ODU10" s="2"/>
      <c r="ODV10" s="2"/>
      <c r="ODW10" s="2"/>
      <c r="ODX10" s="2"/>
      <c r="ODY10" s="2"/>
      <c r="ODZ10" s="2"/>
      <c r="OEA10" s="2"/>
      <c r="OEB10" s="2"/>
      <c r="OEC10" s="2"/>
      <c r="OED10" s="2"/>
      <c r="OEE10" s="2"/>
      <c r="OEF10" s="2"/>
      <c r="OEG10" s="2"/>
      <c r="OEH10" s="2"/>
      <c r="OEI10" s="2"/>
      <c r="OEJ10" s="2"/>
      <c r="OEK10" s="2"/>
      <c r="OEL10" s="2"/>
      <c r="OEM10" s="2"/>
      <c r="OEN10" s="2"/>
      <c r="OEO10" s="2"/>
      <c r="OEP10" s="2"/>
      <c r="OEQ10" s="2"/>
      <c r="OER10" s="2"/>
      <c r="OES10" s="2"/>
      <c r="OET10" s="2"/>
      <c r="OEU10" s="2"/>
      <c r="OEV10" s="2"/>
      <c r="OEW10" s="2"/>
      <c r="OEX10" s="2"/>
      <c r="OEY10" s="2"/>
      <c r="OEZ10" s="2"/>
      <c r="OFA10" s="2"/>
      <c r="OFB10" s="2"/>
      <c r="OFC10" s="2"/>
      <c r="OFD10" s="2"/>
      <c r="OFE10" s="2"/>
      <c r="OFF10" s="2"/>
      <c r="OFG10" s="2"/>
      <c r="OFH10" s="2"/>
      <c r="OFI10" s="2"/>
      <c r="OFJ10" s="2"/>
      <c r="OFK10" s="2"/>
      <c r="OFL10" s="2"/>
      <c r="OFM10" s="2"/>
      <c r="OFN10" s="2"/>
      <c r="OFO10" s="2"/>
      <c r="OFP10" s="2"/>
      <c r="OFQ10" s="2"/>
      <c r="OFR10" s="2"/>
      <c r="OFS10" s="2"/>
      <c r="OFT10" s="2"/>
      <c r="OFU10" s="2"/>
      <c r="OFV10" s="2"/>
      <c r="OFW10" s="2"/>
      <c r="OFX10" s="2"/>
      <c r="OFY10" s="2"/>
      <c r="OFZ10" s="2"/>
      <c r="OGA10" s="2"/>
      <c r="OGB10" s="2"/>
      <c r="OGC10" s="2"/>
      <c r="OGD10" s="2"/>
      <c r="OGE10" s="2"/>
      <c r="OGF10" s="2"/>
      <c r="OGG10" s="2"/>
      <c r="OGH10" s="2"/>
      <c r="OGI10" s="2"/>
      <c r="OGJ10" s="2"/>
      <c r="OGK10" s="2"/>
      <c r="OGL10" s="2"/>
      <c r="OGM10" s="2"/>
      <c r="OGN10" s="2"/>
      <c r="OGO10" s="2"/>
      <c r="OGP10" s="2"/>
      <c r="OGQ10" s="2"/>
      <c r="OGR10" s="2"/>
      <c r="OGS10" s="2"/>
      <c r="OGT10" s="2"/>
      <c r="OGU10" s="2"/>
      <c r="OGV10" s="2"/>
      <c r="OGW10" s="2"/>
      <c r="OGX10" s="2"/>
      <c r="OGY10" s="2"/>
      <c r="OGZ10" s="2"/>
      <c r="OHA10" s="2"/>
      <c r="OHB10" s="2"/>
      <c r="OHC10" s="2"/>
      <c r="OHD10" s="2"/>
      <c r="OHE10" s="2"/>
      <c r="OHF10" s="2"/>
      <c r="OHG10" s="2"/>
      <c r="OHH10" s="2"/>
      <c r="OHI10" s="2"/>
      <c r="OHJ10" s="2"/>
      <c r="OHK10" s="2"/>
      <c r="OHL10" s="2"/>
      <c r="OHM10" s="2"/>
      <c r="OHN10" s="2"/>
      <c r="OHO10" s="2"/>
      <c r="OHP10" s="2"/>
      <c r="OHQ10" s="2"/>
      <c r="OHR10" s="2"/>
      <c r="OHS10" s="2"/>
      <c r="OHT10" s="2"/>
      <c r="OHU10" s="2"/>
      <c r="OHV10" s="2"/>
      <c r="OHW10" s="2"/>
      <c r="OHX10" s="2"/>
      <c r="OHY10" s="2"/>
      <c r="OHZ10" s="2"/>
      <c r="OIA10" s="2"/>
      <c r="OIB10" s="2"/>
      <c r="OIC10" s="2"/>
      <c r="OID10" s="2"/>
      <c r="OIE10" s="2"/>
      <c r="OIF10" s="2"/>
      <c r="OIG10" s="2"/>
      <c r="OIH10" s="2"/>
      <c r="OII10" s="2"/>
      <c r="OIJ10" s="2"/>
      <c r="OIK10" s="2"/>
      <c r="OIL10" s="2"/>
      <c r="OIM10" s="2"/>
      <c r="OIN10" s="2"/>
      <c r="OIO10" s="2"/>
      <c r="OIP10" s="2"/>
      <c r="OIQ10" s="2"/>
      <c r="OIR10" s="2"/>
      <c r="OIS10" s="2"/>
      <c r="OIT10" s="2"/>
      <c r="OIU10" s="2"/>
      <c r="OIV10" s="2"/>
      <c r="OIW10" s="2"/>
      <c r="OIX10" s="2"/>
      <c r="OIY10" s="2"/>
      <c r="OIZ10" s="2"/>
      <c r="OJA10" s="2"/>
      <c r="OJB10" s="2"/>
      <c r="OJC10" s="2"/>
      <c r="OJD10" s="2"/>
      <c r="OJE10" s="2"/>
      <c r="OJF10" s="2"/>
      <c r="OJG10" s="2"/>
      <c r="OJH10" s="2"/>
      <c r="OJI10" s="2"/>
      <c r="OJJ10" s="2"/>
      <c r="OJK10" s="2"/>
      <c r="OJL10" s="2"/>
      <c r="OJM10" s="2"/>
      <c r="OJN10" s="2"/>
      <c r="OJO10" s="2"/>
      <c r="OJP10" s="2"/>
      <c r="OJQ10" s="2"/>
      <c r="OJR10" s="2"/>
      <c r="OJS10" s="2"/>
      <c r="OJT10" s="2"/>
      <c r="OJU10" s="2"/>
      <c r="OJV10" s="2"/>
      <c r="OJW10" s="2"/>
      <c r="OJX10" s="2"/>
      <c r="OJY10" s="2"/>
      <c r="OJZ10" s="2"/>
      <c r="OKA10" s="2"/>
      <c r="OKB10" s="2"/>
      <c r="OKC10" s="2"/>
      <c r="OKD10" s="2"/>
      <c r="OKE10" s="2"/>
      <c r="OKF10" s="2"/>
      <c r="OKG10" s="2"/>
      <c r="OKH10" s="2"/>
      <c r="OKI10" s="2"/>
      <c r="OKJ10" s="2"/>
      <c r="OKK10" s="2"/>
      <c r="OKL10" s="2"/>
      <c r="OKM10" s="2"/>
      <c r="OKN10" s="2"/>
      <c r="OKO10" s="2"/>
      <c r="OKP10" s="2"/>
      <c r="OKQ10" s="2"/>
      <c r="OKR10" s="2"/>
      <c r="OKS10" s="2"/>
      <c r="OKT10" s="2"/>
      <c r="OKU10" s="2"/>
      <c r="OKV10" s="2"/>
      <c r="OKW10" s="2"/>
      <c r="OKX10" s="2"/>
      <c r="OKY10" s="2"/>
      <c r="OKZ10" s="2"/>
      <c r="OLA10" s="2"/>
      <c r="OLB10" s="2"/>
      <c r="OLC10" s="2"/>
      <c r="OLD10" s="2"/>
      <c r="OLE10" s="2"/>
      <c r="OLF10" s="2"/>
      <c r="OLG10" s="2"/>
      <c r="OLH10" s="2"/>
      <c r="OLI10" s="2"/>
      <c r="OLJ10" s="2"/>
      <c r="OLK10" s="2"/>
      <c r="OLL10" s="2"/>
      <c r="OLM10" s="2"/>
      <c r="OLN10" s="2"/>
      <c r="OLO10" s="2"/>
      <c r="OLP10" s="2"/>
      <c r="OLQ10" s="2"/>
      <c r="OLR10" s="2"/>
      <c r="OLS10" s="2"/>
      <c r="OLT10" s="2"/>
      <c r="OLU10" s="2"/>
      <c r="OLV10" s="2"/>
      <c r="OLW10" s="2"/>
      <c r="OLX10" s="2"/>
      <c r="OLY10" s="2"/>
      <c r="OLZ10" s="2"/>
      <c r="OMA10" s="2"/>
      <c r="OMB10" s="2"/>
      <c r="OMC10" s="2"/>
      <c r="OMD10" s="2"/>
      <c r="OME10" s="2"/>
      <c r="OMF10" s="2"/>
      <c r="OMG10" s="2"/>
      <c r="OMH10" s="2"/>
      <c r="OMI10" s="2"/>
      <c r="OMJ10" s="2"/>
      <c r="OMK10" s="2"/>
      <c r="OML10" s="2"/>
      <c r="OMM10" s="2"/>
      <c r="OMN10" s="2"/>
      <c r="OMO10" s="2"/>
      <c r="OMP10" s="2"/>
      <c r="OMQ10" s="2"/>
      <c r="OMR10" s="2"/>
      <c r="OMS10" s="2"/>
      <c r="OMT10" s="2"/>
      <c r="OMU10" s="2"/>
      <c r="OMV10" s="2"/>
      <c r="OMW10" s="2"/>
      <c r="OMX10" s="2"/>
      <c r="OMY10" s="2"/>
      <c r="OMZ10" s="2"/>
      <c r="ONA10" s="2"/>
      <c r="ONB10" s="2"/>
      <c r="ONC10" s="2"/>
      <c r="OND10" s="2"/>
      <c r="ONE10" s="2"/>
      <c r="ONF10" s="2"/>
      <c r="ONG10" s="2"/>
      <c r="ONH10" s="2"/>
      <c r="ONI10" s="2"/>
      <c r="ONJ10" s="2"/>
      <c r="ONK10" s="2"/>
      <c r="ONL10" s="2"/>
      <c r="ONM10" s="2"/>
      <c r="ONN10" s="2"/>
      <c r="ONO10" s="2"/>
      <c r="ONP10" s="2"/>
      <c r="ONQ10" s="2"/>
      <c r="ONR10" s="2"/>
      <c r="ONS10" s="2"/>
      <c r="ONT10" s="2"/>
      <c r="ONU10" s="2"/>
      <c r="ONV10" s="2"/>
      <c r="ONW10" s="2"/>
      <c r="ONX10" s="2"/>
      <c r="ONY10" s="2"/>
      <c r="ONZ10" s="2"/>
      <c r="OOA10" s="2"/>
      <c r="OOB10" s="2"/>
      <c r="OOC10" s="2"/>
      <c r="OOD10" s="2"/>
      <c r="OOE10" s="2"/>
      <c r="OOF10" s="2"/>
      <c r="OOG10" s="2"/>
      <c r="OOH10" s="2"/>
      <c r="OOI10" s="2"/>
      <c r="OOJ10" s="2"/>
      <c r="OOK10" s="2"/>
      <c r="OOL10" s="2"/>
      <c r="OOM10" s="2"/>
      <c r="OON10" s="2"/>
      <c r="OOO10" s="2"/>
      <c r="OOP10" s="2"/>
      <c r="OOQ10" s="2"/>
      <c r="OOR10" s="2"/>
      <c r="OOS10" s="2"/>
      <c r="OOT10" s="2"/>
      <c r="OOU10" s="2"/>
      <c r="OOV10" s="2"/>
      <c r="OOW10" s="2"/>
      <c r="OOX10" s="2"/>
      <c r="OOY10" s="2"/>
      <c r="OOZ10" s="2"/>
      <c r="OPA10" s="2"/>
      <c r="OPB10" s="2"/>
      <c r="OPC10" s="2"/>
      <c r="OPD10" s="2"/>
      <c r="OPE10" s="2"/>
      <c r="OPF10" s="2"/>
      <c r="OPG10" s="2"/>
      <c r="OPH10" s="2"/>
      <c r="OPI10" s="2"/>
      <c r="OPJ10" s="2"/>
      <c r="OPK10" s="2"/>
      <c r="OPL10" s="2"/>
      <c r="OPM10" s="2"/>
      <c r="OPN10" s="2"/>
      <c r="OPO10" s="2"/>
      <c r="OPP10" s="2"/>
      <c r="OPQ10" s="2"/>
      <c r="OPR10" s="2"/>
      <c r="OPS10" s="2"/>
      <c r="OPT10" s="2"/>
      <c r="OPU10" s="2"/>
      <c r="OPV10" s="2"/>
      <c r="OPW10" s="2"/>
      <c r="OPX10" s="2"/>
      <c r="OPY10" s="2"/>
      <c r="OPZ10" s="2"/>
      <c r="OQA10" s="2"/>
      <c r="OQB10" s="2"/>
      <c r="OQC10" s="2"/>
      <c r="OQD10" s="2"/>
      <c r="OQE10" s="2"/>
      <c r="OQF10" s="2"/>
      <c r="OQG10" s="2"/>
      <c r="OQH10" s="2"/>
      <c r="OQI10" s="2"/>
      <c r="OQJ10" s="2"/>
      <c r="OQK10" s="2"/>
      <c r="OQL10" s="2"/>
      <c r="OQM10" s="2"/>
      <c r="OQN10" s="2"/>
      <c r="OQO10" s="2"/>
      <c r="OQP10" s="2"/>
      <c r="OQQ10" s="2"/>
      <c r="OQR10" s="2"/>
      <c r="OQS10" s="2"/>
      <c r="OQT10" s="2"/>
      <c r="OQU10" s="2"/>
      <c r="OQV10" s="2"/>
      <c r="OQW10" s="2"/>
      <c r="OQX10" s="2"/>
      <c r="OQY10" s="2"/>
      <c r="OQZ10" s="2"/>
      <c r="ORA10" s="2"/>
      <c r="ORB10" s="2"/>
      <c r="ORC10" s="2"/>
      <c r="ORD10" s="2"/>
      <c r="ORE10" s="2"/>
      <c r="ORF10" s="2"/>
      <c r="ORG10" s="2"/>
      <c r="ORH10" s="2"/>
      <c r="ORI10" s="2"/>
      <c r="ORJ10" s="2"/>
      <c r="ORK10" s="2"/>
      <c r="ORL10" s="2"/>
      <c r="ORM10" s="2"/>
      <c r="ORN10" s="2"/>
      <c r="ORO10" s="2"/>
      <c r="ORP10" s="2"/>
      <c r="ORQ10" s="2"/>
      <c r="ORR10" s="2"/>
      <c r="ORS10" s="2"/>
      <c r="ORT10" s="2"/>
      <c r="ORU10" s="2"/>
      <c r="ORV10" s="2"/>
      <c r="ORW10" s="2"/>
      <c r="ORX10" s="2"/>
      <c r="ORY10" s="2"/>
      <c r="ORZ10" s="2"/>
      <c r="OSA10" s="2"/>
      <c r="OSB10" s="2"/>
      <c r="OSC10" s="2"/>
      <c r="OSD10" s="2"/>
      <c r="OSE10" s="2"/>
      <c r="OSF10" s="2"/>
      <c r="OSG10" s="2"/>
      <c r="OSH10" s="2"/>
      <c r="OSI10" s="2"/>
      <c r="OSJ10" s="2"/>
      <c r="OSK10" s="2"/>
      <c r="OSL10" s="2"/>
      <c r="OSM10" s="2"/>
      <c r="OSN10" s="2"/>
      <c r="OSO10" s="2"/>
      <c r="OSP10" s="2"/>
      <c r="OSQ10" s="2"/>
      <c r="OSR10" s="2"/>
      <c r="OSS10" s="2"/>
      <c r="OST10" s="2"/>
      <c r="OSU10" s="2"/>
      <c r="OSV10" s="2"/>
      <c r="OSW10" s="2"/>
      <c r="OSX10" s="2"/>
      <c r="OSY10" s="2"/>
      <c r="OSZ10" s="2"/>
      <c r="OTA10" s="2"/>
      <c r="OTB10" s="2"/>
      <c r="OTC10" s="2"/>
      <c r="OTD10" s="2"/>
      <c r="OTE10" s="2"/>
      <c r="OTF10" s="2"/>
      <c r="OTG10" s="2"/>
      <c r="OTH10" s="2"/>
      <c r="OTI10" s="2"/>
      <c r="OTJ10" s="2"/>
      <c r="OTK10" s="2"/>
      <c r="OTL10" s="2"/>
      <c r="OTM10" s="2"/>
      <c r="OTN10" s="2"/>
      <c r="OTO10" s="2"/>
      <c r="OTP10" s="2"/>
      <c r="OTQ10" s="2"/>
      <c r="OTR10" s="2"/>
      <c r="OTS10" s="2"/>
      <c r="OTT10" s="2"/>
      <c r="OTU10" s="2"/>
      <c r="OTV10" s="2"/>
      <c r="OTW10" s="2"/>
      <c r="OTX10" s="2"/>
      <c r="OTY10" s="2"/>
      <c r="OTZ10" s="2"/>
      <c r="OUA10" s="2"/>
      <c r="OUB10" s="2"/>
      <c r="OUC10" s="2"/>
      <c r="OUD10" s="2"/>
      <c r="OUE10" s="2"/>
      <c r="OUF10" s="2"/>
      <c r="OUG10" s="2"/>
      <c r="OUH10" s="2"/>
      <c r="OUI10" s="2"/>
      <c r="OUJ10" s="2"/>
      <c r="OUK10" s="2"/>
      <c r="OUL10" s="2"/>
      <c r="OUM10" s="2"/>
      <c r="OUN10" s="2"/>
      <c r="OUO10" s="2"/>
      <c r="OUP10" s="2"/>
      <c r="OUQ10" s="2"/>
      <c r="OUR10" s="2"/>
      <c r="OUS10" s="2"/>
      <c r="OUT10" s="2"/>
      <c r="OUU10" s="2"/>
      <c r="OUV10" s="2"/>
      <c r="OUW10" s="2"/>
      <c r="OUX10" s="2"/>
      <c r="OUY10" s="2"/>
      <c r="OUZ10" s="2"/>
      <c r="OVA10" s="2"/>
      <c r="OVB10" s="2"/>
      <c r="OVC10" s="2"/>
      <c r="OVD10" s="2"/>
      <c r="OVE10" s="2"/>
      <c r="OVF10" s="2"/>
      <c r="OVG10" s="2"/>
      <c r="OVH10" s="2"/>
      <c r="OVI10" s="2"/>
      <c r="OVJ10" s="2"/>
      <c r="OVK10" s="2"/>
      <c r="OVL10" s="2"/>
      <c r="OVM10" s="2"/>
      <c r="OVN10" s="2"/>
      <c r="OVO10" s="2"/>
      <c r="OVP10" s="2"/>
      <c r="OVQ10" s="2"/>
      <c r="OVR10" s="2"/>
      <c r="OVS10" s="2"/>
      <c r="OVT10" s="2"/>
      <c r="OVU10" s="2"/>
      <c r="OVV10" s="2"/>
      <c r="OVW10" s="2"/>
      <c r="OVX10" s="2"/>
      <c r="OVY10" s="2"/>
      <c r="OVZ10" s="2"/>
      <c r="OWA10" s="2"/>
      <c r="OWB10" s="2"/>
      <c r="OWC10" s="2"/>
      <c r="OWD10" s="2"/>
      <c r="OWE10" s="2"/>
      <c r="OWF10" s="2"/>
      <c r="OWG10" s="2"/>
      <c r="OWH10" s="2"/>
      <c r="OWI10" s="2"/>
      <c r="OWJ10" s="2"/>
      <c r="OWK10" s="2"/>
      <c r="OWL10" s="2"/>
      <c r="OWM10" s="2"/>
      <c r="OWN10" s="2"/>
      <c r="OWO10" s="2"/>
      <c r="OWP10" s="2"/>
      <c r="OWQ10" s="2"/>
      <c r="OWR10" s="2"/>
      <c r="OWS10" s="2"/>
      <c r="OWT10" s="2"/>
      <c r="OWU10" s="2"/>
      <c r="OWV10" s="2"/>
      <c r="OWW10" s="2"/>
      <c r="OWX10" s="2"/>
      <c r="OWY10" s="2"/>
      <c r="OWZ10" s="2"/>
      <c r="OXA10" s="2"/>
      <c r="OXB10" s="2"/>
      <c r="OXC10" s="2"/>
      <c r="OXD10" s="2"/>
      <c r="OXE10" s="2"/>
      <c r="OXF10" s="2"/>
      <c r="OXG10" s="2"/>
      <c r="OXH10" s="2"/>
      <c r="OXI10" s="2"/>
      <c r="OXJ10" s="2"/>
      <c r="OXK10" s="2"/>
      <c r="OXL10" s="2"/>
      <c r="OXM10" s="2"/>
      <c r="OXN10" s="2"/>
      <c r="OXO10" s="2"/>
      <c r="OXP10" s="2"/>
      <c r="OXQ10" s="2"/>
      <c r="OXR10" s="2"/>
      <c r="OXS10" s="2"/>
      <c r="OXT10" s="2"/>
      <c r="OXU10" s="2"/>
      <c r="OXV10" s="2"/>
      <c r="OXW10" s="2"/>
      <c r="OXX10" s="2"/>
      <c r="OXY10" s="2"/>
      <c r="OXZ10" s="2"/>
      <c r="OYA10" s="2"/>
      <c r="OYB10" s="2"/>
      <c r="OYC10" s="2"/>
      <c r="OYD10" s="2"/>
      <c r="OYE10" s="2"/>
      <c r="OYF10" s="2"/>
      <c r="OYG10" s="2"/>
      <c r="OYH10" s="2"/>
      <c r="OYI10" s="2"/>
      <c r="OYJ10" s="2"/>
      <c r="OYK10" s="2"/>
      <c r="OYL10" s="2"/>
      <c r="OYM10" s="2"/>
      <c r="OYN10" s="2"/>
      <c r="OYO10" s="2"/>
      <c r="OYP10" s="2"/>
      <c r="OYQ10" s="2"/>
      <c r="OYR10" s="2"/>
      <c r="OYS10" s="2"/>
      <c r="OYT10" s="2"/>
      <c r="OYU10" s="2"/>
      <c r="OYV10" s="2"/>
      <c r="OYW10" s="2"/>
      <c r="OYX10" s="2"/>
      <c r="OYY10" s="2"/>
      <c r="OYZ10" s="2"/>
      <c r="OZA10" s="2"/>
      <c r="OZB10" s="2"/>
      <c r="OZC10" s="2"/>
      <c r="OZD10" s="2"/>
      <c r="OZE10" s="2"/>
      <c r="OZF10" s="2"/>
      <c r="OZG10" s="2"/>
      <c r="OZH10" s="2"/>
      <c r="OZI10" s="2"/>
      <c r="OZJ10" s="2"/>
      <c r="OZK10" s="2"/>
      <c r="OZL10" s="2"/>
      <c r="OZM10" s="2"/>
      <c r="OZN10" s="2"/>
      <c r="OZO10" s="2"/>
      <c r="OZP10" s="2"/>
      <c r="OZQ10" s="2"/>
      <c r="OZR10" s="2"/>
      <c r="OZS10" s="2"/>
      <c r="OZT10" s="2"/>
      <c r="OZU10" s="2"/>
      <c r="OZV10" s="2"/>
      <c r="OZW10" s="2"/>
      <c r="OZX10" s="2"/>
      <c r="OZY10" s="2"/>
      <c r="OZZ10" s="2"/>
      <c r="PAA10" s="2"/>
      <c r="PAB10" s="2"/>
      <c r="PAC10" s="2"/>
      <c r="PAD10" s="2"/>
      <c r="PAE10" s="2"/>
      <c r="PAF10" s="2"/>
      <c r="PAG10" s="2"/>
      <c r="PAH10" s="2"/>
      <c r="PAI10" s="2"/>
      <c r="PAJ10" s="2"/>
      <c r="PAK10" s="2"/>
      <c r="PAL10" s="2"/>
      <c r="PAM10" s="2"/>
      <c r="PAN10" s="2"/>
      <c r="PAO10" s="2"/>
      <c r="PAP10" s="2"/>
      <c r="PAQ10" s="2"/>
      <c r="PAR10" s="2"/>
      <c r="PAS10" s="2"/>
      <c r="PAT10" s="2"/>
      <c r="PAU10" s="2"/>
      <c r="PAV10" s="2"/>
      <c r="PAW10" s="2"/>
      <c r="PAX10" s="2"/>
      <c r="PAY10" s="2"/>
      <c r="PAZ10" s="2"/>
      <c r="PBA10" s="2"/>
      <c r="PBB10" s="2"/>
      <c r="PBC10" s="2"/>
      <c r="PBD10" s="2"/>
      <c r="PBE10" s="2"/>
      <c r="PBF10" s="2"/>
      <c r="PBG10" s="2"/>
      <c r="PBH10" s="2"/>
      <c r="PBI10" s="2"/>
      <c r="PBJ10" s="2"/>
      <c r="PBK10" s="2"/>
      <c r="PBL10" s="2"/>
      <c r="PBM10" s="2"/>
      <c r="PBN10" s="2"/>
      <c r="PBO10" s="2"/>
      <c r="PBP10" s="2"/>
      <c r="PBQ10" s="2"/>
      <c r="PBR10" s="2"/>
      <c r="PBS10" s="2"/>
      <c r="PBT10" s="2"/>
      <c r="PBU10" s="2"/>
      <c r="PBV10" s="2"/>
      <c r="PBW10" s="2"/>
      <c r="PBX10" s="2"/>
      <c r="PBY10" s="2"/>
      <c r="PBZ10" s="2"/>
      <c r="PCA10" s="2"/>
      <c r="PCB10" s="2"/>
      <c r="PCC10" s="2"/>
      <c r="PCD10" s="2"/>
      <c r="PCE10" s="2"/>
      <c r="PCF10" s="2"/>
      <c r="PCG10" s="2"/>
      <c r="PCH10" s="2"/>
      <c r="PCI10" s="2"/>
      <c r="PCJ10" s="2"/>
      <c r="PCK10" s="2"/>
      <c r="PCL10" s="2"/>
      <c r="PCM10" s="2"/>
      <c r="PCN10" s="2"/>
      <c r="PCO10" s="2"/>
      <c r="PCP10" s="2"/>
      <c r="PCQ10" s="2"/>
      <c r="PCR10" s="2"/>
      <c r="PCS10" s="2"/>
      <c r="PCT10" s="2"/>
      <c r="PCU10" s="2"/>
      <c r="PCV10" s="2"/>
      <c r="PCW10" s="2"/>
      <c r="PCX10" s="2"/>
      <c r="PCY10" s="2"/>
      <c r="PCZ10" s="2"/>
      <c r="PDA10" s="2"/>
      <c r="PDB10" s="2"/>
      <c r="PDC10" s="2"/>
      <c r="PDD10" s="2"/>
      <c r="PDE10" s="2"/>
      <c r="PDF10" s="2"/>
      <c r="PDG10" s="2"/>
      <c r="PDH10" s="2"/>
      <c r="PDI10" s="2"/>
      <c r="PDJ10" s="2"/>
      <c r="PDK10" s="2"/>
      <c r="PDL10" s="2"/>
      <c r="PDM10" s="2"/>
      <c r="PDN10" s="2"/>
      <c r="PDO10" s="2"/>
      <c r="PDP10" s="2"/>
      <c r="PDQ10" s="2"/>
      <c r="PDR10" s="2"/>
      <c r="PDS10" s="2"/>
      <c r="PDT10" s="2"/>
      <c r="PDU10" s="2"/>
      <c r="PDV10" s="2"/>
      <c r="PDW10" s="2"/>
      <c r="PDX10" s="2"/>
      <c r="PDY10" s="2"/>
      <c r="PDZ10" s="2"/>
      <c r="PEA10" s="2"/>
      <c r="PEB10" s="2"/>
      <c r="PEC10" s="2"/>
      <c r="PED10" s="2"/>
      <c r="PEE10" s="2"/>
      <c r="PEF10" s="2"/>
      <c r="PEG10" s="2"/>
      <c r="PEH10" s="2"/>
      <c r="PEI10" s="2"/>
      <c r="PEJ10" s="2"/>
      <c r="PEK10" s="2"/>
      <c r="PEL10" s="2"/>
      <c r="PEM10" s="2"/>
      <c r="PEN10" s="2"/>
      <c r="PEO10" s="2"/>
      <c r="PEP10" s="2"/>
      <c r="PEQ10" s="2"/>
      <c r="PER10" s="2"/>
      <c r="PES10" s="2"/>
      <c r="PET10" s="2"/>
      <c r="PEU10" s="2"/>
      <c r="PEV10" s="2"/>
      <c r="PEW10" s="2"/>
      <c r="PEX10" s="2"/>
      <c r="PEY10" s="2"/>
      <c r="PEZ10" s="2"/>
      <c r="PFA10" s="2"/>
      <c r="PFB10" s="2"/>
      <c r="PFC10" s="2"/>
      <c r="PFD10" s="2"/>
      <c r="PFE10" s="2"/>
      <c r="PFF10" s="2"/>
      <c r="PFG10" s="2"/>
      <c r="PFH10" s="2"/>
      <c r="PFI10" s="2"/>
      <c r="PFJ10" s="2"/>
      <c r="PFK10" s="2"/>
      <c r="PFL10" s="2"/>
      <c r="PFM10" s="2"/>
      <c r="PFN10" s="2"/>
      <c r="PFO10" s="2"/>
      <c r="PFP10" s="2"/>
      <c r="PFQ10" s="2"/>
      <c r="PFR10" s="2"/>
      <c r="PFS10" s="2"/>
      <c r="PFT10" s="2"/>
      <c r="PFU10" s="2"/>
      <c r="PFV10" s="2"/>
      <c r="PFW10" s="2"/>
      <c r="PFX10" s="2"/>
      <c r="PFY10" s="2"/>
      <c r="PFZ10" s="2"/>
      <c r="PGA10" s="2"/>
      <c r="PGB10" s="2"/>
      <c r="PGC10" s="2"/>
      <c r="PGD10" s="2"/>
      <c r="PGE10" s="2"/>
      <c r="PGF10" s="2"/>
      <c r="PGG10" s="2"/>
      <c r="PGH10" s="2"/>
      <c r="PGI10" s="2"/>
      <c r="PGJ10" s="2"/>
      <c r="PGK10" s="2"/>
      <c r="PGL10" s="2"/>
      <c r="PGM10" s="2"/>
      <c r="PGN10" s="2"/>
      <c r="PGO10" s="2"/>
      <c r="PGP10" s="2"/>
      <c r="PGQ10" s="2"/>
      <c r="PGR10" s="2"/>
      <c r="PGS10" s="2"/>
      <c r="PGT10" s="2"/>
      <c r="PGU10" s="2"/>
      <c r="PGV10" s="2"/>
      <c r="PGW10" s="2"/>
      <c r="PGX10" s="2"/>
      <c r="PGY10" s="2"/>
      <c r="PGZ10" s="2"/>
      <c r="PHA10" s="2"/>
      <c r="PHB10" s="2"/>
      <c r="PHC10" s="2"/>
      <c r="PHD10" s="2"/>
      <c r="PHE10" s="2"/>
      <c r="PHF10" s="2"/>
      <c r="PHG10" s="2"/>
      <c r="PHH10" s="2"/>
      <c r="PHI10" s="2"/>
      <c r="PHJ10" s="2"/>
      <c r="PHK10" s="2"/>
      <c r="PHL10" s="2"/>
      <c r="PHM10" s="2"/>
      <c r="PHN10" s="2"/>
      <c r="PHO10" s="2"/>
      <c r="PHP10" s="2"/>
      <c r="PHQ10" s="2"/>
      <c r="PHR10" s="2"/>
      <c r="PHS10" s="2"/>
      <c r="PHT10" s="2"/>
      <c r="PHU10" s="2"/>
      <c r="PHV10" s="2"/>
      <c r="PHW10" s="2"/>
      <c r="PHX10" s="2"/>
      <c r="PHY10" s="2"/>
      <c r="PHZ10" s="2"/>
      <c r="PIA10" s="2"/>
      <c r="PIB10" s="2"/>
      <c r="PIC10" s="2"/>
      <c r="PID10" s="2"/>
      <c r="PIE10" s="2"/>
      <c r="PIF10" s="2"/>
      <c r="PIG10" s="2"/>
      <c r="PIH10" s="2"/>
      <c r="PII10" s="2"/>
      <c r="PIJ10" s="2"/>
      <c r="PIK10" s="2"/>
      <c r="PIL10" s="2"/>
      <c r="PIM10" s="2"/>
      <c r="PIN10" s="2"/>
      <c r="PIO10" s="2"/>
      <c r="PIP10" s="2"/>
      <c r="PIQ10" s="2"/>
      <c r="PIR10" s="2"/>
      <c r="PIS10" s="2"/>
      <c r="PIT10" s="2"/>
      <c r="PIU10" s="2"/>
      <c r="PIV10" s="2"/>
      <c r="PIW10" s="2"/>
      <c r="PIX10" s="2"/>
      <c r="PIY10" s="2"/>
      <c r="PIZ10" s="2"/>
      <c r="PJA10" s="2"/>
      <c r="PJB10" s="2"/>
      <c r="PJC10" s="2"/>
      <c r="PJD10" s="2"/>
      <c r="PJE10" s="2"/>
      <c r="PJF10" s="2"/>
      <c r="PJG10" s="2"/>
      <c r="PJH10" s="2"/>
      <c r="PJI10" s="2"/>
      <c r="PJJ10" s="2"/>
      <c r="PJK10" s="2"/>
      <c r="PJL10" s="2"/>
      <c r="PJM10" s="2"/>
      <c r="PJN10" s="2"/>
      <c r="PJO10" s="2"/>
      <c r="PJP10" s="2"/>
      <c r="PJQ10" s="2"/>
      <c r="PJR10" s="2"/>
      <c r="PJS10" s="2"/>
      <c r="PJT10" s="2"/>
      <c r="PJU10" s="2"/>
      <c r="PJV10" s="2"/>
      <c r="PJW10" s="2"/>
      <c r="PJX10" s="2"/>
      <c r="PJY10" s="2"/>
      <c r="PJZ10" s="2"/>
      <c r="PKA10" s="2"/>
      <c r="PKB10" s="2"/>
      <c r="PKC10" s="2"/>
      <c r="PKD10" s="2"/>
      <c r="PKE10" s="2"/>
      <c r="PKF10" s="2"/>
      <c r="PKG10" s="2"/>
      <c r="PKH10" s="2"/>
      <c r="PKI10" s="2"/>
      <c r="PKJ10" s="2"/>
      <c r="PKK10" s="2"/>
      <c r="PKL10" s="2"/>
      <c r="PKM10" s="2"/>
      <c r="PKN10" s="2"/>
      <c r="PKO10" s="2"/>
      <c r="PKP10" s="2"/>
      <c r="PKQ10" s="2"/>
      <c r="PKR10" s="2"/>
      <c r="PKS10" s="2"/>
      <c r="PKT10" s="2"/>
      <c r="PKU10" s="2"/>
      <c r="PKV10" s="2"/>
      <c r="PKW10" s="2"/>
      <c r="PKX10" s="2"/>
      <c r="PKY10" s="2"/>
      <c r="PKZ10" s="2"/>
      <c r="PLA10" s="2"/>
      <c r="PLB10" s="2"/>
      <c r="PLC10" s="2"/>
      <c r="PLD10" s="2"/>
      <c r="PLE10" s="2"/>
      <c r="PLF10" s="2"/>
      <c r="PLG10" s="2"/>
      <c r="PLH10" s="2"/>
      <c r="PLI10" s="2"/>
      <c r="PLJ10" s="2"/>
      <c r="PLK10" s="2"/>
      <c r="PLL10" s="2"/>
      <c r="PLM10" s="2"/>
      <c r="PLN10" s="2"/>
      <c r="PLO10" s="2"/>
      <c r="PLP10" s="2"/>
      <c r="PLQ10" s="2"/>
      <c r="PLR10" s="2"/>
      <c r="PLS10" s="2"/>
      <c r="PLT10" s="2"/>
      <c r="PLU10" s="2"/>
      <c r="PLV10" s="2"/>
      <c r="PLW10" s="2"/>
      <c r="PLX10" s="2"/>
      <c r="PLY10" s="2"/>
      <c r="PLZ10" s="2"/>
      <c r="PMA10" s="2"/>
      <c r="PMB10" s="2"/>
      <c r="PMC10" s="2"/>
      <c r="PMD10" s="2"/>
      <c r="PME10" s="2"/>
      <c r="PMF10" s="2"/>
      <c r="PMG10" s="2"/>
      <c r="PMH10" s="2"/>
      <c r="PMI10" s="2"/>
      <c r="PMJ10" s="2"/>
      <c r="PMK10" s="2"/>
      <c r="PML10" s="2"/>
      <c r="PMM10" s="2"/>
      <c r="PMN10" s="2"/>
      <c r="PMO10" s="2"/>
      <c r="PMP10" s="2"/>
      <c r="PMQ10" s="2"/>
      <c r="PMR10" s="2"/>
      <c r="PMS10" s="2"/>
      <c r="PMT10" s="2"/>
      <c r="PMU10" s="2"/>
      <c r="PMV10" s="2"/>
      <c r="PMW10" s="2"/>
      <c r="PMX10" s="2"/>
      <c r="PMY10" s="2"/>
      <c r="PMZ10" s="2"/>
      <c r="PNA10" s="2"/>
      <c r="PNB10" s="2"/>
      <c r="PNC10" s="2"/>
      <c r="PND10" s="2"/>
      <c r="PNE10" s="2"/>
      <c r="PNF10" s="2"/>
      <c r="PNG10" s="2"/>
      <c r="PNH10" s="2"/>
      <c r="PNI10" s="2"/>
      <c r="PNJ10" s="2"/>
      <c r="PNK10" s="2"/>
      <c r="PNL10" s="2"/>
      <c r="PNM10" s="2"/>
      <c r="PNN10" s="2"/>
      <c r="PNO10" s="2"/>
      <c r="PNP10" s="2"/>
      <c r="PNQ10" s="2"/>
      <c r="PNR10" s="2"/>
      <c r="PNS10" s="2"/>
      <c r="PNT10" s="2"/>
      <c r="PNU10" s="2"/>
      <c r="PNV10" s="2"/>
      <c r="PNW10" s="2"/>
      <c r="PNX10" s="2"/>
      <c r="PNY10" s="2"/>
      <c r="PNZ10" s="2"/>
      <c r="POA10" s="2"/>
      <c r="POB10" s="2"/>
      <c r="POC10" s="2"/>
      <c r="POD10" s="2"/>
      <c r="POE10" s="2"/>
      <c r="POF10" s="2"/>
      <c r="POG10" s="2"/>
      <c r="POH10" s="2"/>
      <c r="POI10" s="2"/>
      <c r="POJ10" s="2"/>
      <c r="POK10" s="2"/>
      <c r="POL10" s="2"/>
      <c r="POM10" s="2"/>
      <c r="PON10" s="2"/>
      <c r="POO10" s="2"/>
      <c r="POP10" s="2"/>
      <c r="POQ10" s="2"/>
      <c r="POR10" s="2"/>
      <c r="POS10" s="2"/>
      <c r="POT10" s="2"/>
      <c r="POU10" s="2"/>
      <c r="POV10" s="2"/>
      <c r="POW10" s="2"/>
      <c r="POX10" s="2"/>
      <c r="POY10" s="2"/>
      <c r="POZ10" s="2"/>
      <c r="PPA10" s="2"/>
      <c r="PPB10" s="2"/>
      <c r="PPC10" s="2"/>
      <c r="PPD10" s="2"/>
      <c r="PPE10" s="2"/>
      <c r="PPF10" s="2"/>
      <c r="PPG10" s="2"/>
      <c r="PPH10" s="2"/>
      <c r="PPI10" s="2"/>
      <c r="PPJ10" s="2"/>
      <c r="PPK10" s="2"/>
      <c r="PPL10" s="2"/>
      <c r="PPM10" s="2"/>
      <c r="PPN10" s="2"/>
      <c r="PPO10" s="2"/>
      <c r="PPP10" s="2"/>
      <c r="PPQ10" s="2"/>
      <c r="PPR10" s="2"/>
      <c r="PPS10" s="2"/>
      <c r="PPT10" s="2"/>
      <c r="PPU10" s="2"/>
      <c r="PPV10" s="2"/>
      <c r="PPW10" s="2"/>
      <c r="PPX10" s="2"/>
      <c r="PPY10" s="2"/>
      <c r="PPZ10" s="2"/>
      <c r="PQA10" s="2"/>
      <c r="PQB10" s="2"/>
      <c r="PQC10" s="2"/>
      <c r="PQD10" s="2"/>
      <c r="PQE10" s="2"/>
      <c r="PQF10" s="2"/>
      <c r="PQG10" s="2"/>
      <c r="PQH10" s="2"/>
      <c r="PQI10" s="2"/>
      <c r="PQJ10" s="2"/>
      <c r="PQK10" s="2"/>
      <c r="PQL10" s="2"/>
      <c r="PQM10" s="2"/>
      <c r="PQN10" s="2"/>
      <c r="PQO10" s="2"/>
      <c r="PQP10" s="2"/>
      <c r="PQQ10" s="2"/>
      <c r="PQR10" s="2"/>
      <c r="PQS10" s="2"/>
      <c r="PQT10" s="2"/>
      <c r="PQU10" s="2"/>
      <c r="PQV10" s="2"/>
      <c r="PQW10" s="2"/>
      <c r="PQX10" s="2"/>
      <c r="PQY10" s="2"/>
      <c r="PQZ10" s="2"/>
      <c r="PRA10" s="2"/>
      <c r="PRB10" s="2"/>
      <c r="PRC10" s="2"/>
      <c r="PRD10" s="2"/>
      <c r="PRE10" s="2"/>
      <c r="PRF10" s="2"/>
      <c r="PRG10" s="2"/>
      <c r="PRH10" s="2"/>
      <c r="PRI10" s="2"/>
      <c r="PRJ10" s="2"/>
      <c r="PRK10" s="2"/>
      <c r="PRL10" s="2"/>
      <c r="PRM10" s="2"/>
      <c r="PRN10" s="2"/>
      <c r="PRO10" s="2"/>
      <c r="PRP10" s="2"/>
      <c r="PRQ10" s="2"/>
      <c r="PRR10" s="2"/>
      <c r="PRS10" s="2"/>
      <c r="PRT10" s="2"/>
      <c r="PRU10" s="2"/>
      <c r="PRV10" s="2"/>
      <c r="PRW10" s="2"/>
      <c r="PRX10" s="2"/>
      <c r="PRY10" s="2"/>
      <c r="PRZ10" s="2"/>
      <c r="PSA10" s="2"/>
      <c r="PSB10" s="2"/>
      <c r="PSC10" s="2"/>
      <c r="PSD10" s="2"/>
      <c r="PSE10" s="2"/>
      <c r="PSF10" s="2"/>
      <c r="PSG10" s="2"/>
      <c r="PSH10" s="2"/>
      <c r="PSI10" s="2"/>
      <c r="PSJ10" s="2"/>
      <c r="PSK10" s="2"/>
      <c r="PSL10" s="2"/>
      <c r="PSM10" s="2"/>
      <c r="PSN10" s="2"/>
      <c r="PSO10" s="2"/>
      <c r="PSP10" s="2"/>
      <c r="PSQ10" s="2"/>
      <c r="PSR10" s="2"/>
      <c r="PSS10" s="2"/>
      <c r="PST10" s="2"/>
      <c r="PSU10" s="2"/>
      <c r="PSV10" s="2"/>
      <c r="PSW10" s="2"/>
      <c r="PSX10" s="2"/>
      <c r="PSY10" s="2"/>
      <c r="PSZ10" s="2"/>
      <c r="PTA10" s="2"/>
      <c r="PTB10" s="2"/>
      <c r="PTC10" s="2"/>
      <c r="PTD10" s="2"/>
      <c r="PTE10" s="2"/>
      <c r="PTF10" s="2"/>
      <c r="PTG10" s="2"/>
      <c r="PTH10" s="2"/>
      <c r="PTI10" s="2"/>
      <c r="PTJ10" s="2"/>
      <c r="PTK10" s="2"/>
      <c r="PTL10" s="2"/>
      <c r="PTM10" s="2"/>
      <c r="PTN10" s="2"/>
      <c r="PTO10" s="2"/>
      <c r="PTP10" s="2"/>
      <c r="PTQ10" s="2"/>
      <c r="PTR10" s="2"/>
      <c r="PTS10" s="2"/>
      <c r="PTT10" s="2"/>
      <c r="PTU10" s="2"/>
      <c r="PTV10" s="2"/>
      <c r="PTW10" s="2"/>
      <c r="PTX10" s="2"/>
      <c r="PTY10" s="2"/>
      <c r="PTZ10" s="2"/>
      <c r="PUA10" s="2"/>
      <c r="PUB10" s="2"/>
      <c r="PUC10" s="2"/>
      <c r="PUD10" s="2"/>
      <c r="PUE10" s="2"/>
      <c r="PUF10" s="2"/>
      <c r="PUG10" s="2"/>
      <c r="PUH10" s="2"/>
      <c r="PUI10" s="2"/>
      <c r="PUJ10" s="2"/>
      <c r="PUK10" s="2"/>
      <c r="PUL10" s="2"/>
      <c r="PUM10" s="2"/>
      <c r="PUN10" s="2"/>
      <c r="PUO10" s="2"/>
      <c r="PUP10" s="2"/>
      <c r="PUQ10" s="2"/>
      <c r="PUR10" s="2"/>
      <c r="PUS10" s="2"/>
      <c r="PUT10" s="2"/>
      <c r="PUU10" s="2"/>
      <c r="PUV10" s="2"/>
      <c r="PUW10" s="2"/>
      <c r="PUX10" s="2"/>
      <c r="PUY10" s="2"/>
      <c r="PUZ10" s="2"/>
      <c r="PVA10" s="2"/>
      <c r="PVB10" s="2"/>
      <c r="PVC10" s="2"/>
      <c r="PVD10" s="2"/>
      <c r="PVE10" s="2"/>
      <c r="PVF10" s="2"/>
      <c r="PVG10" s="2"/>
      <c r="PVH10" s="2"/>
      <c r="PVI10" s="2"/>
      <c r="PVJ10" s="2"/>
      <c r="PVK10" s="2"/>
      <c r="PVL10" s="2"/>
      <c r="PVM10" s="2"/>
      <c r="PVN10" s="2"/>
      <c r="PVO10" s="2"/>
      <c r="PVP10" s="2"/>
      <c r="PVQ10" s="2"/>
      <c r="PVR10" s="2"/>
      <c r="PVS10" s="2"/>
      <c r="PVT10" s="2"/>
      <c r="PVU10" s="2"/>
      <c r="PVV10" s="2"/>
      <c r="PVW10" s="2"/>
      <c r="PVX10" s="2"/>
      <c r="PVY10" s="2"/>
      <c r="PVZ10" s="2"/>
      <c r="PWA10" s="2"/>
      <c r="PWB10" s="2"/>
      <c r="PWC10" s="2"/>
      <c r="PWD10" s="2"/>
      <c r="PWE10" s="2"/>
      <c r="PWF10" s="2"/>
      <c r="PWG10" s="2"/>
      <c r="PWH10" s="2"/>
      <c r="PWI10" s="2"/>
      <c r="PWJ10" s="2"/>
      <c r="PWK10" s="2"/>
      <c r="PWL10" s="2"/>
      <c r="PWM10" s="2"/>
      <c r="PWN10" s="2"/>
      <c r="PWO10" s="2"/>
      <c r="PWP10" s="2"/>
      <c r="PWQ10" s="2"/>
      <c r="PWR10" s="2"/>
      <c r="PWS10" s="2"/>
      <c r="PWT10" s="2"/>
      <c r="PWU10" s="2"/>
      <c r="PWV10" s="2"/>
      <c r="PWW10" s="2"/>
      <c r="PWX10" s="2"/>
      <c r="PWY10" s="2"/>
      <c r="PWZ10" s="2"/>
      <c r="PXA10" s="2"/>
      <c r="PXB10" s="2"/>
      <c r="PXC10" s="2"/>
      <c r="PXD10" s="2"/>
      <c r="PXE10" s="2"/>
      <c r="PXF10" s="2"/>
      <c r="PXG10" s="2"/>
      <c r="PXH10" s="2"/>
      <c r="PXI10" s="2"/>
      <c r="PXJ10" s="2"/>
      <c r="PXK10" s="2"/>
      <c r="PXL10" s="2"/>
      <c r="PXM10" s="2"/>
      <c r="PXN10" s="2"/>
      <c r="PXO10" s="2"/>
      <c r="PXP10" s="2"/>
      <c r="PXQ10" s="2"/>
      <c r="PXR10" s="2"/>
      <c r="PXS10" s="2"/>
      <c r="PXT10" s="2"/>
      <c r="PXU10" s="2"/>
      <c r="PXV10" s="2"/>
      <c r="PXW10" s="2"/>
      <c r="PXX10" s="2"/>
      <c r="PXY10" s="2"/>
      <c r="PXZ10" s="2"/>
      <c r="PYA10" s="2"/>
      <c r="PYB10" s="2"/>
      <c r="PYC10" s="2"/>
      <c r="PYD10" s="2"/>
      <c r="PYE10" s="2"/>
      <c r="PYF10" s="2"/>
      <c r="PYG10" s="2"/>
      <c r="PYH10" s="2"/>
      <c r="PYI10" s="2"/>
      <c r="PYJ10" s="2"/>
      <c r="PYK10" s="2"/>
      <c r="PYL10" s="2"/>
      <c r="PYM10" s="2"/>
      <c r="PYN10" s="2"/>
      <c r="PYO10" s="2"/>
      <c r="PYP10" s="2"/>
      <c r="PYQ10" s="2"/>
      <c r="PYR10" s="2"/>
      <c r="PYS10" s="2"/>
      <c r="PYT10" s="2"/>
      <c r="PYU10" s="2"/>
      <c r="PYV10" s="2"/>
      <c r="PYW10" s="2"/>
      <c r="PYX10" s="2"/>
      <c r="PYY10" s="2"/>
      <c r="PYZ10" s="2"/>
      <c r="PZA10" s="2"/>
      <c r="PZB10" s="2"/>
      <c r="PZC10" s="2"/>
      <c r="PZD10" s="2"/>
      <c r="PZE10" s="2"/>
      <c r="PZF10" s="2"/>
      <c r="PZG10" s="2"/>
      <c r="PZH10" s="2"/>
      <c r="PZI10" s="2"/>
      <c r="PZJ10" s="2"/>
      <c r="PZK10" s="2"/>
      <c r="PZL10" s="2"/>
      <c r="PZM10" s="2"/>
      <c r="PZN10" s="2"/>
      <c r="PZO10" s="2"/>
      <c r="PZP10" s="2"/>
      <c r="PZQ10" s="2"/>
      <c r="PZR10" s="2"/>
      <c r="PZS10" s="2"/>
      <c r="PZT10" s="2"/>
      <c r="PZU10" s="2"/>
      <c r="PZV10" s="2"/>
      <c r="PZW10" s="2"/>
      <c r="PZX10" s="2"/>
      <c r="PZY10" s="2"/>
      <c r="PZZ10" s="2"/>
      <c r="QAA10" s="2"/>
      <c r="QAB10" s="2"/>
      <c r="QAC10" s="2"/>
      <c r="QAD10" s="2"/>
      <c r="QAE10" s="2"/>
      <c r="QAF10" s="2"/>
      <c r="QAG10" s="2"/>
      <c r="QAH10" s="2"/>
      <c r="QAI10" s="2"/>
      <c r="QAJ10" s="2"/>
      <c r="QAK10" s="2"/>
      <c r="QAL10" s="2"/>
      <c r="QAM10" s="2"/>
      <c r="QAN10" s="2"/>
      <c r="QAO10" s="2"/>
      <c r="QAP10" s="2"/>
      <c r="QAQ10" s="2"/>
      <c r="QAR10" s="2"/>
      <c r="QAS10" s="2"/>
      <c r="QAT10" s="2"/>
      <c r="QAU10" s="2"/>
      <c r="QAV10" s="2"/>
      <c r="QAW10" s="2"/>
      <c r="QAX10" s="2"/>
      <c r="QAY10" s="2"/>
      <c r="QAZ10" s="2"/>
      <c r="QBA10" s="2"/>
      <c r="QBB10" s="2"/>
      <c r="QBC10" s="2"/>
      <c r="QBD10" s="2"/>
      <c r="QBE10" s="2"/>
      <c r="QBF10" s="2"/>
      <c r="QBG10" s="2"/>
      <c r="QBH10" s="2"/>
      <c r="QBI10" s="2"/>
      <c r="QBJ10" s="2"/>
      <c r="QBK10" s="2"/>
      <c r="QBL10" s="2"/>
      <c r="QBM10" s="2"/>
      <c r="QBN10" s="2"/>
      <c r="QBO10" s="2"/>
      <c r="QBP10" s="2"/>
      <c r="QBQ10" s="2"/>
      <c r="QBR10" s="2"/>
      <c r="QBS10" s="2"/>
      <c r="QBT10" s="2"/>
      <c r="QBU10" s="2"/>
      <c r="QBV10" s="2"/>
      <c r="QBW10" s="2"/>
      <c r="QBX10" s="2"/>
      <c r="QBY10" s="2"/>
      <c r="QBZ10" s="2"/>
      <c r="QCA10" s="2"/>
      <c r="QCB10" s="2"/>
      <c r="QCC10" s="2"/>
      <c r="QCD10" s="2"/>
      <c r="QCE10" s="2"/>
      <c r="QCF10" s="2"/>
      <c r="QCG10" s="2"/>
      <c r="QCH10" s="2"/>
      <c r="QCI10" s="2"/>
      <c r="QCJ10" s="2"/>
      <c r="QCK10" s="2"/>
      <c r="QCL10" s="2"/>
      <c r="QCM10" s="2"/>
      <c r="QCN10" s="2"/>
      <c r="QCO10" s="2"/>
      <c r="QCP10" s="2"/>
      <c r="QCQ10" s="2"/>
      <c r="QCR10" s="2"/>
      <c r="QCS10" s="2"/>
      <c r="QCT10" s="2"/>
      <c r="QCU10" s="2"/>
      <c r="QCV10" s="2"/>
      <c r="QCW10" s="2"/>
      <c r="QCX10" s="2"/>
      <c r="QCY10" s="2"/>
      <c r="QCZ10" s="2"/>
      <c r="QDA10" s="2"/>
      <c r="QDB10" s="2"/>
      <c r="QDC10" s="2"/>
      <c r="QDD10" s="2"/>
      <c r="QDE10" s="2"/>
      <c r="QDF10" s="2"/>
      <c r="QDG10" s="2"/>
      <c r="QDH10" s="2"/>
      <c r="QDI10" s="2"/>
      <c r="QDJ10" s="2"/>
      <c r="QDK10" s="2"/>
      <c r="QDL10" s="2"/>
      <c r="QDM10" s="2"/>
      <c r="QDN10" s="2"/>
      <c r="QDO10" s="2"/>
      <c r="QDP10" s="2"/>
      <c r="QDQ10" s="2"/>
      <c r="QDR10" s="2"/>
      <c r="QDS10" s="2"/>
      <c r="QDT10" s="2"/>
      <c r="QDU10" s="2"/>
      <c r="QDV10" s="2"/>
      <c r="QDW10" s="2"/>
      <c r="QDX10" s="2"/>
      <c r="QDY10" s="2"/>
      <c r="QDZ10" s="2"/>
      <c r="QEA10" s="2"/>
      <c r="QEB10" s="2"/>
      <c r="QEC10" s="2"/>
      <c r="QED10" s="2"/>
      <c r="QEE10" s="2"/>
      <c r="QEF10" s="2"/>
      <c r="QEG10" s="2"/>
      <c r="QEH10" s="2"/>
      <c r="QEI10" s="2"/>
      <c r="QEJ10" s="2"/>
      <c r="QEK10" s="2"/>
      <c r="QEL10" s="2"/>
      <c r="QEM10" s="2"/>
      <c r="QEN10" s="2"/>
      <c r="QEO10" s="2"/>
      <c r="QEP10" s="2"/>
      <c r="QEQ10" s="2"/>
      <c r="QER10" s="2"/>
      <c r="QES10" s="2"/>
      <c r="QET10" s="2"/>
      <c r="QEU10" s="2"/>
      <c r="QEV10" s="2"/>
      <c r="QEW10" s="2"/>
      <c r="QEX10" s="2"/>
      <c r="QEY10" s="2"/>
      <c r="QEZ10" s="2"/>
      <c r="QFA10" s="2"/>
      <c r="QFB10" s="2"/>
      <c r="QFC10" s="2"/>
      <c r="QFD10" s="2"/>
      <c r="QFE10" s="2"/>
      <c r="QFF10" s="2"/>
      <c r="QFG10" s="2"/>
      <c r="QFH10" s="2"/>
      <c r="QFI10" s="2"/>
      <c r="QFJ10" s="2"/>
      <c r="QFK10" s="2"/>
      <c r="QFL10" s="2"/>
      <c r="QFM10" s="2"/>
      <c r="QFN10" s="2"/>
      <c r="QFO10" s="2"/>
      <c r="QFP10" s="2"/>
      <c r="QFQ10" s="2"/>
      <c r="QFR10" s="2"/>
      <c r="QFS10" s="2"/>
      <c r="QFT10" s="2"/>
      <c r="QFU10" s="2"/>
      <c r="QFV10" s="2"/>
      <c r="QFW10" s="2"/>
      <c r="QFX10" s="2"/>
      <c r="QFY10" s="2"/>
      <c r="QFZ10" s="2"/>
      <c r="QGA10" s="2"/>
      <c r="QGB10" s="2"/>
      <c r="QGC10" s="2"/>
      <c r="QGD10" s="2"/>
      <c r="QGE10" s="2"/>
      <c r="QGF10" s="2"/>
      <c r="QGG10" s="2"/>
      <c r="QGH10" s="2"/>
      <c r="QGI10" s="2"/>
      <c r="QGJ10" s="2"/>
      <c r="QGK10" s="2"/>
      <c r="QGL10" s="2"/>
      <c r="QGM10" s="2"/>
      <c r="QGN10" s="2"/>
      <c r="QGO10" s="2"/>
      <c r="QGP10" s="2"/>
      <c r="QGQ10" s="2"/>
      <c r="QGR10" s="2"/>
      <c r="QGS10" s="2"/>
      <c r="QGT10" s="2"/>
      <c r="QGU10" s="2"/>
      <c r="QGV10" s="2"/>
      <c r="QGW10" s="2"/>
      <c r="QGX10" s="2"/>
      <c r="QGY10" s="2"/>
      <c r="QGZ10" s="2"/>
      <c r="QHA10" s="2"/>
      <c r="QHB10" s="2"/>
      <c r="QHC10" s="2"/>
      <c r="QHD10" s="2"/>
      <c r="QHE10" s="2"/>
      <c r="QHF10" s="2"/>
      <c r="QHG10" s="2"/>
      <c r="QHH10" s="2"/>
      <c r="QHI10" s="2"/>
      <c r="QHJ10" s="2"/>
      <c r="QHK10" s="2"/>
      <c r="QHL10" s="2"/>
      <c r="QHM10" s="2"/>
      <c r="QHN10" s="2"/>
      <c r="QHO10" s="2"/>
      <c r="QHP10" s="2"/>
      <c r="QHQ10" s="2"/>
      <c r="QHR10" s="2"/>
      <c r="QHS10" s="2"/>
      <c r="QHT10" s="2"/>
      <c r="QHU10" s="2"/>
      <c r="QHV10" s="2"/>
      <c r="QHW10" s="2"/>
      <c r="QHX10" s="2"/>
      <c r="QHY10" s="2"/>
      <c r="QHZ10" s="2"/>
      <c r="QIA10" s="2"/>
      <c r="QIB10" s="2"/>
      <c r="QIC10" s="2"/>
      <c r="QID10" s="2"/>
      <c r="QIE10" s="2"/>
      <c r="QIF10" s="2"/>
      <c r="QIG10" s="2"/>
      <c r="QIH10" s="2"/>
      <c r="QII10" s="2"/>
      <c r="QIJ10" s="2"/>
      <c r="QIK10" s="2"/>
      <c r="QIL10" s="2"/>
      <c r="QIM10" s="2"/>
      <c r="QIN10" s="2"/>
      <c r="QIO10" s="2"/>
      <c r="QIP10" s="2"/>
      <c r="QIQ10" s="2"/>
      <c r="QIR10" s="2"/>
      <c r="QIS10" s="2"/>
      <c r="QIT10" s="2"/>
      <c r="QIU10" s="2"/>
      <c r="QIV10" s="2"/>
      <c r="QIW10" s="2"/>
      <c r="QIX10" s="2"/>
      <c r="QIY10" s="2"/>
      <c r="QIZ10" s="2"/>
      <c r="QJA10" s="2"/>
      <c r="QJB10" s="2"/>
      <c r="QJC10" s="2"/>
      <c r="QJD10" s="2"/>
      <c r="QJE10" s="2"/>
      <c r="QJF10" s="2"/>
      <c r="QJG10" s="2"/>
      <c r="QJH10" s="2"/>
      <c r="QJI10" s="2"/>
      <c r="QJJ10" s="2"/>
      <c r="QJK10" s="2"/>
      <c r="QJL10" s="2"/>
      <c r="QJM10" s="2"/>
      <c r="QJN10" s="2"/>
      <c r="QJO10" s="2"/>
      <c r="QJP10" s="2"/>
      <c r="QJQ10" s="2"/>
      <c r="QJR10" s="2"/>
      <c r="QJS10" s="2"/>
      <c r="QJT10" s="2"/>
      <c r="QJU10" s="2"/>
      <c r="QJV10" s="2"/>
      <c r="QJW10" s="2"/>
      <c r="QJX10" s="2"/>
      <c r="QJY10" s="2"/>
      <c r="QJZ10" s="2"/>
      <c r="QKA10" s="2"/>
      <c r="QKB10" s="2"/>
      <c r="QKC10" s="2"/>
      <c r="QKD10" s="2"/>
      <c r="QKE10" s="2"/>
      <c r="QKF10" s="2"/>
      <c r="QKG10" s="2"/>
      <c r="QKH10" s="2"/>
      <c r="QKI10" s="2"/>
      <c r="QKJ10" s="2"/>
      <c r="QKK10" s="2"/>
      <c r="QKL10" s="2"/>
      <c r="QKM10" s="2"/>
      <c r="QKN10" s="2"/>
      <c r="QKO10" s="2"/>
      <c r="QKP10" s="2"/>
      <c r="QKQ10" s="2"/>
      <c r="QKR10" s="2"/>
      <c r="QKS10" s="2"/>
      <c r="QKT10" s="2"/>
      <c r="QKU10" s="2"/>
      <c r="QKV10" s="2"/>
      <c r="QKW10" s="2"/>
      <c r="QKX10" s="2"/>
      <c r="QKY10" s="2"/>
      <c r="QKZ10" s="2"/>
      <c r="QLA10" s="2"/>
      <c r="QLB10" s="2"/>
      <c r="QLC10" s="2"/>
      <c r="QLD10" s="2"/>
      <c r="QLE10" s="2"/>
      <c r="QLF10" s="2"/>
      <c r="QLG10" s="2"/>
      <c r="QLH10" s="2"/>
      <c r="QLI10" s="2"/>
      <c r="QLJ10" s="2"/>
      <c r="QLK10" s="2"/>
      <c r="QLL10" s="2"/>
      <c r="QLM10" s="2"/>
      <c r="QLN10" s="2"/>
      <c r="QLO10" s="2"/>
      <c r="QLP10" s="2"/>
      <c r="QLQ10" s="2"/>
      <c r="QLR10" s="2"/>
      <c r="QLS10" s="2"/>
      <c r="QLT10" s="2"/>
      <c r="QLU10" s="2"/>
      <c r="QLV10" s="2"/>
      <c r="QLW10" s="2"/>
      <c r="QLX10" s="2"/>
      <c r="QLY10" s="2"/>
      <c r="QLZ10" s="2"/>
      <c r="QMA10" s="2"/>
      <c r="QMB10" s="2"/>
      <c r="QMC10" s="2"/>
      <c r="QMD10" s="2"/>
      <c r="QME10" s="2"/>
      <c r="QMF10" s="2"/>
      <c r="QMG10" s="2"/>
      <c r="QMH10" s="2"/>
      <c r="QMI10" s="2"/>
      <c r="QMJ10" s="2"/>
      <c r="QMK10" s="2"/>
      <c r="QML10" s="2"/>
      <c r="QMM10" s="2"/>
      <c r="QMN10" s="2"/>
      <c r="QMO10" s="2"/>
      <c r="QMP10" s="2"/>
      <c r="QMQ10" s="2"/>
      <c r="QMR10" s="2"/>
      <c r="QMS10" s="2"/>
      <c r="QMT10" s="2"/>
      <c r="QMU10" s="2"/>
      <c r="QMV10" s="2"/>
      <c r="QMW10" s="2"/>
      <c r="QMX10" s="2"/>
      <c r="QMY10" s="2"/>
      <c r="QMZ10" s="2"/>
      <c r="QNA10" s="2"/>
      <c r="QNB10" s="2"/>
      <c r="QNC10" s="2"/>
      <c r="QND10" s="2"/>
      <c r="QNE10" s="2"/>
      <c r="QNF10" s="2"/>
      <c r="QNG10" s="2"/>
      <c r="QNH10" s="2"/>
      <c r="QNI10" s="2"/>
      <c r="QNJ10" s="2"/>
      <c r="QNK10" s="2"/>
      <c r="QNL10" s="2"/>
      <c r="QNM10" s="2"/>
      <c r="QNN10" s="2"/>
      <c r="QNO10" s="2"/>
      <c r="QNP10" s="2"/>
      <c r="QNQ10" s="2"/>
      <c r="QNR10" s="2"/>
      <c r="QNS10" s="2"/>
      <c r="QNT10" s="2"/>
      <c r="QNU10" s="2"/>
      <c r="QNV10" s="2"/>
      <c r="QNW10" s="2"/>
      <c r="QNX10" s="2"/>
      <c r="QNY10" s="2"/>
      <c r="QNZ10" s="2"/>
      <c r="QOA10" s="2"/>
      <c r="QOB10" s="2"/>
      <c r="QOC10" s="2"/>
      <c r="QOD10" s="2"/>
      <c r="QOE10" s="2"/>
      <c r="QOF10" s="2"/>
      <c r="QOG10" s="2"/>
      <c r="QOH10" s="2"/>
      <c r="QOI10" s="2"/>
      <c r="QOJ10" s="2"/>
      <c r="QOK10" s="2"/>
      <c r="QOL10" s="2"/>
      <c r="QOM10" s="2"/>
      <c r="QON10" s="2"/>
      <c r="QOO10" s="2"/>
      <c r="QOP10" s="2"/>
      <c r="QOQ10" s="2"/>
      <c r="QOR10" s="2"/>
      <c r="QOS10" s="2"/>
      <c r="QOT10" s="2"/>
      <c r="QOU10" s="2"/>
      <c r="QOV10" s="2"/>
      <c r="QOW10" s="2"/>
      <c r="QOX10" s="2"/>
      <c r="QOY10" s="2"/>
      <c r="QOZ10" s="2"/>
      <c r="QPA10" s="2"/>
      <c r="QPB10" s="2"/>
      <c r="QPC10" s="2"/>
      <c r="QPD10" s="2"/>
      <c r="QPE10" s="2"/>
      <c r="QPF10" s="2"/>
      <c r="QPG10" s="2"/>
      <c r="QPH10" s="2"/>
      <c r="QPI10" s="2"/>
      <c r="QPJ10" s="2"/>
      <c r="QPK10" s="2"/>
      <c r="QPL10" s="2"/>
      <c r="QPM10" s="2"/>
      <c r="QPN10" s="2"/>
      <c r="QPO10" s="2"/>
      <c r="QPP10" s="2"/>
      <c r="QPQ10" s="2"/>
      <c r="QPR10" s="2"/>
      <c r="QPS10" s="2"/>
      <c r="QPT10" s="2"/>
      <c r="QPU10" s="2"/>
      <c r="QPV10" s="2"/>
      <c r="QPW10" s="2"/>
      <c r="QPX10" s="2"/>
      <c r="QPY10" s="2"/>
      <c r="QPZ10" s="2"/>
      <c r="QQA10" s="2"/>
      <c r="QQB10" s="2"/>
      <c r="QQC10" s="2"/>
      <c r="QQD10" s="2"/>
      <c r="QQE10" s="2"/>
      <c r="QQF10" s="2"/>
      <c r="QQG10" s="2"/>
      <c r="QQH10" s="2"/>
      <c r="QQI10" s="2"/>
      <c r="QQJ10" s="2"/>
      <c r="QQK10" s="2"/>
      <c r="QQL10" s="2"/>
      <c r="QQM10" s="2"/>
      <c r="QQN10" s="2"/>
      <c r="QQO10" s="2"/>
      <c r="QQP10" s="2"/>
      <c r="QQQ10" s="2"/>
      <c r="QQR10" s="2"/>
      <c r="QQS10" s="2"/>
      <c r="QQT10" s="2"/>
      <c r="QQU10" s="2"/>
      <c r="QQV10" s="2"/>
      <c r="QQW10" s="2"/>
      <c r="QQX10" s="2"/>
      <c r="QQY10" s="2"/>
      <c r="QQZ10" s="2"/>
      <c r="QRA10" s="2"/>
      <c r="QRB10" s="2"/>
      <c r="QRC10" s="2"/>
      <c r="QRD10" s="2"/>
      <c r="QRE10" s="2"/>
      <c r="QRF10" s="2"/>
      <c r="QRG10" s="2"/>
      <c r="QRH10" s="2"/>
      <c r="QRI10" s="2"/>
      <c r="QRJ10" s="2"/>
      <c r="QRK10" s="2"/>
      <c r="QRL10" s="2"/>
      <c r="QRM10" s="2"/>
      <c r="QRN10" s="2"/>
      <c r="QRO10" s="2"/>
      <c r="QRP10" s="2"/>
      <c r="QRQ10" s="2"/>
      <c r="QRR10" s="2"/>
      <c r="QRS10" s="2"/>
      <c r="QRT10" s="2"/>
      <c r="QRU10" s="2"/>
      <c r="QRV10" s="2"/>
      <c r="QRW10" s="2"/>
      <c r="QRX10" s="2"/>
      <c r="QRY10" s="2"/>
      <c r="QRZ10" s="2"/>
      <c r="QSA10" s="2"/>
      <c r="QSB10" s="2"/>
      <c r="QSC10" s="2"/>
      <c r="QSD10" s="2"/>
      <c r="QSE10" s="2"/>
      <c r="QSF10" s="2"/>
      <c r="QSG10" s="2"/>
      <c r="QSH10" s="2"/>
      <c r="QSI10" s="2"/>
      <c r="QSJ10" s="2"/>
      <c r="QSK10" s="2"/>
      <c r="QSL10" s="2"/>
      <c r="QSM10" s="2"/>
      <c r="QSN10" s="2"/>
      <c r="QSO10" s="2"/>
      <c r="QSP10" s="2"/>
      <c r="QSQ10" s="2"/>
      <c r="QSR10" s="2"/>
      <c r="QSS10" s="2"/>
      <c r="QST10" s="2"/>
      <c r="QSU10" s="2"/>
      <c r="QSV10" s="2"/>
      <c r="QSW10" s="2"/>
      <c r="QSX10" s="2"/>
      <c r="QSY10" s="2"/>
      <c r="QSZ10" s="2"/>
      <c r="QTA10" s="2"/>
      <c r="QTB10" s="2"/>
      <c r="QTC10" s="2"/>
      <c r="QTD10" s="2"/>
      <c r="QTE10" s="2"/>
      <c r="QTF10" s="2"/>
      <c r="QTG10" s="2"/>
      <c r="QTH10" s="2"/>
      <c r="QTI10" s="2"/>
      <c r="QTJ10" s="2"/>
      <c r="QTK10" s="2"/>
      <c r="QTL10" s="2"/>
      <c r="QTM10" s="2"/>
      <c r="QTN10" s="2"/>
      <c r="QTO10" s="2"/>
      <c r="QTP10" s="2"/>
      <c r="QTQ10" s="2"/>
      <c r="QTR10" s="2"/>
      <c r="QTS10" s="2"/>
      <c r="QTT10" s="2"/>
      <c r="QTU10" s="2"/>
      <c r="QTV10" s="2"/>
      <c r="QTW10" s="2"/>
      <c r="QTX10" s="2"/>
      <c r="QTY10" s="2"/>
      <c r="QTZ10" s="2"/>
      <c r="QUA10" s="2"/>
      <c r="QUB10" s="2"/>
      <c r="QUC10" s="2"/>
      <c r="QUD10" s="2"/>
      <c r="QUE10" s="2"/>
      <c r="QUF10" s="2"/>
      <c r="QUG10" s="2"/>
      <c r="QUH10" s="2"/>
      <c r="QUI10" s="2"/>
      <c r="QUJ10" s="2"/>
      <c r="QUK10" s="2"/>
      <c r="QUL10" s="2"/>
      <c r="QUM10" s="2"/>
      <c r="QUN10" s="2"/>
      <c r="QUO10" s="2"/>
      <c r="QUP10" s="2"/>
      <c r="QUQ10" s="2"/>
      <c r="QUR10" s="2"/>
      <c r="QUS10" s="2"/>
      <c r="QUT10" s="2"/>
      <c r="QUU10" s="2"/>
      <c r="QUV10" s="2"/>
      <c r="QUW10" s="2"/>
      <c r="QUX10" s="2"/>
      <c r="QUY10" s="2"/>
      <c r="QUZ10" s="2"/>
      <c r="QVA10" s="2"/>
      <c r="QVB10" s="2"/>
      <c r="QVC10" s="2"/>
      <c r="QVD10" s="2"/>
      <c r="QVE10" s="2"/>
      <c r="QVF10" s="2"/>
      <c r="QVG10" s="2"/>
      <c r="QVH10" s="2"/>
      <c r="QVI10" s="2"/>
      <c r="QVJ10" s="2"/>
      <c r="QVK10" s="2"/>
      <c r="QVL10" s="2"/>
      <c r="QVM10" s="2"/>
      <c r="QVN10" s="2"/>
      <c r="QVO10" s="2"/>
      <c r="QVP10" s="2"/>
      <c r="QVQ10" s="2"/>
      <c r="QVR10" s="2"/>
      <c r="QVS10" s="2"/>
      <c r="QVT10" s="2"/>
      <c r="QVU10" s="2"/>
      <c r="QVV10" s="2"/>
      <c r="QVW10" s="2"/>
      <c r="QVX10" s="2"/>
      <c r="QVY10" s="2"/>
      <c r="QVZ10" s="2"/>
      <c r="QWA10" s="2"/>
      <c r="QWB10" s="2"/>
      <c r="QWC10" s="2"/>
      <c r="QWD10" s="2"/>
      <c r="QWE10" s="2"/>
      <c r="QWF10" s="2"/>
      <c r="QWG10" s="2"/>
      <c r="QWH10" s="2"/>
      <c r="QWI10" s="2"/>
      <c r="QWJ10" s="2"/>
      <c r="QWK10" s="2"/>
      <c r="QWL10" s="2"/>
      <c r="QWM10" s="2"/>
      <c r="QWN10" s="2"/>
      <c r="QWO10" s="2"/>
      <c r="QWP10" s="2"/>
      <c r="QWQ10" s="2"/>
      <c r="QWR10" s="2"/>
      <c r="QWS10" s="2"/>
      <c r="QWT10" s="2"/>
      <c r="QWU10" s="2"/>
      <c r="QWV10" s="2"/>
      <c r="QWW10" s="2"/>
      <c r="QWX10" s="2"/>
      <c r="QWY10" s="2"/>
      <c r="QWZ10" s="2"/>
      <c r="QXA10" s="2"/>
      <c r="QXB10" s="2"/>
      <c r="QXC10" s="2"/>
      <c r="QXD10" s="2"/>
      <c r="QXE10" s="2"/>
      <c r="QXF10" s="2"/>
      <c r="QXG10" s="2"/>
      <c r="QXH10" s="2"/>
      <c r="QXI10" s="2"/>
      <c r="QXJ10" s="2"/>
      <c r="QXK10" s="2"/>
      <c r="QXL10" s="2"/>
      <c r="QXM10" s="2"/>
      <c r="QXN10" s="2"/>
      <c r="QXO10" s="2"/>
      <c r="QXP10" s="2"/>
      <c r="QXQ10" s="2"/>
      <c r="QXR10" s="2"/>
      <c r="QXS10" s="2"/>
      <c r="QXT10" s="2"/>
      <c r="QXU10" s="2"/>
      <c r="QXV10" s="2"/>
      <c r="QXW10" s="2"/>
      <c r="QXX10" s="2"/>
      <c r="QXY10" s="2"/>
      <c r="QXZ10" s="2"/>
      <c r="QYA10" s="2"/>
      <c r="QYB10" s="2"/>
      <c r="QYC10" s="2"/>
      <c r="QYD10" s="2"/>
      <c r="QYE10" s="2"/>
      <c r="QYF10" s="2"/>
      <c r="QYG10" s="2"/>
      <c r="QYH10" s="2"/>
      <c r="QYI10" s="2"/>
      <c r="QYJ10" s="2"/>
      <c r="QYK10" s="2"/>
      <c r="QYL10" s="2"/>
      <c r="QYM10" s="2"/>
      <c r="QYN10" s="2"/>
      <c r="QYO10" s="2"/>
      <c r="QYP10" s="2"/>
      <c r="QYQ10" s="2"/>
      <c r="QYR10" s="2"/>
      <c r="QYS10" s="2"/>
      <c r="QYT10" s="2"/>
      <c r="QYU10" s="2"/>
      <c r="QYV10" s="2"/>
      <c r="QYW10" s="2"/>
      <c r="QYX10" s="2"/>
      <c r="QYY10" s="2"/>
      <c r="QYZ10" s="2"/>
      <c r="QZA10" s="2"/>
      <c r="QZB10" s="2"/>
      <c r="QZC10" s="2"/>
      <c r="QZD10" s="2"/>
      <c r="QZE10" s="2"/>
      <c r="QZF10" s="2"/>
      <c r="QZG10" s="2"/>
      <c r="QZH10" s="2"/>
      <c r="QZI10" s="2"/>
      <c r="QZJ10" s="2"/>
      <c r="QZK10" s="2"/>
      <c r="QZL10" s="2"/>
      <c r="QZM10" s="2"/>
      <c r="QZN10" s="2"/>
      <c r="QZO10" s="2"/>
      <c r="QZP10" s="2"/>
      <c r="QZQ10" s="2"/>
      <c r="QZR10" s="2"/>
      <c r="QZS10" s="2"/>
      <c r="QZT10" s="2"/>
      <c r="QZU10" s="2"/>
      <c r="QZV10" s="2"/>
      <c r="QZW10" s="2"/>
      <c r="QZX10" s="2"/>
      <c r="QZY10" s="2"/>
      <c r="QZZ10" s="2"/>
      <c r="RAA10" s="2"/>
      <c r="RAB10" s="2"/>
      <c r="RAC10" s="2"/>
      <c r="RAD10" s="2"/>
      <c r="RAE10" s="2"/>
      <c r="RAF10" s="2"/>
      <c r="RAG10" s="2"/>
      <c r="RAH10" s="2"/>
      <c r="RAI10" s="2"/>
      <c r="RAJ10" s="2"/>
      <c r="RAK10" s="2"/>
      <c r="RAL10" s="2"/>
      <c r="RAM10" s="2"/>
      <c r="RAN10" s="2"/>
      <c r="RAO10" s="2"/>
      <c r="RAP10" s="2"/>
      <c r="RAQ10" s="2"/>
      <c r="RAR10" s="2"/>
      <c r="RAS10" s="2"/>
      <c r="RAT10" s="2"/>
      <c r="RAU10" s="2"/>
      <c r="RAV10" s="2"/>
      <c r="RAW10" s="2"/>
      <c r="RAX10" s="2"/>
      <c r="RAY10" s="2"/>
      <c r="RAZ10" s="2"/>
      <c r="RBA10" s="2"/>
      <c r="RBB10" s="2"/>
      <c r="RBC10" s="2"/>
      <c r="RBD10" s="2"/>
      <c r="RBE10" s="2"/>
      <c r="RBF10" s="2"/>
      <c r="RBG10" s="2"/>
      <c r="RBH10" s="2"/>
      <c r="RBI10" s="2"/>
      <c r="RBJ10" s="2"/>
      <c r="RBK10" s="2"/>
      <c r="RBL10" s="2"/>
      <c r="RBM10" s="2"/>
      <c r="RBN10" s="2"/>
      <c r="RBO10" s="2"/>
      <c r="RBP10" s="2"/>
      <c r="RBQ10" s="2"/>
      <c r="RBR10" s="2"/>
      <c r="RBS10" s="2"/>
      <c r="RBT10" s="2"/>
      <c r="RBU10" s="2"/>
      <c r="RBV10" s="2"/>
      <c r="RBW10" s="2"/>
      <c r="RBX10" s="2"/>
      <c r="RBY10" s="2"/>
      <c r="RBZ10" s="2"/>
      <c r="RCA10" s="2"/>
      <c r="RCB10" s="2"/>
      <c r="RCC10" s="2"/>
      <c r="RCD10" s="2"/>
      <c r="RCE10" s="2"/>
      <c r="RCF10" s="2"/>
      <c r="RCG10" s="2"/>
      <c r="RCH10" s="2"/>
      <c r="RCI10" s="2"/>
      <c r="RCJ10" s="2"/>
      <c r="RCK10" s="2"/>
      <c r="RCL10" s="2"/>
      <c r="RCM10" s="2"/>
      <c r="RCN10" s="2"/>
      <c r="RCO10" s="2"/>
      <c r="RCP10" s="2"/>
      <c r="RCQ10" s="2"/>
      <c r="RCR10" s="2"/>
      <c r="RCS10" s="2"/>
      <c r="RCT10" s="2"/>
      <c r="RCU10" s="2"/>
      <c r="RCV10" s="2"/>
      <c r="RCW10" s="2"/>
      <c r="RCX10" s="2"/>
      <c r="RCY10" s="2"/>
      <c r="RCZ10" s="2"/>
      <c r="RDA10" s="2"/>
      <c r="RDB10" s="2"/>
      <c r="RDC10" s="2"/>
      <c r="RDD10" s="2"/>
      <c r="RDE10" s="2"/>
      <c r="RDF10" s="2"/>
      <c r="RDG10" s="2"/>
      <c r="RDH10" s="2"/>
      <c r="RDI10" s="2"/>
      <c r="RDJ10" s="2"/>
      <c r="RDK10" s="2"/>
      <c r="RDL10" s="2"/>
      <c r="RDM10" s="2"/>
      <c r="RDN10" s="2"/>
      <c r="RDO10" s="2"/>
      <c r="RDP10" s="2"/>
      <c r="RDQ10" s="2"/>
      <c r="RDR10" s="2"/>
      <c r="RDS10" s="2"/>
      <c r="RDT10" s="2"/>
      <c r="RDU10" s="2"/>
      <c r="RDV10" s="2"/>
      <c r="RDW10" s="2"/>
      <c r="RDX10" s="2"/>
      <c r="RDY10" s="2"/>
      <c r="RDZ10" s="2"/>
      <c r="REA10" s="2"/>
      <c r="REB10" s="2"/>
      <c r="REC10" s="2"/>
      <c r="RED10" s="2"/>
      <c r="REE10" s="2"/>
      <c r="REF10" s="2"/>
      <c r="REG10" s="2"/>
      <c r="REH10" s="2"/>
      <c r="REI10" s="2"/>
      <c r="REJ10" s="2"/>
      <c r="REK10" s="2"/>
      <c r="REL10" s="2"/>
      <c r="REM10" s="2"/>
      <c r="REN10" s="2"/>
      <c r="REO10" s="2"/>
      <c r="REP10" s="2"/>
      <c r="REQ10" s="2"/>
      <c r="RER10" s="2"/>
      <c r="RES10" s="2"/>
      <c r="RET10" s="2"/>
      <c r="REU10" s="2"/>
      <c r="REV10" s="2"/>
      <c r="REW10" s="2"/>
      <c r="REX10" s="2"/>
      <c r="REY10" s="2"/>
      <c r="REZ10" s="2"/>
      <c r="RFA10" s="2"/>
      <c r="RFB10" s="2"/>
      <c r="RFC10" s="2"/>
      <c r="RFD10" s="2"/>
      <c r="RFE10" s="2"/>
      <c r="RFF10" s="2"/>
      <c r="RFG10" s="2"/>
      <c r="RFH10" s="2"/>
      <c r="RFI10" s="2"/>
      <c r="RFJ10" s="2"/>
      <c r="RFK10" s="2"/>
      <c r="RFL10" s="2"/>
      <c r="RFM10" s="2"/>
      <c r="RFN10" s="2"/>
      <c r="RFO10" s="2"/>
      <c r="RFP10" s="2"/>
      <c r="RFQ10" s="2"/>
      <c r="RFR10" s="2"/>
      <c r="RFS10" s="2"/>
      <c r="RFT10" s="2"/>
      <c r="RFU10" s="2"/>
      <c r="RFV10" s="2"/>
      <c r="RFW10" s="2"/>
      <c r="RFX10" s="2"/>
      <c r="RFY10" s="2"/>
      <c r="RFZ10" s="2"/>
      <c r="RGA10" s="2"/>
      <c r="RGB10" s="2"/>
      <c r="RGC10" s="2"/>
      <c r="RGD10" s="2"/>
      <c r="RGE10" s="2"/>
      <c r="RGF10" s="2"/>
      <c r="RGG10" s="2"/>
      <c r="RGH10" s="2"/>
      <c r="RGI10" s="2"/>
      <c r="RGJ10" s="2"/>
      <c r="RGK10" s="2"/>
      <c r="RGL10" s="2"/>
      <c r="RGM10" s="2"/>
      <c r="RGN10" s="2"/>
      <c r="RGO10" s="2"/>
      <c r="RGP10" s="2"/>
      <c r="RGQ10" s="2"/>
      <c r="RGR10" s="2"/>
      <c r="RGS10" s="2"/>
      <c r="RGT10" s="2"/>
      <c r="RGU10" s="2"/>
      <c r="RGV10" s="2"/>
      <c r="RGW10" s="2"/>
      <c r="RGX10" s="2"/>
      <c r="RGY10" s="2"/>
      <c r="RGZ10" s="2"/>
      <c r="RHA10" s="2"/>
      <c r="RHB10" s="2"/>
      <c r="RHC10" s="2"/>
      <c r="RHD10" s="2"/>
      <c r="RHE10" s="2"/>
      <c r="RHF10" s="2"/>
      <c r="RHG10" s="2"/>
      <c r="RHH10" s="2"/>
      <c r="RHI10" s="2"/>
      <c r="RHJ10" s="2"/>
      <c r="RHK10" s="2"/>
      <c r="RHL10" s="2"/>
      <c r="RHM10" s="2"/>
      <c r="RHN10" s="2"/>
      <c r="RHO10" s="2"/>
      <c r="RHP10" s="2"/>
      <c r="RHQ10" s="2"/>
      <c r="RHR10" s="2"/>
      <c r="RHS10" s="2"/>
      <c r="RHT10" s="2"/>
      <c r="RHU10" s="2"/>
      <c r="RHV10" s="2"/>
      <c r="RHW10" s="2"/>
      <c r="RHX10" s="2"/>
      <c r="RHY10" s="2"/>
      <c r="RHZ10" s="2"/>
      <c r="RIA10" s="2"/>
      <c r="RIB10" s="2"/>
      <c r="RIC10" s="2"/>
      <c r="RID10" s="2"/>
      <c r="RIE10" s="2"/>
      <c r="RIF10" s="2"/>
      <c r="RIG10" s="2"/>
      <c r="RIH10" s="2"/>
      <c r="RII10" s="2"/>
      <c r="RIJ10" s="2"/>
      <c r="RIK10" s="2"/>
      <c r="RIL10" s="2"/>
      <c r="RIM10" s="2"/>
      <c r="RIN10" s="2"/>
      <c r="RIO10" s="2"/>
      <c r="RIP10" s="2"/>
      <c r="RIQ10" s="2"/>
      <c r="RIR10" s="2"/>
      <c r="RIS10" s="2"/>
      <c r="RIT10" s="2"/>
      <c r="RIU10" s="2"/>
      <c r="RIV10" s="2"/>
      <c r="RIW10" s="2"/>
      <c r="RIX10" s="2"/>
      <c r="RIY10" s="2"/>
      <c r="RIZ10" s="2"/>
      <c r="RJA10" s="2"/>
      <c r="RJB10" s="2"/>
      <c r="RJC10" s="2"/>
      <c r="RJD10" s="2"/>
      <c r="RJE10" s="2"/>
      <c r="RJF10" s="2"/>
      <c r="RJG10" s="2"/>
      <c r="RJH10" s="2"/>
      <c r="RJI10" s="2"/>
      <c r="RJJ10" s="2"/>
      <c r="RJK10" s="2"/>
      <c r="RJL10" s="2"/>
      <c r="RJM10" s="2"/>
      <c r="RJN10" s="2"/>
      <c r="RJO10" s="2"/>
      <c r="RJP10" s="2"/>
      <c r="RJQ10" s="2"/>
      <c r="RJR10" s="2"/>
      <c r="RJS10" s="2"/>
      <c r="RJT10" s="2"/>
      <c r="RJU10" s="2"/>
      <c r="RJV10" s="2"/>
      <c r="RJW10" s="2"/>
      <c r="RJX10" s="2"/>
      <c r="RJY10" s="2"/>
      <c r="RJZ10" s="2"/>
      <c r="RKA10" s="2"/>
      <c r="RKB10" s="2"/>
      <c r="RKC10" s="2"/>
      <c r="RKD10" s="2"/>
      <c r="RKE10" s="2"/>
      <c r="RKF10" s="2"/>
      <c r="RKG10" s="2"/>
      <c r="RKH10" s="2"/>
      <c r="RKI10" s="2"/>
      <c r="RKJ10" s="2"/>
      <c r="RKK10" s="2"/>
      <c r="RKL10" s="2"/>
      <c r="RKM10" s="2"/>
      <c r="RKN10" s="2"/>
      <c r="RKO10" s="2"/>
      <c r="RKP10" s="2"/>
      <c r="RKQ10" s="2"/>
      <c r="RKR10" s="2"/>
      <c r="RKS10" s="2"/>
      <c r="RKT10" s="2"/>
      <c r="RKU10" s="2"/>
      <c r="RKV10" s="2"/>
      <c r="RKW10" s="2"/>
      <c r="RKX10" s="2"/>
      <c r="RKY10" s="2"/>
      <c r="RKZ10" s="2"/>
      <c r="RLA10" s="2"/>
      <c r="RLB10" s="2"/>
      <c r="RLC10" s="2"/>
      <c r="RLD10" s="2"/>
      <c r="RLE10" s="2"/>
      <c r="RLF10" s="2"/>
      <c r="RLG10" s="2"/>
      <c r="RLH10" s="2"/>
      <c r="RLI10" s="2"/>
      <c r="RLJ10" s="2"/>
      <c r="RLK10" s="2"/>
      <c r="RLL10" s="2"/>
      <c r="RLM10" s="2"/>
      <c r="RLN10" s="2"/>
      <c r="RLO10" s="2"/>
      <c r="RLP10" s="2"/>
      <c r="RLQ10" s="2"/>
      <c r="RLR10" s="2"/>
      <c r="RLS10" s="2"/>
      <c r="RLT10" s="2"/>
      <c r="RLU10" s="2"/>
      <c r="RLV10" s="2"/>
      <c r="RLW10" s="2"/>
      <c r="RLX10" s="2"/>
      <c r="RLY10" s="2"/>
      <c r="RLZ10" s="2"/>
      <c r="RMA10" s="2"/>
      <c r="RMB10" s="2"/>
      <c r="RMC10" s="2"/>
      <c r="RMD10" s="2"/>
      <c r="RME10" s="2"/>
      <c r="RMF10" s="2"/>
      <c r="RMG10" s="2"/>
      <c r="RMH10" s="2"/>
      <c r="RMI10" s="2"/>
      <c r="RMJ10" s="2"/>
      <c r="RMK10" s="2"/>
      <c r="RML10" s="2"/>
      <c r="RMM10" s="2"/>
      <c r="RMN10" s="2"/>
      <c r="RMO10" s="2"/>
      <c r="RMP10" s="2"/>
      <c r="RMQ10" s="2"/>
      <c r="RMR10" s="2"/>
      <c r="RMS10" s="2"/>
      <c r="RMT10" s="2"/>
      <c r="RMU10" s="2"/>
      <c r="RMV10" s="2"/>
      <c r="RMW10" s="2"/>
      <c r="RMX10" s="2"/>
      <c r="RMY10" s="2"/>
      <c r="RMZ10" s="2"/>
      <c r="RNA10" s="2"/>
      <c r="RNB10" s="2"/>
      <c r="RNC10" s="2"/>
      <c r="RND10" s="2"/>
      <c r="RNE10" s="2"/>
      <c r="RNF10" s="2"/>
      <c r="RNG10" s="2"/>
      <c r="RNH10" s="2"/>
      <c r="RNI10" s="2"/>
      <c r="RNJ10" s="2"/>
      <c r="RNK10" s="2"/>
      <c r="RNL10" s="2"/>
      <c r="RNM10" s="2"/>
      <c r="RNN10" s="2"/>
      <c r="RNO10" s="2"/>
      <c r="RNP10" s="2"/>
      <c r="RNQ10" s="2"/>
      <c r="RNR10" s="2"/>
      <c r="RNS10" s="2"/>
      <c r="RNT10" s="2"/>
      <c r="RNU10" s="2"/>
      <c r="RNV10" s="2"/>
      <c r="RNW10" s="2"/>
      <c r="RNX10" s="2"/>
      <c r="RNY10" s="2"/>
      <c r="RNZ10" s="2"/>
      <c r="ROA10" s="2"/>
      <c r="ROB10" s="2"/>
      <c r="ROC10" s="2"/>
      <c r="ROD10" s="2"/>
      <c r="ROE10" s="2"/>
      <c r="ROF10" s="2"/>
      <c r="ROG10" s="2"/>
      <c r="ROH10" s="2"/>
      <c r="ROI10" s="2"/>
      <c r="ROJ10" s="2"/>
      <c r="ROK10" s="2"/>
      <c r="ROL10" s="2"/>
      <c r="ROM10" s="2"/>
      <c r="RON10" s="2"/>
      <c r="ROO10" s="2"/>
      <c r="ROP10" s="2"/>
      <c r="ROQ10" s="2"/>
      <c r="ROR10" s="2"/>
      <c r="ROS10" s="2"/>
      <c r="ROT10" s="2"/>
      <c r="ROU10" s="2"/>
      <c r="ROV10" s="2"/>
      <c r="ROW10" s="2"/>
      <c r="ROX10" s="2"/>
      <c r="ROY10" s="2"/>
      <c r="ROZ10" s="2"/>
      <c r="RPA10" s="2"/>
      <c r="RPB10" s="2"/>
      <c r="RPC10" s="2"/>
      <c r="RPD10" s="2"/>
      <c r="RPE10" s="2"/>
      <c r="RPF10" s="2"/>
      <c r="RPG10" s="2"/>
      <c r="RPH10" s="2"/>
      <c r="RPI10" s="2"/>
      <c r="RPJ10" s="2"/>
      <c r="RPK10" s="2"/>
      <c r="RPL10" s="2"/>
      <c r="RPM10" s="2"/>
      <c r="RPN10" s="2"/>
      <c r="RPO10" s="2"/>
      <c r="RPP10" s="2"/>
      <c r="RPQ10" s="2"/>
      <c r="RPR10" s="2"/>
      <c r="RPS10" s="2"/>
      <c r="RPT10" s="2"/>
      <c r="RPU10" s="2"/>
      <c r="RPV10" s="2"/>
      <c r="RPW10" s="2"/>
      <c r="RPX10" s="2"/>
      <c r="RPY10" s="2"/>
      <c r="RPZ10" s="2"/>
      <c r="RQA10" s="2"/>
      <c r="RQB10" s="2"/>
      <c r="RQC10" s="2"/>
      <c r="RQD10" s="2"/>
      <c r="RQE10" s="2"/>
      <c r="RQF10" s="2"/>
      <c r="RQG10" s="2"/>
      <c r="RQH10" s="2"/>
      <c r="RQI10" s="2"/>
      <c r="RQJ10" s="2"/>
      <c r="RQK10" s="2"/>
      <c r="RQL10" s="2"/>
      <c r="RQM10" s="2"/>
      <c r="RQN10" s="2"/>
      <c r="RQO10" s="2"/>
      <c r="RQP10" s="2"/>
      <c r="RQQ10" s="2"/>
      <c r="RQR10" s="2"/>
      <c r="RQS10" s="2"/>
      <c r="RQT10" s="2"/>
      <c r="RQU10" s="2"/>
      <c r="RQV10" s="2"/>
      <c r="RQW10" s="2"/>
      <c r="RQX10" s="2"/>
      <c r="RQY10" s="2"/>
      <c r="RQZ10" s="2"/>
      <c r="RRA10" s="2"/>
      <c r="RRB10" s="2"/>
      <c r="RRC10" s="2"/>
      <c r="RRD10" s="2"/>
      <c r="RRE10" s="2"/>
      <c r="RRF10" s="2"/>
      <c r="RRG10" s="2"/>
      <c r="RRH10" s="2"/>
      <c r="RRI10" s="2"/>
      <c r="RRJ10" s="2"/>
      <c r="RRK10" s="2"/>
      <c r="RRL10" s="2"/>
      <c r="RRM10" s="2"/>
      <c r="RRN10" s="2"/>
      <c r="RRO10" s="2"/>
      <c r="RRP10" s="2"/>
      <c r="RRQ10" s="2"/>
      <c r="RRR10" s="2"/>
      <c r="RRS10" s="2"/>
      <c r="RRT10" s="2"/>
      <c r="RRU10" s="2"/>
      <c r="RRV10" s="2"/>
      <c r="RRW10" s="2"/>
      <c r="RRX10" s="2"/>
      <c r="RRY10" s="2"/>
      <c r="RRZ10" s="2"/>
      <c r="RSA10" s="2"/>
      <c r="RSB10" s="2"/>
      <c r="RSC10" s="2"/>
      <c r="RSD10" s="2"/>
      <c r="RSE10" s="2"/>
      <c r="RSF10" s="2"/>
      <c r="RSG10" s="2"/>
      <c r="RSH10" s="2"/>
      <c r="RSI10" s="2"/>
      <c r="RSJ10" s="2"/>
      <c r="RSK10" s="2"/>
      <c r="RSL10" s="2"/>
      <c r="RSM10" s="2"/>
      <c r="RSN10" s="2"/>
      <c r="RSO10" s="2"/>
      <c r="RSP10" s="2"/>
      <c r="RSQ10" s="2"/>
      <c r="RSR10" s="2"/>
      <c r="RSS10" s="2"/>
      <c r="RST10" s="2"/>
      <c r="RSU10" s="2"/>
      <c r="RSV10" s="2"/>
      <c r="RSW10" s="2"/>
      <c r="RSX10" s="2"/>
      <c r="RSY10" s="2"/>
      <c r="RSZ10" s="2"/>
      <c r="RTA10" s="2"/>
      <c r="RTB10" s="2"/>
      <c r="RTC10" s="2"/>
      <c r="RTD10" s="2"/>
      <c r="RTE10" s="2"/>
      <c r="RTF10" s="2"/>
      <c r="RTG10" s="2"/>
      <c r="RTH10" s="2"/>
      <c r="RTI10" s="2"/>
      <c r="RTJ10" s="2"/>
      <c r="RTK10" s="2"/>
      <c r="RTL10" s="2"/>
      <c r="RTM10" s="2"/>
      <c r="RTN10" s="2"/>
      <c r="RTO10" s="2"/>
      <c r="RTP10" s="2"/>
      <c r="RTQ10" s="2"/>
      <c r="RTR10" s="2"/>
      <c r="RTS10" s="2"/>
      <c r="RTT10" s="2"/>
      <c r="RTU10" s="2"/>
      <c r="RTV10" s="2"/>
      <c r="RTW10" s="2"/>
      <c r="RTX10" s="2"/>
      <c r="RTY10" s="2"/>
      <c r="RTZ10" s="2"/>
      <c r="RUA10" s="2"/>
      <c r="RUB10" s="2"/>
      <c r="RUC10" s="2"/>
      <c r="RUD10" s="2"/>
      <c r="RUE10" s="2"/>
      <c r="RUF10" s="2"/>
      <c r="RUG10" s="2"/>
      <c r="RUH10" s="2"/>
      <c r="RUI10" s="2"/>
      <c r="RUJ10" s="2"/>
      <c r="RUK10" s="2"/>
      <c r="RUL10" s="2"/>
      <c r="RUM10" s="2"/>
      <c r="RUN10" s="2"/>
      <c r="RUO10" s="2"/>
      <c r="RUP10" s="2"/>
      <c r="RUQ10" s="2"/>
      <c r="RUR10" s="2"/>
      <c r="RUS10" s="2"/>
      <c r="RUT10" s="2"/>
      <c r="RUU10" s="2"/>
      <c r="RUV10" s="2"/>
      <c r="RUW10" s="2"/>
      <c r="RUX10" s="2"/>
      <c r="RUY10" s="2"/>
      <c r="RUZ10" s="2"/>
      <c r="RVA10" s="2"/>
      <c r="RVB10" s="2"/>
      <c r="RVC10" s="2"/>
      <c r="RVD10" s="2"/>
      <c r="RVE10" s="2"/>
      <c r="RVF10" s="2"/>
      <c r="RVG10" s="2"/>
      <c r="RVH10" s="2"/>
      <c r="RVI10" s="2"/>
      <c r="RVJ10" s="2"/>
      <c r="RVK10" s="2"/>
      <c r="RVL10" s="2"/>
      <c r="RVM10" s="2"/>
      <c r="RVN10" s="2"/>
      <c r="RVO10" s="2"/>
      <c r="RVP10" s="2"/>
      <c r="RVQ10" s="2"/>
      <c r="RVR10" s="2"/>
      <c r="RVS10" s="2"/>
      <c r="RVT10" s="2"/>
      <c r="RVU10" s="2"/>
      <c r="RVV10" s="2"/>
      <c r="RVW10" s="2"/>
      <c r="RVX10" s="2"/>
      <c r="RVY10" s="2"/>
      <c r="RVZ10" s="2"/>
      <c r="RWA10" s="2"/>
      <c r="RWB10" s="2"/>
      <c r="RWC10" s="2"/>
      <c r="RWD10" s="2"/>
      <c r="RWE10" s="2"/>
      <c r="RWF10" s="2"/>
      <c r="RWG10" s="2"/>
      <c r="RWH10" s="2"/>
      <c r="RWI10" s="2"/>
      <c r="RWJ10" s="2"/>
      <c r="RWK10" s="2"/>
      <c r="RWL10" s="2"/>
      <c r="RWM10" s="2"/>
      <c r="RWN10" s="2"/>
      <c r="RWO10" s="2"/>
      <c r="RWP10" s="2"/>
      <c r="RWQ10" s="2"/>
      <c r="RWR10" s="2"/>
      <c r="RWS10" s="2"/>
      <c r="RWT10" s="2"/>
      <c r="RWU10" s="2"/>
      <c r="RWV10" s="2"/>
      <c r="RWW10" s="2"/>
      <c r="RWX10" s="2"/>
      <c r="RWY10" s="2"/>
      <c r="RWZ10" s="2"/>
      <c r="RXA10" s="2"/>
      <c r="RXB10" s="2"/>
      <c r="RXC10" s="2"/>
      <c r="RXD10" s="2"/>
      <c r="RXE10" s="2"/>
      <c r="RXF10" s="2"/>
      <c r="RXG10" s="2"/>
      <c r="RXH10" s="2"/>
      <c r="RXI10" s="2"/>
      <c r="RXJ10" s="2"/>
      <c r="RXK10" s="2"/>
      <c r="RXL10" s="2"/>
      <c r="RXM10" s="2"/>
      <c r="RXN10" s="2"/>
      <c r="RXO10" s="2"/>
      <c r="RXP10" s="2"/>
      <c r="RXQ10" s="2"/>
      <c r="RXR10" s="2"/>
      <c r="RXS10" s="2"/>
      <c r="RXT10" s="2"/>
      <c r="RXU10" s="2"/>
      <c r="RXV10" s="2"/>
      <c r="RXW10" s="2"/>
      <c r="RXX10" s="2"/>
      <c r="RXY10" s="2"/>
      <c r="RXZ10" s="2"/>
      <c r="RYA10" s="2"/>
      <c r="RYB10" s="2"/>
      <c r="RYC10" s="2"/>
      <c r="RYD10" s="2"/>
      <c r="RYE10" s="2"/>
      <c r="RYF10" s="2"/>
      <c r="RYG10" s="2"/>
      <c r="RYH10" s="2"/>
      <c r="RYI10" s="2"/>
      <c r="RYJ10" s="2"/>
      <c r="RYK10" s="2"/>
      <c r="RYL10" s="2"/>
      <c r="RYM10" s="2"/>
      <c r="RYN10" s="2"/>
      <c r="RYO10" s="2"/>
      <c r="RYP10" s="2"/>
      <c r="RYQ10" s="2"/>
      <c r="RYR10" s="2"/>
      <c r="RYS10" s="2"/>
      <c r="RYT10" s="2"/>
      <c r="RYU10" s="2"/>
      <c r="RYV10" s="2"/>
      <c r="RYW10" s="2"/>
      <c r="RYX10" s="2"/>
      <c r="RYY10" s="2"/>
      <c r="RYZ10" s="2"/>
      <c r="RZA10" s="2"/>
      <c r="RZB10" s="2"/>
      <c r="RZC10" s="2"/>
      <c r="RZD10" s="2"/>
      <c r="RZE10" s="2"/>
      <c r="RZF10" s="2"/>
      <c r="RZG10" s="2"/>
      <c r="RZH10" s="2"/>
      <c r="RZI10" s="2"/>
      <c r="RZJ10" s="2"/>
      <c r="RZK10" s="2"/>
      <c r="RZL10" s="2"/>
      <c r="RZM10" s="2"/>
      <c r="RZN10" s="2"/>
      <c r="RZO10" s="2"/>
      <c r="RZP10" s="2"/>
      <c r="RZQ10" s="2"/>
      <c r="RZR10" s="2"/>
      <c r="RZS10" s="2"/>
      <c r="RZT10" s="2"/>
      <c r="RZU10" s="2"/>
      <c r="RZV10" s="2"/>
      <c r="RZW10" s="2"/>
      <c r="RZX10" s="2"/>
      <c r="RZY10" s="2"/>
      <c r="RZZ10" s="2"/>
      <c r="SAA10" s="2"/>
      <c r="SAB10" s="2"/>
      <c r="SAC10" s="2"/>
      <c r="SAD10" s="2"/>
      <c r="SAE10" s="2"/>
      <c r="SAF10" s="2"/>
      <c r="SAG10" s="2"/>
      <c r="SAH10" s="2"/>
      <c r="SAI10" s="2"/>
      <c r="SAJ10" s="2"/>
      <c r="SAK10" s="2"/>
      <c r="SAL10" s="2"/>
      <c r="SAM10" s="2"/>
      <c r="SAN10" s="2"/>
      <c r="SAO10" s="2"/>
      <c r="SAP10" s="2"/>
      <c r="SAQ10" s="2"/>
      <c r="SAR10" s="2"/>
      <c r="SAS10" s="2"/>
      <c r="SAT10" s="2"/>
      <c r="SAU10" s="2"/>
      <c r="SAV10" s="2"/>
      <c r="SAW10" s="2"/>
      <c r="SAX10" s="2"/>
      <c r="SAY10" s="2"/>
      <c r="SAZ10" s="2"/>
      <c r="SBA10" s="2"/>
      <c r="SBB10" s="2"/>
      <c r="SBC10" s="2"/>
      <c r="SBD10" s="2"/>
      <c r="SBE10" s="2"/>
      <c r="SBF10" s="2"/>
      <c r="SBG10" s="2"/>
      <c r="SBH10" s="2"/>
      <c r="SBI10" s="2"/>
      <c r="SBJ10" s="2"/>
      <c r="SBK10" s="2"/>
      <c r="SBL10" s="2"/>
      <c r="SBM10" s="2"/>
      <c r="SBN10" s="2"/>
      <c r="SBO10" s="2"/>
      <c r="SBP10" s="2"/>
      <c r="SBQ10" s="2"/>
      <c r="SBR10" s="2"/>
      <c r="SBS10" s="2"/>
      <c r="SBT10" s="2"/>
      <c r="SBU10" s="2"/>
      <c r="SBV10" s="2"/>
      <c r="SBW10" s="2"/>
      <c r="SBX10" s="2"/>
      <c r="SBY10" s="2"/>
      <c r="SBZ10" s="2"/>
      <c r="SCA10" s="2"/>
      <c r="SCB10" s="2"/>
      <c r="SCC10" s="2"/>
      <c r="SCD10" s="2"/>
      <c r="SCE10" s="2"/>
      <c r="SCF10" s="2"/>
      <c r="SCG10" s="2"/>
      <c r="SCH10" s="2"/>
      <c r="SCI10" s="2"/>
      <c r="SCJ10" s="2"/>
      <c r="SCK10" s="2"/>
      <c r="SCL10" s="2"/>
      <c r="SCM10" s="2"/>
      <c r="SCN10" s="2"/>
      <c r="SCO10" s="2"/>
      <c r="SCP10" s="2"/>
      <c r="SCQ10" s="2"/>
      <c r="SCR10" s="2"/>
      <c r="SCS10" s="2"/>
      <c r="SCT10" s="2"/>
      <c r="SCU10" s="2"/>
      <c r="SCV10" s="2"/>
      <c r="SCW10" s="2"/>
      <c r="SCX10" s="2"/>
      <c r="SCY10" s="2"/>
      <c r="SCZ10" s="2"/>
      <c r="SDA10" s="2"/>
      <c r="SDB10" s="2"/>
      <c r="SDC10" s="2"/>
      <c r="SDD10" s="2"/>
      <c r="SDE10" s="2"/>
      <c r="SDF10" s="2"/>
      <c r="SDG10" s="2"/>
      <c r="SDH10" s="2"/>
      <c r="SDI10" s="2"/>
      <c r="SDJ10" s="2"/>
      <c r="SDK10" s="2"/>
      <c r="SDL10" s="2"/>
      <c r="SDM10" s="2"/>
      <c r="SDN10" s="2"/>
      <c r="SDO10" s="2"/>
      <c r="SDP10" s="2"/>
      <c r="SDQ10" s="2"/>
      <c r="SDR10" s="2"/>
      <c r="SDS10" s="2"/>
      <c r="SDT10" s="2"/>
      <c r="SDU10" s="2"/>
      <c r="SDV10" s="2"/>
      <c r="SDW10" s="2"/>
      <c r="SDX10" s="2"/>
      <c r="SDY10" s="2"/>
      <c r="SDZ10" s="2"/>
      <c r="SEA10" s="2"/>
      <c r="SEB10" s="2"/>
      <c r="SEC10" s="2"/>
      <c r="SED10" s="2"/>
      <c r="SEE10" s="2"/>
      <c r="SEF10" s="2"/>
      <c r="SEG10" s="2"/>
      <c r="SEH10" s="2"/>
      <c r="SEI10" s="2"/>
      <c r="SEJ10" s="2"/>
      <c r="SEK10" s="2"/>
      <c r="SEL10" s="2"/>
      <c r="SEM10" s="2"/>
      <c r="SEN10" s="2"/>
      <c r="SEO10" s="2"/>
      <c r="SEP10" s="2"/>
      <c r="SEQ10" s="2"/>
      <c r="SER10" s="2"/>
      <c r="SES10" s="2"/>
      <c r="SET10" s="2"/>
      <c r="SEU10" s="2"/>
      <c r="SEV10" s="2"/>
      <c r="SEW10" s="2"/>
      <c r="SEX10" s="2"/>
      <c r="SEY10" s="2"/>
      <c r="SEZ10" s="2"/>
      <c r="SFA10" s="2"/>
      <c r="SFB10" s="2"/>
      <c r="SFC10" s="2"/>
      <c r="SFD10" s="2"/>
      <c r="SFE10" s="2"/>
      <c r="SFF10" s="2"/>
      <c r="SFG10" s="2"/>
      <c r="SFH10" s="2"/>
      <c r="SFI10" s="2"/>
      <c r="SFJ10" s="2"/>
      <c r="SFK10" s="2"/>
      <c r="SFL10" s="2"/>
      <c r="SFM10" s="2"/>
      <c r="SFN10" s="2"/>
      <c r="SFO10" s="2"/>
      <c r="SFP10" s="2"/>
      <c r="SFQ10" s="2"/>
      <c r="SFR10" s="2"/>
      <c r="SFS10" s="2"/>
      <c r="SFT10" s="2"/>
      <c r="SFU10" s="2"/>
      <c r="SFV10" s="2"/>
      <c r="SFW10" s="2"/>
      <c r="SFX10" s="2"/>
      <c r="SFY10" s="2"/>
      <c r="SFZ10" s="2"/>
      <c r="SGA10" s="2"/>
      <c r="SGB10" s="2"/>
      <c r="SGC10" s="2"/>
      <c r="SGD10" s="2"/>
      <c r="SGE10" s="2"/>
      <c r="SGF10" s="2"/>
      <c r="SGG10" s="2"/>
      <c r="SGH10" s="2"/>
      <c r="SGI10" s="2"/>
      <c r="SGJ10" s="2"/>
      <c r="SGK10" s="2"/>
      <c r="SGL10" s="2"/>
      <c r="SGM10" s="2"/>
      <c r="SGN10" s="2"/>
      <c r="SGO10" s="2"/>
      <c r="SGP10" s="2"/>
      <c r="SGQ10" s="2"/>
      <c r="SGR10" s="2"/>
      <c r="SGS10" s="2"/>
      <c r="SGT10" s="2"/>
      <c r="SGU10" s="2"/>
      <c r="SGV10" s="2"/>
      <c r="SGW10" s="2"/>
      <c r="SGX10" s="2"/>
      <c r="SGY10" s="2"/>
      <c r="SGZ10" s="2"/>
      <c r="SHA10" s="2"/>
      <c r="SHB10" s="2"/>
      <c r="SHC10" s="2"/>
      <c r="SHD10" s="2"/>
      <c r="SHE10" s="2"/>
      <c r="SHF10" s="2"/>
      <c r="SHG10" s="2"/>
      <c r="SHH10" s="2"/>
      <c r="SHI10" s="2"/>
      <c r="SHJ10" s="2"/>
      <c r="SHK10" s="2"/>
      <c r="SHL10" s="2"/>
      <c r="SHM10" s="2"/>
      <c r="SHN10" s="2"/>
      <c r="SHO10" s="2"/>
      <c r="SHP10" s="2"/>
      <c r="SHQ10" s="2"/>
      <c r="SHR10" s="2"/>
      <c r="SHS10" s="2"/>
      <c r="SHT10" s="2"/>
      <c r="SHU10" s="2"/>
      <c r="SHV10" s="2"/>
      <c r="SHW10" s="2"/>
      <c r="SHX10" s="2"/>
      <c r="SHY10" s="2"/>
      <c r="SHZ10" s="2"/>
      <c r="SIA10" s="2"/>
      <c r="SIB10" s="2"/>
      <c r="SIC10" s="2"/>
      <c r="SID10" s="2"/>
      <c r="SIE10" s="2"/>
      <c r="SIF10" s="2"/>
      <c r="SIG10" s="2"/>
      <c r="SIH10" s="2"/>
      <c r="SII10" s="2"/>
      <c r="SIJ10" s="2"/>
      <c r="SIK10" s="2"/>
      <c r="SIL10" s="2"/>
      <c r="SIM10" s="2"/>
      <c r="SIN10" s="2"/>
      <c r="SIO10" s="2"/>
      <c r="SIP10" s="2"/>
      <c r="SIQ10" s="2"/>
      <c r="SIR10" s="2"/>
      <c r="SIS10" s="2"/>
      <c r="SIT10" s="2"/>
      <c r="SIU10" s="2"/>
      <c r="SIV10" s="2"/>
      <c r="SIW10" s="2"/>
      <c r="SIX10" s="2"/>
      <c r="SIY10" s="2"/>
      <c r="SIZ10" s="2"/>
      <c r="SJA10" s="2"/>
      <c r="SJB10" s="2"/>
      <c r="SJC10" s="2"/>
      <c r="SJD10" s="2"/>
      <c r="SJE10" s="2"/>
      <c r="SJF10" s="2"/>
      <c r="SJG10" s="2"/>
      <c r="SJH10" s="2"/>
      <c r="SJI10" s="2"/>
      <c r="SJJ10" s="2"/>
      <c r="SJK10" s="2"/>
      <c r="SJL10" s="2"/>
      <c r="SJM10" s="2"/>
      <c r="SJN10" s="2"/>
      <c r="SJO10" s="2"/>
      <c r="SJP10" s="2"/>
      <c r="SJQ10" s="2"/>
      <c r="SJR10" s="2"/>
      <c r="SJS10" s="2"/>
      <c r="SJT10" s="2"/>
      <c r="SJU10" s="2"/>
      <c r="SJV10" s="2"/>
      <c r="SJW10" s="2"/>
      <c r="SJX10" s="2"/>
      <c r="SJY10" s="2"/>
      <c r="SJZ10" s="2"/>
      <c r="SKA10" s="2"/>
      <c r="SKB10" s="2"/>
      <c r="SKC10" s="2"/>
      <c r="SKD10" s="2"/>
      <c r="SKE10" s="2"/>
      <c r="SKF10" s="2"/>
      <c r="SKG10" s="2"/>
      <c r="SKH10" s="2"/>
      <c r="SKI10" s="2"/>
      <c r="SKJ10" s="2"/>
      <c r="SKK10" s="2"/>
      <c r="SKL10" s="2"/>
      <c r="SKM10" s="2"/>
      <c r="SKN10" s="2"/>
      <c r="SKO10" s="2"/>
      <c r="SKP10" s="2"/>
      <c r="SKQ10" s="2"/>
      <c r="SKR10" s="2"/>
      <c r="SKS10" s="2"/>
      <c r="SKT10" s="2"/>
      <c r="SKU10" s="2"/>
      <c r="SKV10" s="2"/>
      <c r="SKW10" s="2"/>
      <c r="SKX10" s="2"/>
      <c r="SKY10" s="2"/>
      <c r="SKZ10" s="2"/>
      <c r="SLA10" s="2"/>
      <c r="SLB10" s="2"/>
      <c r="SLC10" s="2"/>
      <c r="SLD10" s="2"/>
      <c r="SLE10" s="2"/>
      <c r="SLF10" s="2"/>
      <c r="SLG10" s="2"/>
      <c r="SLH10" s="2"/>
      <c r="SLI10" s="2"/>
      <c r="SLJ10" s="2"/>
      <c r="SLK10" s="2"/>
      <c r="SLL10" s="2"/>
      <c r="SLM10" s="2"/>
      <c r="SLN10" s="2"/>
      <c r="SLO10" s="2"/>
      <c r="SLP10" s="2"/>
      <c r="SLQ10" s="2"/>
      <c r="SLR10" s="2"/>
      <c r="SLS10" s="2"/>
      <c r="SLT10" s="2"/>
      <c r="SLU10" s="2"/>
      <c r="SLV10" s="2"/>
      <c r="SLW10" s="2"/>
      <c r="SLX10" s="2"/>
      <c r="SLY10" s="2"/>
      <c r="SLZ10" s="2"/>
      <c r="SMA10" s="2"/>
      <c r="SMB10" s="2"/>
      <c r="SMC10" s="2"/>
      <c r="SMD10" s="2"/>
      <c r="SME10" s="2"/>
      <c r="SMF10" s="2"/>
      <c r="SMG10" s="2"/>
      <c r="SMH10" s="2"/>
      <c r="SMI10" s="2"/>
      <c r="SMJ10" s="2"/>
      <c r="SMK10" s="2"/>
      <c r="SML10" s="2"/>
      <c r="SMM10" s="2"/>
      <c r="SMN10" s="2"/>
      <c r="SMO10" s="2"/>
      <c r="SMP10" s="2"/>
      <c r="SMQ10" s="2"/>
      <c r="SMR10" s="2"/>
      <c r="SMS10" s="2"/>
      <c r="SMT10" s="2"/>
      <c r="SMU10" s="2"/>
      <c r="SMV10" s="2"/>
      <c r="SMW10" s="2"/>
      <c r="SMX10" s="2"/>
      <c r="SMY10" s="2"/>
      <c r="SMZ10" s="2"/>
      <c r="SNA10" s="2"/>
      <c r="SNB10" s="2"/>
      <c r="SNC10" s="2"/>
      <c r="SND10" s="2"/>
      <c r="SNE10" s="2"/>
      <c r="SNF10" s="2"/>
      <c r="SNG10" s="2"/>
      <c r="SNH10" s="2"/>
      <c r="SNI10" s="2"/>
      <c r="SNJ10" s="2"/>
      <c r="SNK10" s="2"/>
      <c r="SNL10" s="2"/>
      <c r="SNM10" s="2"/>
      <c r="SNN10" s="2"/>
      <c r="SNO10" s="2"/>
      <c r="SNP10" s="2"/>
      <c r="SNQ10" s="2"/>
      <c r="SNR10" s="2"/>
      <c r="SNS10" s="2"/>
      <c r="SNT10" s="2"/>
      <c r="SNU10" s="2"/>
      <c r="SNV10" s="2"/>
      <c r="SNW10" s="2"/>
      <c r="SNX10" s="2"/>
      <c r="SNY10" s="2"/>
      <c r="SNZ10" s="2"/>
      <c r="SOA10" s="2"/>
      <c r="SOB10" s="2"/>
      <c r="SOC10" s="2"/>
      <c r="SOD10" s="2"/>
      <c r="SOE10" s="2"/>
      <c r="SOF10" s="2"/>
      <c r="SOG10" s="2"/>
      <c r="SOH10" s="2"/>
      <c r="SOI10" s="2"/>
      <c r="SOJ10" s="2"/>
      <c r="SOK10" s="2"/>
      <c r="SOL10" s="2"/>
      <c r="SOM10" s="2"/>
      <c r="SON10" s="2"/>
      <c r="SOO10" s="2"/>
      <c r="SOP10" s="2"/>
      <c r="SOQ10" s="2"/>
      <c r="SOR10" s="2"/>
      <c r="SOS10" s="2"/>
      <c r="SOT10" s="2"/>
      <c r="SOU10" s="2"/>
      <c r="SOV10" s="2"/>
      <c r="SOW10" s="2"/>
      <c r="SOX10" s="2"/>
      <c r="SOY10" s="2"/>
      <c r="SOZ10" s="2"/>
      <c r="SPA10" s="2"/>
      <c r="SPB10" s="2"/>
      <c r="SPC10" s="2"/>
      <c r="SPD10" s="2"/>
      <c r="SPE10" s="2"/>
      <c r="SPF10" s="2"/>
      <c r="SPG10" s="2"/>
      <c r="SPH10" s="2"/>
      <c r="SPI10" s="2"/>
      <c r="SPJ10" s="2"/>
      <c r="SPK10" s="2"/>
      <c r="SPL10" s="2"/>
      <c r="SPM10" s="2"/>
      <c r="SPN10" s="2"/>
      <c r="SPO10" s="2"/>
      <c r="SPP10" s="2"/>
      <c r="SPQ10" s="2"/>
      <c r="SPR10" s="2"/>
      <c r="SPS10" s="2"/>
      <c r="SPT10" s="2"/>
      <c r="SPU10" s="2"/>
      <c r="SPV10" s="2"/>
      <c r="SPW10" s="2"/>
      <c r="SPX10" s="2"/>
      <c r="SPY10" s="2"/>
      <c r="SPZ10" s="2"/>
      <c r="SQA10" s="2"/>
      <c r="SQB10" s="2"/>
      <c r="SQC10" s="2"/>
      <c r="SQD10" s="2"/>
      <c r="SQE10" s="2"/>
      <c r="SQF10" s="2"/>
      <c r="SQG10" s="2"/>
      <c r="SQH10" s="2"/>
      <c r="SQI10" s="2"/>
      <c r="SQJ10" s="2"/>
      <c r="SQK10" s="2"/>
      <c r="SQL10" s="2"/>
      <c r="SQM10" s="2"/>
      <c r="SQN10" s="2"/>
      <c r="SQO10" s="2"/>
      <c r="SQP10" s="2"/>
      <c r="SQQ10" s="2"/>
      <c r="SQR10" s="2"/>
      <c r="SQS10" s="2"/>
      <c r="SQT10" s="2"/>
      <c r="SQU10" s="2"/>
      <c r="SQV10" s="2"/>
      <c r="SQW10" s="2"/>
      <c r="SQX10" s="2"/>
      <c r="SQY10" s="2"/>
      <c r="SQZ10" s="2"/>
      <c r="SRA10" s="2"/>
      <c r="SRB10" s="2"/>
      <c r="SRC10" s="2"/>
      <c r="SRD10" s="2"/>
      <c r="SRE10" s="2"/>
      <c r="SRF10" s="2"/>
      <c r="SRG10" s="2"/>
      <c r="SRH10" s="2"/>
      <c r="SRI10" s="2"/>
      <c r="SRJ10" s="2"/>
      <c r="SRK10" s="2"/>
      <c r="SRL10" s="2"/>
      <c r="SRM10" s="2"/>
      <c r="SRN10" s="2"/>
      <c r="SRO10" s="2"/>
      <c r="SRP10" s="2"/>
      <c r="SRQ10" s="2"/>
      <c r="SRR10" s="2"/>
      <c r="SRS10" s="2"/>
      <c r="SRT10" s="2"/>
      <c r="SRU10" s="2"/>
      <c r="SRV10" s="2"/>
      <c r="SRW10" s="2"/>
      <c r="SRX10" s="2"/>
      <c r="SRY10" s="2"/>
      <c r="SRZ10" s="2"/>
      <c r="SSA10" s="2"/>
      <c r="SSB10" s="2"/>
      <c r="SSC10" s="2"/>
      <c r="SSD10" s="2"/>
      <c r="SSE10" s="2"/>
      <c r="SSF10" s="2"/>
      <c r="SSG10" s="2"/>
      <c r="SSH10" s="2"/>
      <c r="SSI10" s="2"/>
      <c r="SSJ10" s="2"/>
      <c r="SSK10" s="2"/>
      <c r="SSL10" s="2"/>
      <c r="SSM10" s="2"/>
      <c r="SSN10" s="2"/>
      <c r="SSO10" s="2"/>
      <c r="SSP10" s="2"/>
      <c r="SSQ10" s="2"/>
      <c r="SSR10" s="2"/>
      <c r="SSS10" s="2"/>
      <c r="SST10" s="2"/>
      <c r="SSU10" s="2"/>
      <c r="SSV10" s="2"/>
      <c r="SSW10" s="2"/>
      <c r="SSX10" s="2"/>
      <c r="SSY10" s="2"/>
      <c r="SSZ10" s="2"/>
      <c r="STA10" s="2"/>
      <c r="STB10" s="2"/>
      <c r="STC10" s="2"/>
      <c r="STD10" s="2"/>
      <c r="STE10" s="2"/>
      <c r="STF10" s="2"/>
      <c r="STG10" s="2"/>
      <c r="STH10" s="2"/>
      <c r="STI10" s="2"/>
      <c r="STJ10" s="2"/>
      <c r="STK10" s="2"/>
      <c r="STL10" s="2"/>
      <c r="STM10" s="2"/>
      <c r="STN10" s="2"/>
      <c r="STO10" s="2"/>
      <c r="STP10" s="2"/>
      <c r="STQ10" s="2"/>
      <c r="STR10" s="2"/>
      <c r="STS10" s="2"/>
      <c r="STT10" s="2"/>
      <c r="STU10" s="2"/>
      <c r="STV10" s="2"/>
      <c r="STW10" s="2"/>
      <c r="STX10" s="2"/>
      <c r="STY10" s="2"/>
      <c r="STZ10" s="2"/>
      <c r="SUA10" s="2"/>
      <c r="SUB10" s="2"/>
      <c r="SUC10" s="2"/>
      <c r="SUD10" s="2"/>
      <c r="SUE10" s="2"/>
      <c r="SUF10" s="2"/>
      <c r="SUG10" s="2"/>
      <c r="SUH10" s="2"/>
      <c r="SUI10" s="2"/>
      <c r="SUJ10" s="2"/>
      <c r="SUK10" s="2"/>
      <c r="SUL10" s="2"/>
      <c r="SUM10" s="2"/>
      <c r="SUN10" s="2"/>
      <c r="SUO10" s="2"/>
      <c r="SUP10" s="2"/>
      <c r="SUQ10" s="2"/>
      <c r="SUR10" s="2"/>
      <c r="SUS10" s="2"/>
      <c r="SUT10" s="2"/>
      <c r="SUU10" s="2"/>
      <c r="SUV10" s="2"/>
      <c r="SUW10" s="2"/>
      <c r="SUX10" s="2"/>
      <c r="SUY10" s="2"/>
      <c r="SUZ10" s="2"/>
      <c r="SVA10" s="2"/>
      <c r="SVB10" s="2"/>
      <c r="SVC10" s="2"/>
      <c r="SVD10" s="2"/>
      <c r="SVE10" s="2"/>
      <c r="SVF10" s="2"/>
      <c r="SVG10" s="2"/>
      <c r="SVH10" s="2"/>
      <c r="SVI10" s="2"/>
      <c r="SVJ10" s="2"/>
      <c r="SVK10" s="2"/>
      <c r="SVL10" s="2"/>
      <c r="SVM10" s="2"/>
      <c r="SVN10" s="2"/>
      <c r="SVO10" s="2"/>
      <c r="SVP10" s="2"/>
      <c r="SVQ10" s="2"/>
      <c r="SVR10" s="2"/>
      <c r="SVS10" s="2"/>
      <c r="SVT10" s="2"/>
      <c r="SVU10" s="2"/>
      <c r="SVV10" s="2"/>
      <c r="SVW10" s="2"/>
      <c r="SVX10" s="2"/>
      <c r="SVY10" s="2"/>
      <c r="SVZ10" s="2"/>
      <c r="SWA10" s="2"/>
      <c r="SWB10" s="2"/>
      <c r="SWC10" s="2"/>
      <c r="SWD10" s="2"/>
      <c r="SWE10" s="2"/>
      <c r="SWF10" s="2"/>
      <c r="SWG10" s="2"/>
      <c r="SWH10" s="2"/>
      <c r="SWI10" s="2"/>
      <c r="SWJ10" s="2"/>
      <c r="SWK10" s="2"/>
      <c r="SWL10" s="2"/>
      <c r="SWM10" s="2"/>
      <c r="SWN10" s="2"/>
      <c r="SWO10" s="2"/>
      <c r="SWP10" s="2"/>
      <c r="SWQ10" s="2"/>
      <c r="SWR10" s="2"/>
      <c r="SWS10" s="2"/>
      <c r="SWT10" s="2"/>
      <c r="SWU10" s="2"/>
      <c r="SWV10" s="2"/>
      <c r="SWW10" s="2"/>
      <c r="SWX10" s="2"/>
      <c r="SWY10" s="2"/>
      <c r="SWZ10" s="2"/>
      <c r="SXA10" s="2"/>
      <c r="SXB10" s="2"/>
      <c r="SXC10" s="2"/>
      <c r="SXD10" s="2"/>
      <c r="SXE10" s="2"/>
      <c r="SXF10" s="2"/>
      <c r="SXG10" s="2"/>
      <c r="SXH10" s="2"/>
      <c r="SXI10" s="2"/>
      <c r="SXJ10" s="2"/>
      <c r="SXK10" s="2"/>
      <c r="SXL10" s="2"/>
      <c r="SXM10" s="2"/>
      <c r="SXN10" s="2"/>
      <c r="SXO10" s="2"/>
      <c r="SXP10" s="2"/>
      <c r="SXQ10" s="2"/>
      <c r="SXR10" s="2"/>
      <c r="SXS10" s="2"/>
      <c r="SXT10" s="2"/>
      <c r="SXU10" s="2"/>
      <c r="SXV10" s="2"/>
      <c r="SXW10" s="2"/>
      <c r="SXX10" s="2"/>
      <c r="SXY10" s="2"/>
      <c r="SXZ10" s="2"/>
      <c r="SYA10" s="2"/>
      <c r="SYB10" s="2"/>
      <c r="SYC10" s="2"/>
      <c r="SYD10" s="2"/>
      <c r="SYE10" s="2"/>
      <c r="SYF10" s="2"/>
      <c r="SYG10" s="2"/>
      <c r="SYH10" s="2"/>
      <c r="SYI10" s="2"/>
      <c r="SYJ10" s="2"/>
      <c r="SYK10" s="2"/>
      <c r="SYL10" s="2"/>
      <c r="SYM10" s="2"/>
      <c r="SYN10" s="2"/>
      <c r="SYO10" s="2"/>
      <c r="SYP10" s="2"/>
      <c r="SYQ10" s="2"/>
      <c r="SYR10" s="2"/>
      <c r="SYS10" s="2"/>
      <c r="SYT10" s="2"/>
      <c r="SYU10" s="2"/>
      <c r="SYV10" s="2"/>
      <c r="SYW10" s="2"/>
      <c r="SYX10" s="2"/>
      <c r="SYY10" s="2"/>
      <c r="SYZ10" s="2"/>
      <c r="SZA10" s="2"/>
      <c r="SZB10" s="2"/>
      <c r="SZC10" s="2"/>
      <c r="SZD10" s="2"/>
      <c r="SZE10" s="2"/>
      <c r="SZF10" s="2"/>
      <c r="SZG10" s="2"/>
      <c r="SZH10" s="2"/>
      <c r="SZI10" s="2"/>
      <c r="SZJ10" s="2"/>
      <c r="SZK10" s="2"/>
      <c r="SZL10" s="2"/>
      <c r="SZM10" s="2"/>
      <c r="SZN10" s="2"/>
      <c r="SZO10" s="2"/>
      <c r="SZP10" s="2"/>
      <c r="SZQ10" s="2"/>
      <c r="SZR10" s="2"/>
      <c r="SZS10" s="2"/>
      <c r="SZT10" s="2"/>
      <c r="SZU10" s="2"/>
      <c r="SZV10" s="2"/>
      <c r="SZW10" s="2"/>
      <c r="SZX10" s="2"/>
      <c r="SZY10" s="2"/>
      <c r="SZZ10" s="2"/>
      <c r="TAA10" s="2"/>
      <c r="TAB10" s="2"/>
      <c r="TAC10" s="2"/>
      <c r="TAD10" s="2"/>
      <c r="TAE10" s="2"/>
      <c r="TAF10" s="2"/>
      <c r="TAG10" s="2"/>
      <c r="TAH10" s="2"/>
      <c r="TAI10" s="2"/>
      <c r="TAJ10" s="2"/>
      <c r="TAK10" s="2"/>
      <c r="TAL10" s="2"/>
      <c r="TAM10" s="2"/>
      <c r="TAN10" s="2"/>
      <c r="TAO10" s="2"/>
      <c r="TAP10" s="2"/>
      <c r="TAQ10" s="2"/>
      <c r="TAR10" s="2"/>
      <c r="TAS10" s="2"/>
      <c r="TAT10" s="2"/>
      <c r="TAU10" s="2"/>
      <c r="TAV10" s="2"/>
      <c r="TAW10" s="2"/>
      <c r="TAX10" s="2"/>
      <c r="TAY10" s="2"/>
      <c r="TAZ10" s="2"/>
      <c r="TBA10" s="2"/>
      <c r="TBB10" s="2"/>
      <c r="TBC10" s="2"/>
      <c r="TBD10" s="2"/>
      <c r="TBE10" s="2"/>
      <c r="TBF10" s="2"/>
      <c r="TBG10" s="2"/>
      <c r="TBH10" s="2"/>
      <c r="TBI10" s="2"/>
      <c r="TBJ10" s="2"/>
      <c r="TBK10" s="2"/>
      <c r="TBL10" s="2"/>
      <c r="TBM10" s="2"/>
      <c r="TBN10" s="2"/>
      <c r="TBO10" s="2"/>
      <c r="TBP10" s="2"/>
      <c r="TBQ10" s="2"/>
      <c r="TBR10" s="2"/>
      <c r="TBS10" s="2"/>
      <c r="TBT10" s="2"/>
      <c r="TBU10" s="2"/>
      <c r="TBV10" s="2"/>
      <c r="TBW10" s="2"/>
      <c r="TBX10" s="2"/>
      <c r="TBY10" s="2"/>
      <c r="TBZ10" s="2"/>
      <c r="TCA10" s="2"/>
      <c r="TCB10" s="2"/>
      <c r="TCC10" s="2"/>
      <c r="TCD10" s="2"/>
      <c r="TCE10" s="2"/>
      <c r="TCF10" s="2"/>
      <c r="TCG10" s="2"/>
      <c r="TCH10" s="2"/>
      <c r="TCI10" s="2"/>
      <c r="TCJ10" s="2"/>
      <c r="TCK10" s="2"/>
      <c r="TCL10" s="2"/>
      <c r="TCM10" s="2"/>
      <c r="TCN10" s="2"/>
      <c r="TCO10" s="2"/>
      <c r="TCP10" s="2"/>
      <c r="TCQ10" s="2"/>
      <c r="TCR10" s="2"/>
      <c r="TCS10" s="2"/>
      <c r="TCT10" s="2"/>
      <c r="TCU10" s="2"/>
      <c r="TCV10" s="2"/>
      <c r="TCW10" s="2"/>
      <c r="TCX10" s="2"/>
      <c r="TCY10" s="2"/>
      <c r="TCZ10" s="2"/>
      <c r="TDA10" s="2"/>
      <c r="TDB10" s="2"/>
      <c r="TDC10" s="2"/>
      <c r="TDD10" s="2"/>
      <c r="TDE10" s="2"/>
      <c r="TDF10" s="2"/>
      <c r="TDG10" s="2"/>
      <c r="TDH10" s="2"/>
      <c r="TDI10" s="2"/>
      <c r="TDJ10" s="2"/>
      <c r="TDK10" s="2"/>
      <c r="TDL10" s="2"/>
      <c r="TDM10" s="2"/>
      <c r="TDN10" s="2"/>
      <c r="TDO10" s="2"/>
      <c r="TDP10" s="2"/>
      <c r="TDQ10" s="2"/>
      <c r="TDR10" s="2"/>
      <c r="TDS10" s="2"/>
      <c r="TDT10" s="2"/>
      <c r="TDU10" s="2"/>
      <c r="TDV10" s="2"/>
      <c r="TDW10" s="2"/>
      <c r="TDX10" s="2"/>
      <c r="TDY10" s="2"/>
      <c r="TDZ10" s="2"/>
      <c r="TEA10" s="2"/>
      <c r="TEB10" s="2"/>
      <c r="TEC10" s="2"/>
      <c r="TED10" s="2"/>
      <c r="TEE10" s="2"/>
      <c r="TEF10" s="2"/>
      <c r="TEG10" s="2"/>
      <c r="TEH10" s="2"/>
      <c r="TEI10" s="2"/>
      <c r="TEJ10" s="2"/>
      <c r="TEK10" s="2"/>
      <c r="TEL10" s="2"/>
      <c r="TEM10" s="2"/>
      <c r="TEN10" s="2"/>
      <c r="TEO10" s="2"/>
      <c r="TEP10" s="2"/>
      <c r="TEQ10" s="2"/>
      <c r="TER10" s="2"/>
      <c r="TES10" s="2"/>
      <c r="TET10" s="2"/>
      <c r="TEU10" s="2"/>
      <c r="TEV10" s="2"/>
      <c r="TEW10" s="2"/>
      <c r="TEX10" s="2"/>
      <c r="TEY10" s="2"/>
      <c r="TEZ10" s="2"/>
      <c r="TFA10" s="2"/>
      <c r="TFB10" s="2"/>
      <c r="TFC10" s="2"/>
      <c r="TFD10" s="2"/>
      <c r="TFE10" s="2"/>
      <c r="TFF10" s="2"/>
      <c r="TFG10" s="2"/>
      <c r="TFH10" s="2"/>
      <c r="TFI10" s="2"/>
      <c r="TFJ10" s="2"/>
      <c r="TFK10" s="2"/>
      <c r="TFL10" s="2"/>
      <c r="TFM10" s="2"/>
      <c r="TFN10" s="2"/>
      <c r="TFO10" s="2"/>
      <c r="TFP10" s="2"/>
      <c r="TFQ10" s="2"/>
      <c r="TFR10" s="2"/>
      <c r="TFS10" s="2"/>
      <c r="TFT10" s="2"/>
      <c r="TFU10" s="2"/>
      <c r="TFV10" s="2"/>
      <c r="TFW10" s="2"/>
      <c r="TFX10" s="2"/>
      <c r="TFY10" s="2"/>
      <c r="TFZ10" s="2"/>
      <c r="TGA10" s="2"/>
      <c r="TGB10" s="2"/>
      <c r="TGC10" s="2"/>
      <c r="TGD10" s="2"/>
      <c r="TGE10" s="2"/>
      <c r="TGF10" s="2"/>
      <c r="TGG10" s="2"/>
      <c r="TGH10" s="2"/>
      <c r="TGI10" s="2"/>
      <c r="TGJ10" s="2"/>
      <c r="TGK10" s="2"/>
      <c r="TGL10" s="2"/>
      <c r="TGM10" s="2"/>
      <c r="TGN10" s="2"/>
      <c r="TGO10" s="2"/>
      <c r="TGP10" s="2"/>
      <c r="TGQ10" s="2"/>
      <c r="TGR10" s="2"/>
      <c r="TGS10" s="2"/>
      <c r="TGT10" s="2"/>
      <c r="TGU10" s="2"/>
      <c r="TGV10" s="2"/>
      <c r="TGW10" s="2"/>
      <c r="TGX10" s="2"/>
      <c r="TGY10" s="2"/>
      <c r="TGZ10" s="2"/>
      <c r="THA10" s="2"/>
      <c r="THB10" s="2"/>
      <c r="THC10" s="2"/>
      <c r="THD10" s="2"/>
      <c r="THE10" s="2"/>
      <c r="THF10" s="2"/>
      <c r="THG10" s="2"/>
      <c r="THH10" s="2"/>
      <c r="THI10" s="2"/>
      <c r="THJ10" s="2"/>
      <c r="THK10" s="2"/>
      <c r="THL10" s="2"/>
      <c r="THM10" s="2"/>
      <c r="THN10" s="2"/>
      <c r="THO10" s="2"/>
      <c r="THP10" s="2"/>
      <c r="THQ10" s="2"/>
      <c r="THR10" s="2"/>
      <c r="THS10" s="2"/>
      <c r="THT10" s="2"/>
      <c r="THU10" s="2"/>
      <c r="THV10" s="2"/>
      <c r="THW10" s="2"/>
      <c r="THX10" s="2"/>
      <c r="THY10" s="2"/>
      <c r="THZ10" s="2"/>
      <c r="TIA10" s="2"/>
      <c r="TIB10" s="2"/>
      <c r="TIC10" s="2"/>
      <c r="TID10" s="2"/>
      <c r="TIE10" s="2"/>
      <c r="TIF10" s="2"/>
      <c r="TIG10" s="2"/>
      <c r="TIH10" s="2"/>
      <c r="TII10" s="2"/>
      <c r="TIJ10" s="2"/>
      <c r="TIK10" s="2"/>
      <c r="TIL10" s="2"/>
      <c r="TIM10" s="2"/>
      <c r="TIN10" s="2"/>
      <c r="TIO10" s="2"/>
      <c r="TIP10" s="2"/>
      <c r="TIQ10" s="2"/>
      <c r="TIR10" s="2"/>
      <c r="TIS10" s="2"/>
      <c r="TIT10" s="2"/>
      <c r="TIU10" s="2"/>
      <c r="TIV10" s="2"/>
      <c r="TIW10" s="2"/>
      <c r="TIX10" s="2"/>
      <c r="TIY10" s="2"/>
      <c r="TIZ10" s="2"/>
      <c r="TJA10" s="2"/>
      <c r="TJB10" s="2"/>
      <c r="TJC10" s="2"/>
      <c r="TJD10" s="2"/>
      <c r="TJE10" s="2"/>
      <c r="TJF10" s="2"/>
      <c r="TJG10" s="2"/>
      <c r="TJH10" s="2"/>
      <c r="TJI10" s="2"/>
      <c r="TJJ10" s="2"/>
      <c r="TJK10" s="2"/>
      <c r="TJL10" s="2"/>
      <c r="TJM10" s="2"/>
      <c r="TJN10" s="2"/>
      <c r="TJO10" s="2"/>
      <c r="TJP10" s="2"/>
      <c r="TJQ10" s="2"/>
      <c r="TJR10" s="2"/>
      <c r="TJS10" s="2"/>
      <c r="TJT10" s="2"/>
      <c r="TJU10" s="2"/>
      <c r="TJV10" s="2"/>
      <c r="TJW10" s="2"/>
      <c r="TJX10" s="2"/>
      <c r="TJY10" s="2"/>
      <c r="TJZ10" s="2"/>
      <c r="TKA10" s="2"/>
      <c r="TKB10" s="2"/>
      <c r="TKC10" s="2"/>
      <c r="TKD10" s="2"/>
      <c r="TKE10" s="2"/>
      <c r="TKF10" s="2"/>
      <c r="TKG10" s="2"/>
      <c r="TKH10" s="2"/>
      <c r="TKI10" s="2"/>
      <c r="TKJ10" s="2"/>
      <c r="TKK10" s="2"/>
      <c r="TKL10" s="2"/>
      <c r="TKM10" s="2"/>
      <c r="TKN10" s="2"/>
      <c r="TKO10" s="2"/>
      <c r="TKP10" s="2"/>
      <c r="TKQ10" s="2"/>
      <c r="TKR10" s="2"/>
      <c r="TKS10" s="2"/>
      <c r="TKT10" s="2"/>
      <c r="TKU10" s="2"/>
      <c r="TKV10" s="2"/>
      <c r="TKW10" s="2"/>
      <c r="TKX10" s="2"/>
      <c r="TKY10" s="2"/>
      <c r="TKZ10" s="2"/>
      <c r="TLA10" s="2"/>
      <c r="TLB10" s="2"/>
      <c r="TLC10" s="2"/>
      <c r="TLD10" s="2"/>
      <c r="TLE10" s="2"/>
      <c r="TLF10" s="2"/>
      <c r="TLG10" s="2"/>
      <c r="TLH10" s="2"/>
      <c r="TLI10" s="2"/>
      <c r="TLJ10" s="2"/>
      <c r="TLK10" s="2"/>
      <c r="TLL10" s="2"/>
      <c r="TLM10" s="2"/>
      <c r="TLN10" s="2"/>
      <c r="TLO10" s="2"/>
      <c r="TLP10" s="2"/>
      <c r="TLQ10" s="2"/>
      <c r="TLR10" s="2"/>
      <c r="TLS10" s="2"/>
      <c r="TLT10" s="2"/>
      <c r="TLU10" s="2"/>
      <c r="TLV10" s="2"/>
      <c r="TLW10" s="2"/>
      <c r="TLX10" s="2"/>
      <c r="TLY10" s="2"/>
      <c r="TLZ10" s="2"/>
      <c r="TMA10" s="2"/>
      <c r="TMB10" s="2"/>
      <c r="TMC10" s="2"/>
      <c r="TMD10" s="2"/>
      <c r="TME10" s="2"/>
      <c r="TMF10" s="2"/>
      <c r="TMG10" s="2"/>
      <c r="TMH10" s="2"/>
      <c r="TMI10" s="2"/>
      <c r="TMJ10" s="2"/>
      <c r="TMK10" s="2"/>
      <c r="TML10" s="2"/>
      <c r="TMM10" s="2"/>
      <c r="TMN10" s="2"/>
      <c r="TMO10" s="2"/>
      <c r="TMP10" s="2"/>
      <c r="TMQ10" s="2"/>
      <c r="TMR10" s="2"/>
      <c r="TMS10" s="2"/>
      <c r="TMT10" s="2"/>
      <c r="TMU10" s="2"/>
      <c r="TMV10" s="2"/>
      <c r="TMW10" s="2"/>
      <c r="TMX10" s="2"/>
      <c r="TMY10" s="2"/>
      <c r="TMZ10" s="2"/>
      <c r="TNA10" s="2"/>
      <c r="TNB10" s="2"/>
      <c r="TNC10" s="2"/>
      <c r="TND10" s="2"/>
      <c r="TNE10" s="2"/>
      <c r="TNF10" s="2"/>
      <c r="TNG10" s="2"/>
      <c r="TNH10" s="2"/>
      <c r="TNI10" s="2"/>
      <c r="TNJ10" s="2"/>
      <c r="TNK10" s="2"/>
      <c r="TNL10" s="2"/>
      <c r="TNM10" s="2"/>
      <c r="TNN10" s="2"/>
      <c r="TNO10" s="2"/>
      <c r="TNP10" s="2"/>
      <c r="TNQ10" s="2"/>
      <c r="TNR10" s="2"/>
      <c r="TNS10" s="2"/>
      <c r="TNT10" s="2"/>
      <c r="TNU10" s="2"/>
      <c r="TNV10" s="2"/>
      <c r="TNW10" s="2"/>
      <c r="TNX10" s="2"/>
      <c r="TNY10" s="2"/>
      <c r="TNZ10" s="2"/>
      <c r="TOA10" s="2"/>
      <c r="TOB10" s="2"/>
      <c r="TOC10" s="2"/>
      <c r="TOD10" s="2"/>
      <c r="TOE10" s="2"/>
      <c r="TOF10" s="2"/>
      <c r="TOG10" s="2"/>
      <c r="TOH10" s="2"/>
      <c r="TOI10" s="2"/>
      <c r="TOJ10" s="2"/>
      <c r="TOK10" s="2"/>
      <c r="TOL10" s="2"/>
      <c r="TOM10" s="2"/>
      <c r="TON10" s="2"/>
      <c r="TOO10" s="2"/>
      <c r="TOP10" s="2"/>
      <c r="TOQ10" s="2"/>
      <c r="TOR10" s="2"/>
      <c r="TOS10" s="2"/>
      <c r="TOT10" s="2"/>
      <c r="TOU10" s="2"/>
      <c r="TOV10" s="2"/>
      <c r="TOW10" s="2"/>
      <c r="TOX10" s="2"/>
      <c r="TOY10" s="2"/>
      <c r="TOZ10" s="2"/>
      <c r="TPA10" s="2"/>
      <c r="TPB10" s="2"/>
      <c r="TPC10" s="2"/>
      <c r="TPD10" s="2"/>
      <c r="TPE10" s="2"/>
      <c r="TPF10" s="2"/>
      <c r="TPG10" s="2"/>
      <c r="TPH10" s="2"/>
      <c r="TPI10" s="2"/>
      <c r="TPJ10" s="2"/>
      <c r="TPK10" s="2"/>
      <c r="TPL10" s="2"/>
      <c r="TPM10" s="2"/>
      <c r="TPN10" s="2"/>
      <c r="TPO10" s="2"/>
      <c r="TPP10" s="2"/>
      <c r="TPQ10" s="2"/>
      <c r="TPR10" s="2"/>
      <c r="TPS10" s="2"/>
      <c r="TPT10" s="2"/>
      <c r="TPU10" s="2"/>
      <c r="TPV10" s="2"/>
      <c r="TPW10" s="2"/>
      <c r="TPX10" s="2"/>
      <c r="TPY10" s="2"/>
      <c r="TPZ10" s="2"/>
      <c r="TQA10" s="2"/>
      <c r="TQB10" s="2"/>
      <c r="TQC10" s="2"/>
      <c r="TQD10" s="2"/>
      <c r="TQE10" s="2"/>
      <c r="TQF10" s="2"/>
      <c r="TQG10" s="2"/>
      <c r="TQH10" s="2"/>
      <c r="TQI10" s="2"/>
      <c r="TQJ10" s="2"/>
      <c r="TQK10" s="2"/>
      <c r="TQL10" s="2"/>
      <c r="TQM10" s="2"/>
      <c r="TQN10" s="2"/>
      <c r="TQO10" s="2"/>
      <c r="TQP10" s="2"/>
      <c r="TQQ10" s="2"/>
      <c r="TQR10" s="2"/>
      <c r="TQS10" s="2"/>
      <c r="TQT10" s="2"/>
      <c r="TQU10" s="2"/>
      <c r="TQV10" s="2"/>
      <c r="TQW10" s="2"/>
      <c r="TQX10" s="2"/>
      <c r="TQY10" s="2"/>
      <c r="TQZ10" s="2"/>
      <c r="TRA10" s="2"/>
      <c r="TRB10" s="2"/>
      <c r="TRC10" s="2"/>
      <c r="TRD10" s="2"/>
      <c r="TRE10" s="2"/>
      <c r="TRF10" s="2"/>
      <c r="TRG10" s="2"/>
      <c r="TRH10" s="2"/>
      <c r="TRI10" s="2"/>
      <c r="TRJ10" s="2"/>
      <c r="TRK10" s="2"/>
      <c r="TRL10" s="2"/>
      <c r="TRM10" s="2"/>
      <c r="TRN10" s="2"/>
      <c r="TRO10" s="2"/>
      <c r="TRP10" s="2"/>
      <c r="TRQ10" s="2"/>
      <c r="TRR10" s="2"/>
      <c r="TRS10" s="2"/>
      <c r="TRT10" s="2"/>
      <c r="TRU10" s="2"/>
      <c r="TRV10" s="2"/>
      <c r="TRW10" s="2"/>
      <c r="TRX10" s="2"/>
      <c r="TRY10" s="2"/>
      <c r="TRZ10" s="2"/>
      <c r="TSA10" s="2"/>
      <c r="TSB10" s="2"/>
      <c r="TSC10" s="2"/>
      <c r="TSD10" s="2"/>
      <c r="TSE10" s="2"/>
      <c r="TSF10" s="2"/>
      <c r="TSG10" s="2"/>
      <c r="TSH10" s="2"/>
      <c r="TSI10" s="2"/>
      <c r="TSJ10" s="2"/>
      <c r="TSK10" s="2"/>
      <c r="TSL10" s="2"/>
      <c r="TSM10" s="2"/>
      <c r="TSN10" s="2"/>
      <c r="TSO10" s="2"/>
      <c r="TSP10" s="2"/>
      <c r="TSQ10" s="2"/>
      <c r="TSR10" s="2"/>
      <c r="TSS10" s="2"/>
      <c r="TST10" s="2"/>
      <c r="TSU10" s="2"/>
      <c r="TSV10" s="2"/>
      <c r="TSW10" s="2"/>
      <c r="TSX10" s="2"/>
      <c r="TSY10" s="2"/>
      <c r="TSZ10" s="2"/>
      <c r="TTA10" s="2"/>
      <c r="TTB10" s="2"/>
      <c r="TTC10" s="2"/>
      <c r="TTD10" s="2"/>
      <c r="TTE10" s="2"/>
      <c r="TTF10" s="2"/>
      <c r="TTG10" s="2"/>
      <c r="TTH10" s="2"/>
      <c r="TTI10" s="2"/>
      <c r="TTJ10" s="2"/>
      <c r="TTK10" s="2"/>
      <c r="TTL10" s="2"/>
      <c r="TTM10" s="2"/>
      <c r="TTN10" s="2"/>
      <c r="TTO10" s="2"/>
      <c r="TTP10" s="2"/>
      <c r="TTQ10" s="2"/>
      <c r="TTR10" s="2"/>
      <c r="TTS10" s="2"/>
      <c r="TTT10" s="2"/>
      <c r="TTU10" s="2"/>
      <c r="TTV10" s="2"/>
      <c r="TTW10" s="2"/>
      <c r="TTX10" s="2"/>
      <c r="TTY10" s="2"/>
      <c r="TTZ10" s="2"/>
      <c r="TUA10" s="2"/>
      <c r="TUB10" s="2"/>
      <c r="TUC10" s="2"/>
      <c r="TUD10" s="2"/>
      <c r="TUE10" s="2"/>
      <c r="TUF10" s="2"/>
      <c r="TUG10" s="2"/>
      <c r="TUH10" s="2"/>
      <c r="TUI10" s="2"/>
      <c r="TUJ10" s="2"/>
      <c r="TUK10" s="2"/>
      <c r="TUL10" s="2"/>
      <c r="TUM10" s="2"/>
      <c r="TUN10" s="2"/>
      <c r="TUO10" s="2"/>
      <c r="TUP10" s="2"/>
      <c r="TUQ10" s="2"/>
      <c r="TUR10" s="2"/>
      <c r="TUS10" s="2"/>
      <c r="TUT10" s="2"/>
      <c r="TUU10" s="2"/>
      <c r="TUV10" s="2"/>
      <c r="TUW10" s="2"/>
      <c r="TUX10" s="2"/>
      <c r="TUY10" s="2"/>
      <c r="TUZ10" s="2"/>
      <c r="TVA10" s="2"/>
      <c r="TVB10" s="2"/>
      <c r="TVC10" s="2"/>
      <c r="TVD10" s="2"/>
      <c r="TVE10" s="2"/>
      <c r="TVF10" s="2"/>
      <c r="TVG10" s="2"/>
      <c r="TVH10" s="2"/>
      <c r="TVI10" s="2"/>
      <c r="TVJ10" s="2"/>
      <c r="TVK10" s="2"/>
      <c r="TVL10" s="2"/>
      <c r="TVM10" s="2"/>
      <c r="TVN10" s="2"/>
      <c r="TVO10" s="2"/>
      <c r="TVP10" s="2"/>
      <c r="TVQ10" s="2"/>
      <c r="TVR10" s="2"/>
      <c r="TVS10" s="2"/>
      <c r="TVT10" s="2"/>
      <c r="TVU10" s="2"/>
      <c r="TVV10" s="2"/>
      <c r="TVW10" s="2"/>
      <c r="TVX10" s="2"/>
      <c r="TVY10" s="2"/>
      <c r="TVZ10" s="2"/>
      <c r="TWA10" s="2"/>
      <c r="TWB10" s="2"/>
      <c r="TWC10" s="2"/>
      <c r="TWD10" s="2"/>
      <c r="TWE10" s="2"/>
      <c r="TWF10" s="2"/>
      <c r="TWG10" s="2"/>
      <c r="TWH10" s="2"/>
      <c r="TWI10" s="2"/>
      <c r="TWJ10" s="2"/>
      <c r="TWK10" s="2"/>
      <c r="TWL10" s="2"/>
      <c r="TWM10" s="2"/>
      <c r="TWN10" s="2"/>
      <c r="TWO10" s="2"/>
      <c r="TWP10" s="2"/>
      <c r="TWQ10" s="2"/>
      <c r="TWR10" s="2"/>
      <c r="TWS10" s="2"/>
      <c r="TWT10" s="2"/>
      <c r="TWU10" s="2"/>
      <c r="TWV10" s="2"/>
      <c r="TWW10" s="2"/>
      <c r="TWX10" s="2"/>
      <c r="TWY10" s="2"/>
      <c r="TWZ10" s="2"/>
      <c r="TXA10" s="2"/>
      <c r="TXB10" s="2"/>
      <c r="TXC10" s="2"/>
      <c r="TXD10" s="2"/>
      <c r="TXE10" s="2"/>
      <c r="TXF10" s="2"/>
      <c r="TXG10" s="2"/>
      <c r="TXH10" s="2"/>
      <c r="TXI10" s="2"/>
      <c r="TXJ10" s="2"/>
      <c r="TXK10" s="2"/>
      <c r="TXL10" s="2"/>
      <c r="TXM10" s="2"/>
      <c r="TXN10" s="2"/>
      <c r="TXO10" s="2"/>
      <c r="TXP10" s="2"/>
      <c r="TXQ10" s="2"/>
      <c r="TXR10" s="2"/>
      <c r="TXS10" s="2"/>
      <c r="TXT10" s="2"/>
      <c r="TXU10" s="2"/>
      <c r="TXV10" s="2"/>
      <c r="TXW10" s="2"/>
      <c r="TXX10" s="2"/>
      <c r="TXY10" s="2"/>
      <c r="TXZ10" s="2"/>
      <c r="TYA10" s="2"/>
      <c r="TYB10" s="2"/>
      <c r="TYC10" s="2"/>
      <c r="TYD10" s="2"/>
      <c r="TYE10" s="2"/>
      <c r="TYF10" s="2"/>
      <c r="TYG10" s="2"/>
      <c r="TYH10" s="2"/>
      <c r="TYI10" s="2"/>
      <c r="TYJ10" s="2"/>
      <c r="TYK10" s="2"/>
      <c r="TYL10" s="2"/>
      <c r="TYM10" s="2"/>
      <c r="TYN10" s="2"/>
      <c r="TYO10" s="2"/>
      <c r="TYP10" s="2"/>
      <c r="TYQ10" s="2"/>
      <c r="TYR10" s="2"/>
      <c r="TYS10" s="2"/>
      <c r="TYT10" s="2"/>
      <c r="TYU10" s="2"/>
      <c r="TYV10" s="2"/>
      <c r="TYW10" s="2"/>
      <c r="TYX10" s="2"/>
      <c r="TYY10" s="2"/>
      <c r="TYZ10" s="2"/>
      <c r="TZA10" s="2"/>
      <c r="TZB10" s="2"/>
      <c r="TZC10" s="2"/>
      <c r="TZD10" s="2"/>
      <c r="TZE10" s="2"/>
      <c r="TZF10" s="2"/>
      <c r="TZG10" s="2"/>
      <c r="TZH10" s="2"/>
      <c r="TZI10" s="2"/>
      <c r="TZJ10" s="2"/>
      <c r="TZK10" s="2"/>
      <c r="TZL10" s="2"/>
      <c r="TZM10" s="2"/>
      <c r="TZN10" s="2"/>
      <c r="TZO10" s="2"/>
      <c r="TZP10" s="2"/>
      <c r="TZQ10" s="2"/>
      <c r="TZR10" s="2"/>
      <c r="TZS10" s="2"/>
      <c r="TZT10" s="2"/>
      <c r="TZU10" s="2"/>
      <c r="TZV10" s="2"/>
      <c r="TZW10" s="2"/>
      <c r="TZX10" s="2"/>
      <c r="TZY10" s="2"/>
      <c r="TZZ10" s="2"/>
      <c r="UAA10" s="2"/>
      <c r="UAB10" s="2"/>
      <c r="UAC10" s="2"/>
      <c r="UAD10" s="2"/>
      <c r="UAE10" s="2"/>
      <c r="UAF10" s="2"/>
      <c r="UAG10" s="2"/>
      <c r="UAH10" s="2"/>
      <c r="UAI10" s="2"/>
      <c r="UAJ10" s="2"/>
      <c r="UAK10" s="2"/>
      <c r="UAL10" s="2"/>
      <c r="UAM10" s="2"/>
      <c r="UAN10" s="2"/>
      <c r="UAO10" s="2"/>
      <c r="UAP10" s="2"/>
      <c r="UAQ10" s="2"/>
      <c r="UAR10" s="2"/>
      <c r="UAS10" s="2"/>
      <c r="UAT10" s="2"/>
      <c r="UAU10" s="2"/>
      <c r="UAV10" s="2"/>
      <c r="UAW10" s="2"/>
      <c r="UAX10" s="2"/>
      <c r="UAY10" s="2"/>
      <c r="UAZ10" s="2"/>
      <c r="UBA10" s="2"/>
      <c r="UBB10" s="2"/>
      <c r="UBC10" s="2"/>
      <c r="UBD10" s="2"/>
      <c r="UBE10" s="2"/>
      <c r="UBF10" s="2"/>
      <c r="UBG10" s="2"/>
      <c r="UBH10" s="2"/>
      <c r="UBI10" s="2"/>
      <c r="UBJ10" s="2"/>
      <c r="UBK10" s="2"/>
      <c r="UBL10" s="2"/>
      <c r="UBM10" s="2"/>
      <c r="UBN10" s="2"/>
      <c r="UBO10" s="2"/>
      <c r="UBP10" s="2"/>
      <c r="UBQ10" s="2"/>
      <c r="UBR10" s="2"/>
      <c r="UBS10" s="2"/>
      <c r="UBT10" s="2"/>
      <c r="UBU10" s="2"/>
      <c r="UBV10" s="2"/>
      <c r="UBW10" s="2"/>
      <c r="UBX10" s="2"/>
      <c r="UBY10" s="2"/>
      <c r="UBZ10" s="2"/>
      <c r="UCA10" s="2"/>
      <c r="UCB10" s="2"/>
      <c r="UCC10" s="2"/>
      <c r="UCD10" s="2"/>
      <c r="UCE10" s="2"/>
      <c r="UCF10" s="2"/>
      <c r="UCG10" s="2"/>
      <c r="UCH10" s="2"/>
      <c r="UCI10" s="2"/>
      <c r="UCJ10" s="2"/>
      <c r="UCK10" s="2"/>
      <c r="UCL10" s="2"/>
      <c r="UCM10" s="2"/>
      <c r="UCN10" s="2"/>
      <c r="UCO10" s="2"/>
      <c r="UCP10" s="2"/>
      <c r="UCQ10" s="2"/>
      <c r="UCR10" s="2"/>
      <c r="UCS10" s="2"/>
      <c r="UCT10" s="2"/>
      <c r="UCU10" s="2"/>
      <c r="UCV10" s="2"/>
      <c r="UCW10" s="2"/>
      <c r="UCX10" s="2"/>
      <c r="UCY10" s="2"/>
      <c r="UCZ10" s="2"/>
      <c r="UDA10" s="2"/>
      <c r="UDB10" s="2"/>
      <c r="UDC10" s="2"/>
      <c r="UDD10" s="2"/>
      <c r="UDE10" s="2"/>
      <c r="UDF10" s="2"/>
      <c r="UDG10" s="2"/>
      <c r="UDH10" s="2"/>
      <c r="UDI10" s="2"/>
      <c r="UDJ10" s="2"/>
      <c r="UDK10" s="2"/>
      <c r="UDL10" s="2"/>
      <c r="UDM10" s="2"/>
      <c r="UDN10" s="2"/>
      <c r="UDO10" s="2"/>
      <c r="UDP10" s="2"/>
      <c r="UDQ10" s="2"/>
      <c r="UDR10" s="2"/>
      <c r="UDS10" s="2"/>
      <c r="UDT10" s="2"/>
      <c r="UDU10" s="2"/>
      <c r="UDV10" s="2"/>
      <c r="UDW10" s="2"/>
      <c r="UDX10" s="2"/>
      <c r="UDY10" s="2"/>
      <c r="UDZ10" s="2"/>
      <c r="UEA10" s="2"/>
      <c r="UEB10" s="2"/>
      <c r="UEC10" s="2"/>
      <c r="UED10" s="2"/>
      <c r="UEE10" s="2"/>
      <c r="UEF10" s="2"/>
      <c r="UEG10" s="2"/>
      <c r="UEH10" s="2"/>
      <c r="UEI10" s="2"/>
      <c r="UEJ10" s="2"/>
      <c r="UEK10" s="2"/>
      <c r="UEL10" s="2"/>
      <c r="UEM10" s="2"/>
      <c r="UEN10" s="2"/>
      <c r="UEO10" s="2"/>
      <c r="UEP10" s="2"/>
      <c r="UEQ10" s="2"/>
      <c r="UER10" s="2"/>
      <c r="UES10" s="2"/>
      <c r="UET10" s="2"/>
      <c r="UEU10" s="2"/>
      <c r="UEV10" s="2"/>
      <c r="UEW10" s="2"/>
      <c r="UEX10" s="2"/>
      <c r="UEY10" s="2"/>
      <c r="UEZ10" s="2"/>
      <c r="UFA10" s="2"/>
      <c r="UFB10" s="2"/>
      <c r="UFC10" s="2"/>
      <c r="UFD10" s="2"/>
      <c r="UFE10" s="2"/>
      <c r="UFF10" s="2"/>
      <c r="UFG10" s="2"/>
      <c r="UFH10" s="2"/>
      <c r="UFI10" s="2"/>
      <c r="UFJ10" s="2"/>
      <c r="UFK10" s="2"/>
      <c r="UFL10" s="2"/>
      <c r="UFM10" s="2"/>
      <c r="UFN10" s="2"/>
      <c r="UFO10" s="2"/>
      <c r="UFP10" s="2"/>
      <c r="UFQ10" s="2"/>
      <c r="UFR10" s="2"/>
      <c r="UFS10" s="2"/>
      <c r="UFT10" s="2"/>
      <c r="UFU10" s="2"/>
      <c r="UFV10" s="2"/>
      <c r="UFW10" s="2"/>
      <c r="UFX10" s="2"/>
      <c r="UFY10" s="2"/>
      <c r="UFZ10" s="2"/>
      <c r="UGA10" s="2"/>
      <c r="UGB10" s="2"/>
      <c r="UGC10" s="2"/>
      <c r="UGD10" s="2"/>
      <c r="UGE10" s="2"/>
      <c r="UGF10" s="2"/>
      <c r="UGG10" s="2"/>
      <c r="UGH10" s="2"/>
      <c r="UGI10" s="2"/>
      <c r="UGJ10" s="2"/>
      <c r="UGK10" s="2"/>
      <c r="UGL10" s="2"/>
      <c r="UGM10" s="2"/>
      <c r="UGN10" s="2"/>
      <c r="UGO10" s="2"/>
      <c r="UGP10" s="2"/>
      <c r="UGQ10" s="2"/>
      <c r="UGR10" s="2"/>
      <c r="UGS10" s="2"/>
      <c r="UGT10" s="2"/>
      <c r="UGU10" s="2"/>
      <c r="UGV10" s="2"/>
      <c r="UGW10" s="2"/>
      <c r="UGX10" s="2"/>
      <c r="UGY10" s="2"/>
      <c r="UGZ10" s="2"/>
      <c r="UHA10" s="2"/>
      <c r="UHB10" s="2"/>
      <c r="UHC10" s="2"/>
      <c r="UHD10" s="2"/>
      <c r="UHE10" s="2"/>
      <c r="UHF10" s="2"/>
      <c r="UHG10" s="2"/>
      <c r="UHH10" s="2"/>
      <c r="UHI10" s="2"/>
      <c r="UHJ10" s="2"/>
      <c r="UHK10" s="2"/>
      <c r="UHL10" s="2"/>
      <c r="UHM10" s="2"/>
      <c r="UHN10" s="2"/>
      <c r="UHO10" s="2"/>
      <c r="UHP10" s="2"/>
      <c r="UHQ10" s="2"/>
      <c r="UHR10" s="2"/>
      <c r="UHS10" s="2"/>
      <c r="UHT10" s="2"/>
      <c r="UHU10" s="2"/>
      <c r="UHV10" s="2"/>
      <c r="UHW10" s="2"/>
      <c r="UHX10" s="2"/>
      <c r="UHY10" s="2"/>
      <c r="UHZ10" s="2"/>
      <c r="UIA10" s="2"/>
      <c r="UIB10" s="2"/>
      <c r="UIC10" s="2"/>
      <c r="UID10" s="2"/>
      <c r="UIE10" s="2"/>
      <c r="UIF10" s="2"/>
      <c r="UIG10" s="2"/>
      <c r="UIH10" s="2"/>
      <c r="UII10" s="2"/>
      <c r="UIJ10" s="2"/>
      <c r="UIK10" s="2"/>
      <c r="UIL10" s="2"/>
      <c r="UIM10" s="2"/>
      <c r="UIN10" s="2"/>
      <c r="UIO10" s="2"/>
      <c r="UIP10" s="2"/>
      <c r="UIQ10" s="2"/>
      <c r="UIR10" s="2"/>
      <c r="UIS10" s="2"/>
      <c r="UIT10" s="2"/>
      <c r="UIU10" s="2"/>
      <c r="UIV10" s="2"/>
      <c r="UIW10" s="2"/>
      <c r="UIX10" s="2"/>
      <c r="UIY10" s="2"/>
      <c r="UIZ10" s="2"/>
      <c r="UJA10" s="2"/>
      <c r="UJB10" s="2"/>
      <c r="UJC10" s="2"/>
      <c r="UJD10" s="2"/>
      <c r="UJE10" s="2"/>
      <c r="UJF10" s="2"/>
      <c r="UJG10" s="2"/>
      <c r="UJH10" s="2"/>
      <c r="UJI10" s="2"/>
      <c r="UJJ10" s="2"/>
      <c r="UJK10" s="2"/>
      <c r="UJL10" s="2"/>
      <c r="UJM10" s="2"/>
      <c r="UJN10" s="2"/>
      <c r="UJO10" s="2"/>
      <c r="UJP10" s="2"/>
      <c r="UJQ10" s="2"/>
      <c r="UJR10" s="2"/>
      <c r="UJS10" s="2"/>
      <c r="UJT10" s="2"/>
      <c r="UJU10" s="2"/>
      <c r="UJV10" s="2"/>
      <c r="UJW10" s="2"/>
      <c r="UJX10" s="2"/>
      <c r="UJY10" s="2"/>
      <c r="UJZ10" s="2"/>
      <c r="UKA10" s="2"/>
      <c r="UKB10" s="2"/>
      <c r="UKC10" s="2"/>
      <c r="UKD10" s="2"/>
      <c r="UKE10" s="2"/>
      <c r="UKF10" s="2"/>
      <c r="UKG10" s="2"/>
      <c r="UKH10" s="2"/>
      <c r="UKI10" s="2"/>
      <c r="UKJ10" s="2"/>
      <c r="UKK10" s="2"/>
      <c r="UKL10" s="2"/>
      <c r="UKM10" s="2"/>
      <c r="UKN10" s="2"/>
      <c r="UKO10" s="2"/>
      <c r="UKP10" s="2"/>
      <c r="UKQ10" s="2"/>
      <c r="UKR10" s="2"/>
      <c r="UKS10" s="2"/>
      <c r="UKT10" s="2"/>
      <c r="UKU10" s="2"/>
      <c r="UKV10" s="2"/>
      <c r="UKW10" s="2"/>
      <c r="UKX10" s="2"/>
      <c r="UKY10" s="2"/>
      <c r="UKZ10" s="2"/>
      <c r="ULA10" s="2"/>
      <c r="ULB10" s="2"/>
      <c r="ULC10" s="2"/>
      <c r="ULD10" s="2"/>
      <c r="ULE10" s="2"/>
      <c r="ULF10" s="2"/>
      <c r="ULG10" s="2"/>
      <c r="ULH10" s="2"/>
      <c r="ULI10" s="2"/>
      <c r="ULJ10" s="2"/>
      <c r="ULK10" s="2"/>
      <c r="ULL10" s="2"/>
      <c r="ULM10" s="2"/>
      <c r="ULN10" s="2"/>
      <c r="ULO10" s="2"/>
      <c r="ULP10" s="2"/>
      <c r="ULQ10" s="2"/>
      <c r="ULR10" s="2"/>
      <c r="ULS10" s="2"/>
      <c r="ULT10" s="2"/>
      <c r="ULU10" s="2"/>
      <c r="ULV10" s="2"/>
      <c r="ULW10" s="2"/>
      <c r="ULX10" s="2"/>
      <c r="ULY10" s="2"/>
      <c r="ULZ10" s="2"/>
      <c r="UMA10" s="2"/>
      <c r="UMB10" s="2"/>
      <c r="UMC10" s="2"/>
      <c r="UMD10" s="2"/>
      <c r="UME10" s="2"/>
      <c r="UMF10" s="2"/>
      <c r="UMG10" s="2"/>
      <c r="UMH10" s="2"/>
      <c r="UMI10" s="2"/>
      <c r="UMJ10" s="2"/>
      <c r="UMK10" s="2"/>
      <c r="UML10" s="2"/>
      <c r="UMM10" s="2"/>
      <c r="UMN10" s="2"/>
      <c r="UMO10" s="2"/>
      <c r="UMP10" s="2"/>
      <c r="UMQ10" s="2"/>
      <c r="UMR10" s="2"/>
      <c r="UMS10" s="2"/>
      <c r="UMT10" s="2"/>
      <c r="UMU10" s="2"/>
      <c r="UMV10" s="2"/>
      <c r="UMW10" s="2"/>
      <c r="UMX10" s="2"/>
      <c r="UMY10" s="2"/>
      <c r="UMZ10" s="2"/>
      <c r="UNA10" s="2"/>
      <c r="UNB10" s="2"/>
      <c r="UNC10" s="2"/>
      <c r="UND10" s="2"/>
      <c r="UNE10" s="2"/>
      <c r="UNF10" s="2"/>
      <c r="UNG10" s="2"/>
      <c r="UNH10" s="2"/>
      <c r="UNI10" s="2"/>
      <c r="UNJ10" s="2"/>
      <c r="UNK10" s="2"/>
      <c r="UNL10" s="2"/>
      <c r="UNM10" s="2"/>
      <c r="UNN10" s="2"/>
      <c r="UNO10" s="2"/>
      <c r="UNP10" s="2"/>
      <c r="UNQ10" s="2"/>
      <c r="UNR10" s="2"/>
      <c r="UNS10" s="2"/>
      <c r="UNT10" s="2"/>
      <c r="UNU10" s="2"/>
      <c r="UNV10" s="2"/>
      <c r="UNW10" s="2"/>
      <c r="UNX10" s="2"/>
      <c r="UNY10" s="2"/>
      <c r="UNZ10" s="2"/>
      <c r="UOA10" s="2"/>
      <c r="UOB10" s="2"/>
      <c r="UOC10" s="2"/>
      <c r="UOD10" s="2"/>
      <c r="UOE10" s="2"/>
      <c r="UOF10" s="2"/>
      <c r="UOG10" s="2"/>
      <c r="UOH10" s="2"/>
      <c r="UOI10" s="2"/>
      <c r="UOJ10" s="2"/>
      <c r="UOK10" s="2"/>
      <c r="UOL10" s="2"/>
      <c r="UOM10" s="2"/>
      <c r="UON10" s="2"/>
      <c r="UOO10" s="2"/>
      <c r="UOP10" s="2"/>
      <c r="UOQ10" s="2"/>
      <c r="UOR10" s="2"/>
      <c r="UOS10" s="2"/>
      <c r="UOT10" s="2"/>
      <c r="UOU10" s="2"/>
      <c r="UOV10" s="2"/>
      <c r="UOW10" s="2"/>
      <c r="UOX10" s="2"/>
      <c r="UOY10" s="2"/>
      <c r="UOZ10" s="2"/>
      <c r="UPA10" s="2"/>
      <c r="UPB10" s="2"/>
      <c r="UPC10" s="2"/>
      <c r="UPD10" s="2"/>
      <c r="UPE10" s="2"/>
      <c r="UPF10" s="2"/>
      <c r="UPG10" s="2"/>
      <c r="UPH10" s="2"/>
      <c r="UPI10" s="2"/>
      <c r="UPJ10" s="2"/>
      <c r="UPK10" s="2"/>
      <c r="UPL10" s="2"/>
      <c r="UPM10" s="2"/>
      <c r="UPN10" s="2"/>
      <c r="UPO10" s="2"/>
      <c r="UPP10" s="2"/>
      <c r="UPQ10" s="2"/>
      <c r="UPR10" s="2"/>
      <c r="UPS10" s="2"/>
      <c r="UPT10" s="2"/>
      <c r="UPU10" s="2"/>
      <c r="UPV10" s="2"/>
      <c r="UPW10" s="2"/>
      <c r="UPX10" s="2"/>
      <c r="UPY10" s="2"/>
      <c r="UPZ10" s="2"/>
      <c r="UQA10" s="2"/>
      <c r="UQB10" s="2"/>
      <c r="UQC10" s="2"/>
      <c r="UQD10" s="2"/>
      <c r="UQE10" s="2"/>
      <c r="UQF10" s="2"/>
      <c r="UQG10" s="2"/>
      <c r="UQH10" s="2"/>
      <c r="UQI10" s="2"/>
      <c r="UQJ10" s="2"/>
      <c r="UQK10" s="2"/>
      <c r="UQL10" s="2"/>
      <c r="UQM10" s="2"/>
      <c r="UQN10" s="2"/>
      <c r="UQO10" s="2"/>
      <c r="UQP10" s="2"/>
      <c r="UQQ10" s="2"/>
      <c r="UQR10" s="2"/>
      <c r="UQS10" s="2"/>
      <c r="UQT10" s="2"/>
      <c r="UQU10" s="2"/>
      <c r="UQV10" s="2"/>
      <c r="UQW10" s="2"/>
      <c r="UQX10" s="2"/>
      <c r="UQY10" s="2"/>
      <c r="UQZ10" s="2"/>
      <c r="URA10" s="2"/>
      <c r="URB10" s="2"/>
      <c r="URC10" s="2"/>
      <c r="URD10" s="2"/>
      <c r="URE10" s="2"/>
      <c r="URF10" s="2"/>
      <c r="URG10" s="2"/>
      <c r="URH10" s="2"/>
      <c r="URI10" s="2"/>
      <c r="URJ10" s="2"/>
      <c r="URK10" s="2"/>
      <c r="URL10" s="2"/>
      <c r="URM10" s="2"/>
      <c r="URN10" s="2"/>
      <c r="URO10" s="2"/>
      <c r="URP10" s="2"/>
      <c r="URQ10" s="2"/>
      <c r="URR10" s="2"/>
      <c r="URS10" s="2"/>
      <c r="URT10" s="2"/>
      <c r="URU10" s="2"/>
      <c r="URV10" s="2"/>
      <c r="URW10" s="2"/>
      <c r="URX10" s="2"/>
      <c r="URY10" s="2"/>
      <c r="URZ10" s="2"/>
      <c r="USA10" s="2"/>
      <c r="USB10" s="2"/>
      <c r="USC10" s="2"/>
      <c r="USD10" s="2"/>
      <c r="USE10" s="2"/>
      <c r="USF10" s="2"/>
      <c r="USG10" s="2"/>
      <c r="USH10" s="2"/>
      <c r="USI10" s="2"/>
      <c r="USJ10" s="2"/>
      <c r="USK10" s="2"/>
      <c r="USL10" s="2"/>
      <c r="USM10" s="2"/>
      <c r="USN10" s="2"/>
      <c r="USO10" s="2"/>
      <c r="USP10" s="2"/>
      <c r="USQ10" s="2"/>
      <c r="USR10" s="2"/>
      <c r="USS10" s="2"/>
      <c r="UST10" s="2"/>
      <c r="USU10" s="2"/>
      <c r="USV10" s="2"/>
      <c r="USW10" s="2"/>
      <c r="USX10" s="2"/>
      <c r="USY10" s="2"/>
      <c r="USZ10" s="2"/>
      <c r="UTA10" s="2"/>
      <c r="UTB10" s="2"/>
      <c r="UTC10" s="2"/>
      <c r="UTD10" s="2"/>
      <c r="UTE10" s="2"/>
      <c r="UTF10" s="2"/>
      <c r="UTG10" s="2"/>
      <c r="UTH10" s="2"/>
      <c r="UTI10" s="2"/>
      <c r="UTJ10" s="2"/>
      <c r="UTK10" s="2"/>
      <c r="UTL10" s="2"/>
      <c r="UTM10" s="2"/>
      <c r="UTN10" s="2"/>
      <c r="UTO10" s="2"/>
      <c r="UTP10" s="2"/>
      <c r="UTQ10" s="2"/>
      <c r="UTR10" s="2"/>
      <c r="UTS10" s="2"/>
      <c r="UTT10" s="2"/>
      <c r="UTU10" s="2"/>
      <c r="UTV10" s="2"/>
      <c r="UTW10" s="2"/>
      <c r="UTX10" s="2"/>
      <c r="UTY10" s="2"/>
      <c r="UTZ10" s="2"/>
      <c r="UUA10" s="2"/>
      <c r="UUB10" s="2"/>
      <c r="UUC10" s="2"/>
      <c r="UUD10" s="2"/>
      <c r="UUE10" s="2"/>
      <c r="UUF10" s="2"/>
      <c r="UUG10" s="2"/>
      <c r="UUH10" s="2"/>
      <c r="UUI10" s="2"/>
      <c r="UUJ10" s="2"/>
      <c r="UUK10" s="2"/>
      <c r="UUL10" s="2"/>
      <c r="UUM10" s="2"/>
      <c r="UUN10" s="2"/>
      <c r="UUO10" s="2"/>
      <c r="UUP10" s="2"/>
      <c r="UUQ10" s="2"/>
      <c r="UUR10" s="2"/>
      <c r="UUS10" s="2"/>
      <c r="UUT10" s="2"/>
      <c r="UUU10" s="2"/>
      <c r="UUV10" s="2"/>
      <c r="UUW10" s="2"/>
      <c r="UUX10" s="2"/>
      <c r="UUY10" s="2"/>
      <c r="UUZ10" s="2"/>
      <c r="UVA10" s="2"/>
      <c r="UVB10" s="2"/>
      <c r="UVC10" s="2"/>
      <c r="UVD10" s="2"/>
      <c r="UVE10" s="2"/>
      <c r="UVF10" s="2"/>
      <c r="UVG10" s="2"/>
      <c r="UVH10" s="2"/>
      <c r="UVI10" s="2"/>
      <c r="UVJ10" s="2"/>
      <c r="UVK10" s="2"/>
      <c r="UVL10" s="2"/>
      <c r="UVM10" s="2"/>
      <c r="UVN10" s="2"/>
      <c r="UVO10" s="2"/>
      <c r="UVP10" s="2"/>
      <c r="UVQ10" s="2"/>
      <c r="UVR10" s="2"/>
      <c r="UVS10" s="2"/>
      <c r="UVT10" s="2"/>
      <c r="UVU10" s="2"/>
      <c r="UVV10" s="2"/>
      <c r="UVW10" s="2"/>
      <c r="UVX10" s="2"/>
      <c r="UVY10" s="2"/>
      <c r="UVZ10" s="2"/>
      <c r="UWA10" s="2"/>
      <c r="UWB10" s="2"/>
      <c r="UWC10" s="2"/>
      <c r="UWD10" s="2"/>
      <c r="UWE10" s="2"/>
      <c r="UWF10" s="2"/>
      <c r="UWG10" s="2"/>
      <c r="UWH10" s="2"/>
      <c r="UWI10" s="2"/>
      <c r="UWJ10" s="2"/>
      <c r="UWK10" s="2"/>
      <c r="UWL10" s="2"/>
      <c r="UWM10" s="2"/>
      <c r="UWN10" s="2"/>
      <c r="UWO10" s="2"/>
      <c r="UWP10" s="2"/>
      <c r="UWQ10" s="2"/>
      <c r="UWR10" s="2"/>
      <c r="UWS10" s="2"/>
      <c r="UWT10" s="2"/>
      <c r="UWU10" s="2"/>
      <c r="UWV10" s="2"/>
      <c r="UWW10" s="2"/>
      <c r="UWX10" s="2"/>
      <c r="UWY10" s="2"/>
      <c r="UWZ10" s="2"/>
      <c r="UXA10" s="2"/>
      <c r="UXB10" s="2"/>
      <c r="UXC10" s="2"/>
      <c r="UXD10" s="2"/>
      <c r="UXE10" s="2"/>
      <c r="UXF10" s="2"/>
      <c r="UXG10" s="2"/>
      <c r="UXH10" s="2"/>
      <c r="UXI10" s="2"/>
      <c r="UXJ10" s="2"/>
      <c r="UXK10" s="2"/>
      <c r="UXL10" s="2"/>
      <c r="UXM10" s="2"/>
      <c r="UXN10" s="2"/>
      <c r="UXO10" s="2"/>
      <c r="UXP10" s="2"/>
      <c r="UXQ10" s="2"/>
      <c r="UXR10" s="2"/>
      <c r="UXS10" s="2"/>
      <c r="UXT10" s="2"/>
      <c r="UXU10" s="2"/>
      <c r="UXV10" s="2"/>
      <c r="UXW10" s="2"/>
      <c r="UXX10" s="2"/>
      <c r="UXY10" s="2"/>
      <c r="UXZ10" s="2"/>
      <c r="UYA10" s="2"/>
      <c r="UYB10" s="2"/>
      <c r="UYC10" s="2"/>
      <c r="UYD10" s="2"/>
      <c r="UYE10" s="2"/>
      <c r="UYF10" s="2"/>
      <c r="UYG10" s="2"/>
      <c r="UYH10" s="2"/>
      <c r="UYI10" s="2"/>
      <c r="UYJ10" s="2"/>
      <c r="UYK10" s="2"/>
      <c r="UYL10" s="2"/>
      <c r="UYM10" s="2"/>
      <c r="UYN10" s="2"/>
      <c r="UYO10" s="2"/>
      <c r="UYP10" s="2"/>
      <c r="UYQ10" s="2"/>
      <c r="UYR10" s="2"/>
      <c r="UYS10" s="2"/>
      <c r="UYT10" s="2"/>
      <c r="UYU10" s="2"/>
      <c r="UYV10" s="2"/>
      <c r="UYW10" s="2"/>
      <c r="UYX10" s="2"/>
      <c r="UYY10" s="2"/>
      <c r="UYZ10" s="2"/>
      <c r="UZA10" s="2"/>
      <c r="UZB10" s="2"/>
      <c r="UZC10" s="2"/>
      <c r="UZD10" s="2"/>
      <c r="UZE10" s="2"/>
      <c r="UZF10" s="2"/>
      <c r="UZG10" s="2"/>
      <c r="UZH10" s="2"/>
      <c r="UZI10" s="2"/>
      <c r="UZJ10" s="2"/>
      <c r="UZK10" s="2"/>
      <c r="UZL10" s="2"/>
      <c r="UZM10" s="2"/>
      <c r="UZN10" s="2"/>
      <c r="UZO10" s="2"/>
      <c r="UZP10" s="2"/>
      <c r="UZQ10" s="2"/>
      <c r="UZR10" s="2"/>
      <c r="UZS10" s="2"/>
      <c r="UZT10" s="2"/>
      <c r="UZU10" s="2"/>
      <c r="UZV10" s="2"/>
      <c r="UZW10" s="2"/>
      <c r="UZX10" s="2"/>
      <c r="UZY10" s="2"/>
      <c r="UZZ10" s="2"/>
      <c r="VAA10" s="2"/>
      <c r="VAB10" s="2"/>
      <c r="VAC10" s="2"/>
      <c r="VAD10" s="2"/>
      <c r="VAE10" s="2"/>
      <c r="VAF10" s="2"/>
      <c r="VAG10" s="2"/>
      <c r="VAH10" s="2"/>
      <c r="VAI10" s="2"/>
      <c r="VAJ10" s="2"/>
      <c r="VAK10" s="2"/>
      <c r="VAL10" s="2"/>
      <c r="VAM10" s="2"/>
      <c r="VAN10" s="2"/>
      <c r="VAO10" s="2"/>
      <c r="VAP10" s="2"/>
      <c r="VAQ10" s="2"/>
      <c r="VAR10" s="2"/>
      <c r="VAS10" s="2"/>
      <c r="VAT10" s="2"/>
      <c r="VAU10" s="2"/>
      <c r="VAV10" s="2"/>
      <c r="VAW10" s="2"/>
      <c r="VAX10" s="2"/>
      <c r="VAY10" s="2"/>
      <c r="VAZ10" s="2"/>
      <c r="VBA10" s="2"/>
      <c r="VBB10" s="2"/>
      <c r="VBC10" s="2"/>
      <c r="VBD10" s="2"/>
      <c r="VBE10" s="2"/>
      <c r="VBF10" s="2"/>
      <c r="VBG10" s="2"/>
      <c r="VBH10" s="2"/>
      <c r="VBI10" s="2"/>
      <c r="VBJ10" s="2"/>
      <c r="VBK10" s="2"/>
      <c r="VBL10" s="2"/>
      <c r="VBM10" s="2"/>
      <c r="VBN10" s="2"/>
      <c r="VBO10" s="2"/>
      <c r="VBP10" s="2"/>
      <c r="VBQ10" s="2"/>
      <c r="VBR10" s="2"/>
      <c r="VBS10" s="2"/>
      <c r="VBT10" s="2"/>
      <c r="VBU10" s="2"/>
      <c r="VBV10" s="2"/>
      <c r="VBW10" s="2"/>
      <c r="VBX10" s="2"/>
      <c r="VBY10" s="2"/>
      <c r="VBZ10" s="2"/>
      <c r="VCA10" s="2"/>
      <c r="VCB10" s="2"/>
      <c r="VCC10" s="2"/>
      <c r="VCD10" s="2"/>
      <c r="VCE10" s="2"/>
      <c r="VCF10" s="2"/>
      <c r="VCG10" s="2"/>
      <c r="VCH10" s="2"/>
      <c r="VCI10" s="2"/>
      <c r="VCJ10" s="2"/>
      <c r="VCK10" s="2"/>
      <c r="VCL10" s="2"/>
      <c r="VCM10" s="2"/>
      <c r="VCN10" s="2"/>
      <c r="VCO10" s="2"/>
      <c r="VCP10" s="2"/>
      <c r="VCQ10" s="2"/>
      <c r="VCR10" s="2"/>
      <c r="VCS10" s="2"/>
      <c r="VCT10" s="2"/>
      <c r="VCU10" s="2"/>
      <c r="VCV10" s="2"/>
      <c r="VCW10" s="2"/>
      <c r="VCX10" s="2"/>
      <c r="VCY10" s="2"/>
      <c r="VCZ10" s="2"/>
      <c r="VDA10" s="2"/>
      <c r="VDB10" s="2"/>
      <c r="VDC10" s="2"/>
      <c r="VDD10" s="2"/>
      <c r="VDE10" s="2"/>
      <c r="VDF10" s="2"/>
      <c r="VDG10" s="2"/>
      <c r="VDH10" s="2"/>
      <c r="VDI10" s="2"/>
      <c r="VDJ10" s="2"/>
      <c r="VDK10" s="2"/>
      <c r="VDL10" s="2"/>
      <c r="VDM10" s="2"/>
      <c r="VDN10" s="2"/>
      <c r="VDO10" s="2"/>
      <c r="VDP10" s="2"/>
      <c r="VDQ10" s="2"/>
      <c r="VDR10" s="2"/>
      <c r="VDS10" s="2"/>
      <c r="VDT10" s="2"/>
      <c r="VDU10" s="2"/>
      <c r="VDV10" s="2"/>
      <c r="VDW10" s="2"/>
      <c r="VDX10" s="2"/>
      <c r="VDY10" s="2"/>
      <c r="VDZ10" s="2"/>
      <c r="VEA10" s="2"/>
      <c r="VEB10" s="2"/>
      <c r="VEC10" s="2"/>
      <c r="VED10" s="2"/>
      <c r="VEE10" s="2"/>
      <c r="VEF10" s="2"/>
      <c r="VEG10" s="2"/>
      <c r="VEH10" s="2"/>
      <c r="VEI10" s="2"/>
      <c r="VEJ10" s="2"/>
      <c r="VEK10" s="2"/>
      <c r="VEL10" s="2"/>
      <c r="VEM10" s="2"/>
      <c r="VEN10" s="2"/>
      <c r="VEO10" s="2"/>
      <c r="VEP10" s="2"/>
      <c r="VEQ10" s="2"/>
      <c r="VER10" s="2"/>
      <c r="VES10" s="2"/>
      <c r="VET10" s="2"/>
      <c r="VEU10" s="2"/>
      <c r="VEV10" s="2"/>
      <c r="VEW10" s="2"/>
      <c r="VEX10" s="2"/>
      <c r="VEY10" s="2"/>
      <c r="VEZ10" s="2"/>
      <c r="VFA10" s="2"/>
      <c r="VFB10" s="2"/>
      <c r="VFC10" s="2"/>
      <c r="VFD10" s="2"/>
      <c r="VFE10" s="2"/>
      <c r="VFF10" s="2"/>
      <c r="VFG10" s="2"/>
      <c r="VFH10" s="2"/>
      <c r="VFI10" s="2"/>
      <c r="VFJ10" s="2"/>
      <c r="VFK10" s="2"/>
      <c r="VFL10" s="2"/>
      <c r="VFM10" s="2"/>
      <c r="VFN10" s="2"/>
      <c r="VFO10" s="2"/>
      <c r="VFP10" s="2"/>
      <c r="VFQ10" s="2"/>
      <c r="VFR10" s="2"/>
      <c r="VFS10" s="2"/>
      <c r="VFT10" s="2"/>
      <c r="VFU10" s="2"/>
      <c r="VFV10" s="2"/>
      <c r="VFW10" s="2"/>
      <c r="VFX10" s="2"/>
      <c r="VFY10" s="2"/>
      <c r="VFZ10" s="2"/>
      <c r="VGA10" s="2"/>
      <c r="VGB10" s="2"/>
      <c r="VGC10" s="2"/>
      <c r="VGD10" s="2"/>
      <c r="VGE10" s="2"/>
      <c r="VGF10" s="2"/>
      <c r="VGG10" s="2"/>
      <c r="VGH10" s="2"/>
      <c r="VGI10" s="2"/>
      <c r="VGJ10" s="2"/>
      <c r="VGK10" s="2"/>
      <c r="VGL10" s="2"/>
      <c r="VGM10" s="2"/>
      <c r="VGN10" s="2"/>
      <c r="VGO10" s="2"/>
      <c r="VGP10" s="2"/>
      <c r="VGQ10" s="2"/>
      <c r="VGR10" s="2"/>
      <c r="VGS10" s="2"/>
      <c r="VGT10" s="2"/>
      <c r="VGU10" s="2"/>
      <c r="VGV10" s="2"/>
      <c r="VGW10" s="2"/>
      <c r="VGX10" s="2"/>
      <c r="VGY10" s="2"/>
      <c r="VGZ10" s="2"/>
      <c r="VHA10" s="2"/>
      <c r="VHB10" s="2"/>
      <c r="VHC10" s="2"/>
      <c r="VHD10" s="2"/>
      <c r="VHE10" s="2"/>
      <c r="VHF10" s="2"/>
      <c r="VHG10" s="2"/>
      <c r="VHH10" s="2"/>
      <c r="VHI10" s="2"/>
      <c r="VHJ10" s="2"/>
      <c r="VHK10" s="2"/>
      <c r="VHL10" s="2"/>
      <c r="VHM10" s="2"/>
      <c r="VHN10" s="2"/>
      <c r="VHO10" s="2"/>
      <c r="VHP10" s="2"/>
      <c r="VHQ10" s="2"/>
      <c r="VHR10" s="2"/>
      <c r="VHS10" s="2"/>
      <c r="VHT10" s="2"/>
      <c r="VHU10" s="2"/>
      <c r="VHV10" s="2"/>
      <c r="VHW10" s="2"/>
      <c r="VHX10" s="2"/>
      <c r="VHY10" s="2"/>
      <c r="VHZ10" s="2"/>
      <c r="VIA10" s="2"/>
      <c r="VIB10" s="2"/>
      <c r="VIC10" s="2"/>
      <c r="VID10" s="2"/>
      <c r="VIE10" s="2"/>
      <c r="VIF10" s="2"/>
      <c r="VIG10" s="2"/>
      <c r="VIH10" s="2"/>
      <c r="VII10" s="2"/>
      <c r="VIJ10" s="2"/>
      <c r="VIK10" s="2"/>
      <c r="VIL10" s="2"/>
      <c r="VIM10" s="2"/>
      <c r="VIN10" s="2"/>
      <c r="VIO10" s="2"/>
      <c r="VIP10" s="2"/>
      <c r="VIQ10" s="2"/>
      <c r="VIR10" s="2"/>
      <c r="VIS10" s="2"/>
      <c r="VIT10" s="2"/>
      <c r="VIU10" s="2"/>
      <c r="VIV10" s="2"/>
      <c r="VIW10" s="2"/>
      <c r="VIX10" s="2"/>
      <c r="VIY10" s="2"/>
      <c r="VIZ10" s="2"/>
      <c r="VJA10" s="2"/>
      <c r="VJB10" s="2"/>
      <c r="VJC10" s="2"/>
      <c r="VJD10" s="2"/>
      <c r="VJE10" s="2"/>
      <c r="VJF10" s="2"/>
      <c r="VJG10" s="2"/>
      <c r="VJH10" s="2"/>
      <c r="VJI10" s="2"/>
      <c r="VJJ10" s="2"/>
      <c r="VJK10" s="2"/>
      <c r="VJL10" s="2"/>
      <c r="VJM10" s="2"/>
      <c r="VJN10" s="2"/>
      <c r="VJO10" s="2"/>
      <c r="VJP10" s="2"/>
      <c r="VJQ10" s="2"/>
      <c r="VJR10" s="2"/>
      <c r="VJS10" s="2"/>
      <c r="VJT10" s="2"/>
      <c r="VJU10" s="2"/>
      <c r="VJV10" s="2"/>
      <c r="VJW10" s="2"/>
      <c r="VJX10" s="2"/>
      <c r="VJY10" s="2"/>
      <c r="VJZ10" s="2"/>
      <c r="VKA10" s="2"/>
      <c r="VKB10" s="2"/>
      <c r="VKC10" s="2"/>
      <c r="VKD10" s="2"/>
      <c r="VKE10" s="2"/>
      <c r="VKF10" s="2"/>
      <c r="VKG10" s="2"/>
      <c r="VKH10" s="2"/>
      <c r="VKI10" s="2"/>
      <c r="VKJ10" s="2"/>
      <c r="VKK10" s="2"/>
      <c r="VKL10" s="2"/>
      <c r="VKM10" s="2"/>
      <c r="VKN10" s="2"/>
      <c r="VKO10" s="2"/>
      <c r="VKP10" s="2"/>
      <c r="VKQ10" s="2"/>
      <c r="VKR10" s="2"/>
      <c r="VKS10" s="2"/>
      <c r="VKT10" s="2"/>
      <c r="VKU10" s="2"/>
      <c r="VKV10" s="2"/>
      <c r="VKW10" s="2"/>
      <c r="VKX10" s="2"/>
      <c r="VKY10" s="2"/>
      <c r="VKZ10" s="2"/>
      <c r="VLA10" s="2"/>
      <c r="VLB10" s="2"/>
      <c r="VLC10" s="2"/>
      <c r="VLD10" s="2"/>
      <c r="VLE10" s="2"/>
      <c r="VLF10" s="2"/>
      <c r="VLG10" s="2"/>
      <c r="VLH10" s="2"/>
      <c r="VLI10" s="2"/>
      <c r="VLJ10" s="2"/>
      <c r="VLK10" s="2"/>
      <c r="VLL10" s="2"/>
      <c r="VLM10" s="2"/>
      <c r="VLN10" s="2"/>
      <c r="VLO10" s="2"/>
      <c r="VLP10" s="2"/>
      <c r="VLQ10" s="2"/>
      <c r="VLR10" s="2"/>
      <c r="VLS10" s="2"/>
      <c r="VLT10" s="2"/>
      <c r="VLU10" s="2"/>
      <c r="VLV10" s="2"/>
      <c r="VLW10" s="2"/>
      <c r="VLX10" s="2"/>
      <c r="VLY10" s="2"/>
      <c r="VLZ10" s="2"/>
      <c r="VMA10" s="2"/>
      <c r="VMB10" s="2"/>
      <c r="VMC10" s="2"/>
      <c r="VMD10" s="2"/>
      <c r="VME10" s="2"/>
      <c r="VMF10" s="2"/>
      <c r="VMG10" s="2"/>
      <c r="VMH10" s="2"/>
      <c r="VMI10" s="2"/>
      <c r="VMJ10" s="2"/>
      <c r="VMK10" s="2"/>
      <c r="VML10" s="2"/>
      <c r="VMM10" s="2"/>
      <c r="VMN10" s="2"/>
      <c r="VMO10" s="2"/>
      <c r="VMP10" s="2"/>
      <c r="VMQ10" s="2"/>
      <c r="VMR10" s="2"/>
      <c r="VMS10" s="2"/>
      <c r="VMT10" s="2"/>
      <c r="VMU10" s="2"/>
      <c r="VMV10" s="2"/>
      <c r="VMW10" s="2"/>
      <c r="VMX10" s="2"/>
      <c r="VMY10" s="2"/>
      <c r="VMZ10" s="2"/>
      <c r="VNA10" s="2"/>
      <c r="VNB10" s="2"/>
      <c r="VNC10" s="2"/>
      <c r="VND10" s="2"/>
      <c r="VNE10" s="2"/>
      <c r="VNF10" s="2"/>
      <c r="VNG10" s="2"/>
      <c r="VNH10" s="2"/>
      <c r="VNI10" s="2"/>
      <c r="VNJ10" s="2"/>
      <c r="VNK10" s="2"/>
      <c r="VNL10" s="2"/>
      <c r="VNM10" s="2"/>
      <c r="VNN10" s="2"/>
      <c r="VNO10" s="2"/>
      <c r="VNP10" s="2"/>
      <c r="VNQ10" s="2"/>
      <c r="VNR10" s="2"/>
      <c r="VNS10" s="2"/>
      <c r="VNT10" s="2"/>
      <c r="VNU10" s="2"/>
      <c r="VNV10" s="2"/>
      <c r="VNW10" s="2"/>
      <c r="VNX10" s="2"/>
      <c r="VNY10" s="2"/>
      <c r="VNZ10" s="2"/>
      <c r="VOA10" s="2"/>
      <c r="VOB10" s="2"/>
      <c r="VOC10" s="2"/>
      <c r="VOD10" s="2"/>
      <c r="VOE10" s="2"/>
      <c r="VOF10" s="2"/>
      <c r="VOG10" s="2"/>
      <c r="VOH10" s="2"/>
      <c r="VOI10" s="2"/>
      <c r="VOJ10" s="2"/>
      <c r="VOK10" s="2"/>
      <c r="VOL10" s="2"/>
      <c r="VOM10" s="2"/>
      <c r="VON10" s="2"/>
      <c r="VOO10" s="2"/>
      <c r="VOP10" s="2"/>
      <c r="VOQ10" s="2"/>
      <c r="VOR10" s="2"/>
      <c r="VOS10" s="2"/>
      <c r="VOT10" s="2"/>
      <c r="VOU10" s="2"/>
      <c r="VOV10" s="2"/>
      <c r="VOW10" s="2"/>
      <c r="VOX10" s="2"/>
      <c r="VOY10" s="2"/>
      <c r="VOZ10" s="2"/>
      <c r="VPA10" s="2"/>
      <c r="VPB10" s="2"/>
      <c r="VPC10" s="2"/>
      <c r="VPD10" s="2"/>
      <c r="VPE10" s="2"/>
      <c r="VPF10" s="2"/>
      <c r="VPG10" s="2"/>
      <c r="VPH10" s="2"/>
      <c r="VPI10" s="2"/>
      <c r="VPJ10" s="2"/>
      <c r="VPK10" s="2"/>
      <c r="VPL10" s="2"/>
      <c r="VPM10" s="2"/>
      <c r="VPN10" s="2"/>
      <c r="VPO10" s="2"/>
      <c r="VPP10" s="2"/>
      <c r="VPQ10" s="2"/>
      <c r="VPR10" s="2"/>
      <c r="VPS10" s="2"/>
      <c r="VPT10" s="2"/>
      <c r="VPU10" s="2"/>
      <c r="VPV10" s="2"/>
      <c r="VPW10" s="2"/>
      <c r="VPX10" s="2"/>
      <c r="VPY10" s="2"/>
      <c r="VPZ10" s="2"/>
      <c r="VQA10" s="2"/>
      <c r="VQB10" s="2"/>
      <c r="VQC10" s="2"/>
      <c r="VQD10" s="2"/>
      <c r="VQE10" s="2"/>
      <c r="VQF10" s="2"/>
      <c r="VQG10" s="2"/>
      <c r="VQH10" s="2"/>
      <c r="VQI10" s="2"/>
      <c r="VQJ10" s="2"/>
      <c r="VQK10" s="2"/>
      <c r="VQL10" s="2"/>
      <c r="VQM10" s="2"/>
      <c r="VQN10" s="2"/>
      <c r="VQO10" s="2"/>
      <c r="VQP10" s="2"/>
      <c r="VQQ10" s="2"/>
      <c r="VQR10" s="2"/>
      <c r="VQS10" s="2"/>
      <c r="VQT10" s="2"/>
      <c r="VQU10" s="2"/>
      <c r="VQV10" s="2"/>
      <c r="VQW10" s="2"/>
      <c r="VQX10" s="2"/>
      <c r="VQY10" s="2"/>
      <c r="VQZ10" s="2"/>
      <c r="VRA10" s="2"/>
      <c r="VRB10" s="2"/>
      <c r="VRC10" s="2"/>
      <c r="VRD10" s="2"/>
      <c r="VRE10" s="2"/>
      <c r="VRF10" s="2"/>
      <c r="VRG10" s="2"/>
      <c r="VRH10" s="2"/>
      <c r="VRI10" s="2"/>
      <c r="VRJ10" s="2"/>
      <c r="VRK10" s="2"/>
      <c r="VRL10" s="2"/>
      <c r="VRM10" s="2"/>
      <c r="VRN10" s="2"/>
      <c r="VRO10" s="2"/>
      <c r="VRP10" s="2"/>
      <c r="VRQ10" s="2"/>
      <c r="VRR10" s="2"/>
      <c r="VRS10" s="2"/>
      <c r="VRT10" s="2"/>
      <c r="VRU10" s="2"/>
      <c r="VRV10" s="2"/>
      <c r="VRW10" s="2"/>
      <c r="VRX10" s="2"/>
      <c r="VRY10" s="2"/>
      <c r="VRZ10" s="2"/>
      <c r="VSA10" s="2"/>
      <c r="VSB10" s="2"/>
      <c r="VSC10" s="2"/>
      <c r="VSD10" s="2"/>
      <c r="VSE10" s="2"/>
      <c r="VSF10" s="2"/>
      <c r="VSG10" s="2"/>
      <c r="VSH10" s="2"/>
      <c r="VSI10" s="2"/>
      <c r="VSJ10" s="2"/>
      <c r="VSK10" s="2"/>
      <c r="VSL10" s="2"/>
      <c r="VSM10" s="2"/>
      <c r="VSN10" s="2"/>
      <c r="VSO10" s="2"/>
      <c r="VSP10" s="2"/>
      <c r="VSQ10" s="2"/>
      <c r="VSR10" s="2"/>
      <c r="VSS10" s="2"/>
      <c r="VST10" s="2"/>
      <c r="VSU10" s="2"/>
      <c r="VSV10" s="2"/>
      <c r="VSW10" s="2"/>
      <c r="VSX10" s="2"/>
      <c r="VSY10" s="2"/>
      <c r="VSZ10" s="2"/>
      <c r="VTA10" s="2"/>
      <c r="VTB10" s="2"/>
      <c r="VTC10" s="2"/>
      <c r="VTD10" s="2"/>
      <c r="VTE10" s="2"/>
      <c r="VTF10" s="2"/>
      <c r="VTG10" s="2"/>
      <c r="VTH10" s="2"/>
      <c r="VTI10" s="2"/>
      <c r="VTJ10" s="2"/>
      <c r="VTK10" s="2"/>
      <c r="VTL10" s="2"/>
      <c r="VTM10" s="2"/>
      <c r="VTN10" s="2"/>
      <c r="VTO10" s="2"/>
      <c r="VTP10" s="2"/>
      <c r="VTQ10" s="2"/>
      <c r="VTR10" s="2"/>
      <c r="VTS10" s="2"/>
      <c r="VTT10" s="2"/>
      <c r="VTU10" s="2"/>
      <c r="VTV10" s="2"/>
      <c r="VTW10" s="2"/>
      <c r="VTX10" s="2"/>
      <c r="VTY10" s="2"/>
      <c r="VTZ10" s="2"/>
      <c r="VUA10" s="2"/>
      <c r="VUB10" s="2"/>
      <c r="VUC10" s="2"/>
      <c r="VUD10" s="2"/>
      <c r="VUE10" s="2"/>
      <c r="VUF10" s="2"/>
      <c r="VUG10" s="2"/>
      <c r="VUH10" s="2"/>
      <c r="VUI10" s="2"/>
      <c r="VUJ10" s="2"/>
      <c r="VUK10" s="2"/>
      <c r="VUL10" s="2"/>
      <c r="VUM10" s="2"/>
      <c r="VUN10" s="2"/>
      <c r="VUO10" s="2"/>
      <c r="VUP10" s="2"/>
      <c r="VUQ10" s="2"/>
      <c r="VUR10" s="2"/>
      <c r="VUS10" s="2"/>
      <c r="VUT10" s="2"/>
      <c r="VUU10" s="2"/>
      <c r="VUV10" s="2"/>
      <c r="VUW10" s="2"/>
      <c r="VUX10" s="2"/>
      <c r="VUY10" s="2"/>
      <c r="VUZ10" s="2"/>
      <c r="VVA10" s="2"/>
      <c r="VVB10" s="2"/>
      <c r="VVC10" s="2"/>
      <c r="VVD10" s="2"/>
      <c r="VVE10" s="2"/>
      <c r="VVF10" s="2"/>
      <c r="VVG10" s="2"/>
      <c r="VVH10" s="2"/>
      <c r="VVI10" s="2"/>
      <c r="VVJ10" s="2"/>
      <c r="VVK10" s="2"/>
      <c r="VVL10" s="2"/>
      <c r="VVM10" s="2"/>
      <c r="VVN10" s="2"/>
      <c r="VVO10" s="2"/>
      <c r="VVP10" s="2"/>
      <c r="VVQ10" s="2"/>
      <c r="VVR10" s="2"/>
      <c r="VVS10" s="2"/>
      <c r="VVT10" s="2"/>
      <c r="VVU10" s="2"/>
      <c r="VVV10" s="2"/>
      <c r="VVW10" s="2"/>
      <c r="VVX10" s="2"/>
      <c r="VVY10" s="2"/>
      <c r="VVZ10" s="2"/>
      <c r="VWA10" s="2"/>
      <c r="VWB10" s="2"/>
      <c r="VWC10" s="2"/>
      <c r="VWD10" s="2"/>
      <c r="VWE10" s="2"/>
      <c r="VWF10" s="2"/>
      <c r="VWG10" s="2"/>
      <c r="VWH10" s="2"/>
      <c r="VWI10" s="2"/>
      <c r="VWJ10" s="2"/>
      <c r="VWK10" s="2"/>
      <c r="VWL10" s="2"/>
      <c r="VWM10" s="2"/>
      <c r="VWN10" s="2"/>
      <c r="VWO10" s="2"/>
      <c r="VWP10" s="2"/>
      <c r="VWQ10" s="2"/>
      <c r="VWR10" s="2"/>
      <c r="VWS10" s="2"/>
      <c r="VWT10" s="2"/>
      <c r="VWU10" s="2"/>
      <c r="VWV10" s="2"/>
      <c r="VWW10" s="2"/>
      <c r="VWX10" s="2"/>
      <c r="VWY10" s="2"/>
      <c r="VWZ10" s="2"/>
      <c r="VXA10" s="2"/>
      <c r="VXB10" s="2"/>
      <c r="VXC10" s="2"/>
      <c r="VXD10" s="2"/>
      <c r="VXE10" s="2"/>
      <c r="VXF10" s="2"/>
      <c r="VXG10" s="2"/>
      <c r="VXH10" s="2"/>
      <c r="VXI10" s="2"/>
      <c r="VXJ10" s="2"/>
      <c r="VXK10" s="2"/>
      <c r="VXL10" s="2"/>
      <c r="VXM10" s="2"/>
      <c r="VXN10" s="2"/>
      <c r="VXO10" s="2"/>
      <c r="VXP10" s="2"/>
      <c r="VXQ10" s="2"/>
      <c r="VXR10" s="2"/>
      <c r="VXS10" s="2"/>
      <c r="VXT10" s="2"/>
      <c r="VXU10" s="2"/>
      <c r="VXV10" s="2"/>
      <c r="VXW10" s="2"/>
      <c r="VXX10" s="2"/>
      <c r="VXY10" s="2"/>
      <c r="VXZ10" s="2"/>
      <c r="VYA10" s="2"/>
      <c r="VYB10" s="2"/>
      <c r="VYC10" s="2"/>
      <c r="VYD10" s="2"/>
      <c r="VYE10" s="2"/>
      <c r="VYF10" s="2"/>
      <c r="VYG10" s="2"/>
      <c r="VYH10" s="2"/>
      <c r="VYI10" s="2"/>
      <c r="VYJ10" s="2"/>
      <c r="VYK10" s="2"/>
      <c r="VYL10" s="2"/>
      <c r="VYM10" s="2"/>
      <c r="VYN10" s="2"/>
      <c r="VYO10" s="2"/>
      <c r="VYP10" s="2"/>
      <c r="VYQ10" s="2"/>
      <c r="VYR10" s="2"/>
      <c r="VYS10" s="2"/>
      <c r="VYT10" s="2"/>
      <c r="VYU10" s="2"/>
      <c r="VYV10" s="2"/>
      <c r="VYW10" s="2"/>
      <c r="VYX10" s="2"/>
      <c r="VYY10" s="2"/>
      <c r="VYZ10" s="2"/>
      <c r="VZA10" s="2"/>
      <c r="VZB10" s="2"/>
      <c r="VZC10" s="2"/>
      <c r="VZD10" s="2"/>
      <c r="VZE10" s="2"/>
      <c r="VZF10" s="2"/>
      <c r="VZG10" s="2"/>
      <c r="VZH10" s="2"/>
      <c r="VZI10" s="2"/>
      <c r="VZJ10" s="2"/>
      <c r="VZK10" s="2"/>
      <c r="VZL10" s="2"/>
      <c r="VZM10" s="2"/>
      <c r="VZN10" s="2"/>
      <c r="VZO10" s="2"/>
      <c r="VZP10" s="2"/>
      <c r="VZQ10" s="2"/>
      <c r="VZR10" s="2"/>
      <c r="VZS10" s="2"/>
      <c r="VZT10" s="2"/>
      <c r="VZU10" s="2"/>
      <c r="VZV10" s="2"/>
      <c r="VZW10" s="2"/>
      <c r="VZX10" s="2"/>
      <c r="VZY10" s="2"/>
      <c r="VZZ10" s="2"/>
      <c r="WAA10" s="2"/>
      <c r="WAB10" s="2"/>
      <c r="WAC10" s="2"/>
      <c r="WAD10" s="2"/>
      <c r="WAE10" s="2"/>
      <c r="WAF10" s="2"/>
      <c r="WAG10" s="2"/>
      <c r="WAH10" s="2"/>
      <c r="WAI10" s="2"/>
      <c r="WAJ10" s="2"/>
      <c r="WAK10" s="2"/>
      <c r="WAL10" s="2"/>
      <c r="WAM10" s="2"/>
      <c r="WAN10" s="2"/>
      <c r="WAO10" s="2"/>
      <c r="WAP10" s="2"/>
      <c r="WAQ10" s="2"/>
      <c r="WAR10" s="2"/>
      <c r="WAS10" s="2"/>
      <c r="WAT10" s="2"/>
      <c r="WAU10" s="2"/>
      <c r="WAV10" s="2"/>
      <c r="WAW10" s="2"/>
      <c r="WAX10" s="2"/>
      <c r="WAY10" s="2"/>
      <c r="WAZ10" s="2"/>
      <c r="WBA10" s="2"/>
      <c r="WBB10" s="2"/>
      <c r="WBC10" s="2"/>
      <c r="WBD10" s="2"/>
      <c r="WBE10" s="2"/>
      <c r="WBF10" s="2"/>
      <c r="WBG10" s="2"/>
      <c r="WBH10" s="2"/>
      <c r="WBI10" s="2"/>
      <c r="WBJ10" s="2"/>
      <c r="WBK10" s="2"/>
      <c r="WBL10" s="2"/>
      <c r="WBM10" s="2"/>
      <c r="WBN10" s="2"/>
      <c r="WBO10" s="2"/>
      <c r="WBP10" s="2"/>
      <c r="WBQ10" s="2"/>
      <c r="WBR10" s="2"/>
      <c r="WBS10" s="2"/>
      <c r="WBT10" s="2"/>
      <c r="WBU10" s="2"/>
      <c r="WBV10" s="2"/>
      <c r="WBW10" s="2"/>
      <c r="WBX10" s="2"/>
      <c r="WBY10" s="2"/>
      <c r="WBZ10" s="2"/>
      <c r="WCA10" s="2"/>
      <c r="WCB10" s="2"/>
      <c r="WCC10" s="2"/>
      <c r="WCD10" s="2"/>
      <c r="WCE10" s="2"/>
      <c r="WCF10" s="2"/>
      <c r="WCG10" s="2"/>
      <c r="WCH10" s="2"/>
      <c r="WCI10" s="2"/>
      <c r="WCJ10" s="2"/>
      <c r="WCK10" s="2"/>
      <c r="WCL10" s="2"/>
      <c r="WCM10" s="2"/>
      <c r="WCN10" s="2"/>
      <c r="WCO10" s="2"/>
      <c r="WCP10" s="2"/>
      <c r="WCQ10" s="2"/>
      <c r="WCR10" s="2"/>
      <c r="WCS10" s="2"/>
      <c r="WCT10" s="2"/>
      <c r="WCU10" s="2"/>
      <c r="WCV10" s="2"/>
      <c r="WCW10" s="2"/>
      <c r="WCX10" s="2"/>
      <c r="WCY10" s="2"/>
      <c r="WCZ10" s="2"/>
      <c r="WDA10" s="2"/>
      <c r="WDB10" s="2"/>
      <c r="WDC10" s="2"/>
      <c r="WDD10" s="2"/>
      <c r="WDE10" s="2"/>
      <c r="WDF10" s="2"/>
      <c r="WDG10" s="2"/>
      <c r="WDH10" s="2"/>
      <c r="WDI10" s="2"/>
      <c r="WDJ10" s="2"/>
      <c r="WDK10" s="2"/>
      <c r="WDL10" s="2"/>
      <c r="WDM10" s="2"/>
      <c r="WDN10" s="2"/>
      <c r="WDO10" s="2"/>
      <c r="WDP10" s="2"/>
      <c r="WDQ10" s="2"/>
      <c r="WDR10" s="2"/>
      <c r="WDS10" s="2"/>
      <c r="WDT10" s="2"/>
      <c r="WDU10" s="2"/>
      <c r="WDV10" s="2"/>
      <c r="WDW10" s="2"/>
      <c r="WDX10" s="2"/>
      <c r="WDY10" s="2"/>
      <c r="WDZ10" s="2"/>
      <c r="WEA10" s="2"/>
      <c r="WEB10" s="2"/>
      <c r="WEC10" s="2"/>
      <c r="WED10" s="2"/>
      <c r="WEE10" s="2"/>
      <c r="WEF10" s="2"/>
      <c r="WEG10" s="2"/>
      <c r="WEH10" s="2"/>
      <c r="WEI10" s="2"/>
      <c r="WEJ10" s="2"/>
      <c r="WEK10" s="2"/>
      <c r="WEL10" s="2"/>
      <c r="WEM10" s="2"/>
      <c r="WEN10" s="2"/>
      <c r="WEO10" s="2"/>
      <c r="WEP10" s="2"/>
      <c r="WEQ10" s="2"/>
      <c r="WER10" s="2"/>
      <c r="WES10" s="2"/>
      <c r="WET10" s="2"/>
      <c r="WEU10" s="2"/>
      <c r="WEV10" s="2"/>
      <c r="WEW10" s="2"/>
      <c r="WEX10" s="2"/>
      <c r="WEY10" s="2"/>
      <c r="WEZ10" s="2"/>
      <c r="WFA10" s="2"/>
      <c r="WFB10" s="2"/>
      <c r="WFC10" s="2"/>
      <c r="WFD10" s="2"/>
      <c r="WFE10" s="2"/>
      <c r="WFF10" s="2"/>
      <c r="WFG10" s="2"/>
      <c r="WFH10" s="2"/>
      <c r="WFI10" s="2"/>
      <c r="WFJ10" s="2"/>
      <c r="WFK10" s="2"/>
      <c r="WFL10" s="2"/>
      <c r="WFM10" s="2"/>
      <c r="WFN10" s="2"/>
      <c r="WFO10" s="2"/>
      <c r="WFP10" s="2"/>
      <c r="WFQ10" s="2"/>
      <c r="WFR10" s="2"/>
      <c r="WFS10" s="2"/>
      <c r="WFT10" s="2"/>
      <c r="WFU10" s="2"/>
      <c r="WFV10" s="2"/>
      <c r="WFW10" s="2"/>
      <c r="WFX10" s="2"/>
      <c r="WFY10" s="2"/>
      <c r="WFZ10" s="2"/>
      <c r="WGA10" s="2"/>
      <c r="WGB10" s="2"/>
      <c r="WGC10" s="2"/>
      <c r="WGD10" s="2"/>
      <c r="WGE10" s="2"/>
      <c r="WGF10" s="2"/>
      <c r="WGG10" s="2"/>
      <c r="WGH10" s="2"/>
      <c r="WGI10" s="2"/>
      <c r="WGJ10" s="2"/>
      <c r="WGK10" s="2"/>
      <c r="WGL10" s="2"/>
      <c r="WGM10" s="2"/>
      <c r="WGN10" s="2"/>
      <c r="WGO10" s="2"/>
      <c r="WGP10" s="2"/>
      <c r="WGQ10" s="2"/>
      <c r="WGR10" s="2"/>
      <c r="WGS10" s="2"/>
      <c r="WGT10" s="2"/>
      <c r="WGU10" s="2"/>
      <c r="WGV10" s="2"/>
      <c r="WGW10" s="2"/>
      <c r="WGX10" s="2"/>
      <c r="WGY10" s="2"/>
      <c r="WGZ10" s="2"/>
      <c r="WHA10" s="2"/>
      <c r="WHB10" s="2"/>
      <c r="WHC10" s="2"/>
      <c r="WHD10" s="2"/>
      <c r="WHE10" s="2"/>
      <c r="WHF10" s="2"/>
      <c r="WHG10" s="2"/>
      <c r="WHH10" s="2"/>
      <c r="WHI10" s="2"/>
      <c r="WHJ10" s="2"/>
      <c r="WHK10" s="2"/>
      <c r="WHL10" s="2"/>
      <c r="WHM10" s="2"/>
      <c r="WHN10" s="2"/>
      <c r="WHO10" s="2"/>
      <c r="WHP10" s="2"/>
      <c r="WHQ10" s="2"/>
      <c r="WHR10" s="2"/>
      <c r="WHS10" s="2"/>
      <c r="WHT10" s="2"/>
      <c r="WHU10" s="2"/>
      <c r="WHV10" s="2"/>
      <c r="WHW10" s="2"/>
      <c r="WHX10" s="2"/>
      <c r="WHY10" s="2"/>
      <c r="WHZ10" s="2"/>
      <c r="WIA10" s="2"/>
      <c r="WIB10" s="2"/>
      <c r="WIC10" s="2"/>
      <c r="WID10" s="2"/>
      <c r="WIE10" s="2"/>
      <c r="WIF10" s="2"/>
      <c r="WIG10" s="2"/>
      <c r="WIH10" s="2"/>
      <c r="WII10" s="2"/>
      <c r="WIJ10" s="2"/>
      <c r="WIK10" s="2"/>
      <c r="WIL10" s="2"/>
      <c r="WIM10" s="2"/>
      <c r="WIN10" s="2"/>
      <c r="WIO10" s="2"/>
      <c r="WIP10" s="2"/>
      <c r="WIQ10" s="2"/>
      <c r="WIR10" s="2"/>
      <c r="WIS10" s="2"/>
      <c r="WIT10" s="2"/>
      <c r="WIU10" s="2"/>
      <c r="WIV10" s="2"/>
      <c r="WIW10" s="2"/>
      <c r="WIX10" s="2"/>
      <c r="WIY10" s="2"/>
      <c r="WIZ10" s="2"/>
      <c r="WJA10" s="2"/>
      <c r="WJB10" s="2"/>
      <c r="WJC10" s="2"/>
      <c r="WJD10" s="2"/>
      <c r="WJE10" s="2"/>
      <c r="WJF10" s="2"/>
      <c r="WJG10" s="2"/>
      <c r="WJH10" s="2"/>
      <c r="WJI10" s="2"/>
      <c r="WJJ10" s="2"/>
      <c r="WJK10" s="2"/>
      <c r="WJL10" s="2"/>
      <c r="WJM10" s="2"/>
      <c r="WJN10" s="2"/>
      <c r="WJO10" s="2"/>
      <c r="WJP10" s="2"/>
      <c r="WJQ10" s="2"/>
      <c r="WJR10" s="2"/>
      <c r="WJS10" s="2"/>
      <c r="WJT10" s="2"/>
      <c r="WJU10" s="2"/>
      <c r="WJV10" s="2"/>
      <c r="WJW10" s="2"/>
      <c r="WJX10" s="2"/>
      <c r="WJY10" s="2"/>
      <c r="WJZ10" s="2"/>
      <c r="WKA10" s="2"/>
      <c r="WKB10" s="2"/>
      <c r="WKC10" s="2"/>
      <c r="WKD10" s="2"/>
      <c r="WKE10" s="2"/>
      <c r="WKF10" s="2"/>
      <c r="WKG10" s="2"/>
      <c r="WKH10" s="2"/>
      <c r="WKI10" s="2"/>
      <c r="WKJ10" s="2"/>
      <c r="WKK10" s="2"/>
      <c r="WKL10" s="2"/>
      <c r="WKM10" s="2"/>
      <c r="WKN10" s="2"/>
      <c r="WKO10" s="2"/>
      <c r="WKP10" s="2"/>
      <c r="WKQ10" s="2"/>
      <c r="WKR10" s="2"/>
      <c r="WKS10" s="2"/>
      <c r="WKT10" s="2"/>
      <c r="WKU10" s="2"/>
      <c r="WKV10" s="2"/>
      <c r="WKW10" s="2"/>
      <c r="WKX10" s="2"/>
      <c r="WKY10" s="2"/>
      <c r="WKZ10" s="2"/>
      <c r="WLA10" s="2"/>
      <c r="WLB10" s="2"/>
      <c r="WLC10" s="2"/>
      <c r="WLD10" s="2"/>
      <c r="WLE10" s="2"/>
      <c r="WLF10" s="2"/>
      <c r="WLG10" s="2"/>
      <c r="WLH10" s="2"/>
      <c r="WLI10" s="2"/>
      <c r="WLJ10" s="2"/>
      <c r="WLK10" s="2"/>
      <c r="WLL10" s="2"/>
      <c r="WLM10" s="2"/>
      <c r="WLN10" s="2"/>
      <c r="WLO10" s="2"/>
      <c r="WLP10" s="2"/>
      <c r="WLQ10" s="2"/>
      <c r="WLR10" s="2"/>
      <c r="WLS10" s="2"/>
      <c r="WLT10" s="2"/>
      <c r="WLU10" s="2"/>
      <c r="WLV10" s="2"/>
      <c r="WLW10" s="2"/>
      <c r="WLX10" s="2"/>
      <c r="WLY10" s="2"/>
      <c r="WLZ10" s="2"/>
      <c r="WMA10" s="2"/>
      <c r="WMB10" s="2"/>
      <c r="WMC10" s="2"/>
      <c r="WMD10" s="2"/>
      <c r="WME10" s="2"/>
      <c r="WMF10" s="2"/>
      <c r="WMG10" s="2"/>
      <c r="WMH10" s="2"/>
      <c r="WMI10" s="2"/>
      <c r="WMJ10" s="2"/>
      <c r="WMK10" s="2"/>
      <c r="WML10" s="2"/>
      <c r="WMM10" s="2"/>
      <c r="WMN10" s="2"/>
      <c r="WMO10" s="2"/>
      <c r="WMP10" s="2"/>
      <c r="WMQ10" s="2"/>
      <c r="WMR10" s="2"/>
      <c r="WMS10" s="2"/>
      <c r="WMT10" s="2"/>
      <c r="WMU10" s="2"/>
      <c r="WMV10" s="2"/>
      <c r="WMW10" s="2"/>
      <c r="WMX10" s="2"/>
      <c r="WMY10" s="2"/>
      <c r="WMZ10" s="2"/>
      <c r="WNA10" s="2"/>
      <c r="WNB10" s="2"/>
      <c r="WNC10" s="2"/>
      <c r="WND10" s="2"/>
      <c r="WNE10" s="2"/>
      <c r="WNF10" s="2"/>
      <c r="WNG10" s="2"/>
      <c r="WNH10" s="2"/>
      <c r="WNI10" s="2"/>
      <c r="WNJ10" s="2"/>
      <c r="WNK10" s="2"/>
      <c r="WNL10" s="2"/>
      <c r="WNM10" s="2"/>
      <c r="WNN10" s="2"/>
      <c r="WNO10" s="2"/>
      <c r="WNP10" s="2"/>
      <c r="WNQ10" s="2"/>
      <c r="WNR10" s="2"/>
      <c r="WNS10" s="2"/>
      <c r="WNT10" s="2"/>
      <c r="WNU10" s="2"/>
      <c r="WNV10" s="2"/>
      <c r="WNW10" s="2"/>
      <c r="WNX10" s="2"/>
      <c r="WNY10" s="2"/>
      <c r="WNZ10" s="2"/>
      <c r="WOA10" s="2"/>
      <c r="WOB10" s="2"/>
      <c r="WOC10" s="2"/>
      <c r="WOD10" s="2"/>
      <c r="WOE10" s="2"/>
      <c r="WOF10" s="2"/>
      <c r="WOG10" s="2"/>
      <c r="WOH10" s="2"/>
      <c r="WOI10" s="2"/>
      <c r="WOJ10" s="2"/>
      <c r="WOK10" s="2"/>
      <c r="WOL10" s="2"/>
      <c r="WOM10" s="2"/>
      <c r="WON10" s="2"/>
      <c r="WOO10" s="2"/>
      <c r="WOP10" s="2"/>
      <c r="WOQ10" s="2"/>
      <c r="WOR10" s="2"/>
      <c r="WOS10" s="2"/>
      <c r="WOT10" s="2"/>
      <c r="WOU10" s="2"/>
      <c r="WOV10" s="2"/>
      <c r="WOW10" s="2"/>
      <c r="WOX10" s="2"/>
      <c r="WOY10" s="2"/>
      <c r="WOZ10" s="2"/>
      <c r="WPA10" s="2"/>
      <c r="WPB10" s="2"/>
      <c r="WPC10" s="2"/>
      <c r="WPD10" s="2"/>
      <c r="WPE10" s="2"/>
      <c r="WPF10" s="2"/>
      <c r="WPG10" s="2"/>
      <c r="WPH10" s="2"/>
      <c r="WPI10" s="2"/>
      <c r="WPJ10" s="2"/>
      <c r="WPK10" s="2"/>
      <c r="WPL10" s="2"/>
      <c r="WPM10" s="2"/>
      <c r="WPN10" s="2"/>
      <c r="WPO10" s="2"/>
      <c r="WPP10" s="2"/>
      <c r="WPQ10" s="2"/>
      <c r="WPR10" s="2"/>
      <c r="WPS10" s="2"/>
      <c r="WPT10" s="2"/>
      <c r="WPU10" s="2"/>
      <c r="WPV10" s="2"/>
      <c r="WPW10" s="2"/>
      <c r="WPX10" s="2"/>
      <c r="WPY10" s="2"/>
      <c r="WPZ10" s="2"/>
      <c r="WQA10" s="2"/>
      <c r="WQB10" s="2"/>
      <c r="WQC10" s="2"/>
      <c r="WQD10" s="2"/>
      <c r="WQE10" s="2"/>
      <c r="WQF10" s="2"/>
      <c r="WQG10" s="2"/>
      <c r="WQH10" s="2"/>
      <c r="WQI10" s="2"/>
      <c r="WQJ10" s="2"/>
      <c r="WQK10" s="2"/>
      <c r="WQL10" s="2"/>
      <c r="WQM10" s="2"/>
      <c r="WQN10" s="2"/>
      <c r="WQO10" s="2"/>
      <c r="WQP10" s="2"/>
      <c r="WQQ10" s="2"/>
      <c r="WQR10" s="2"/>
      <c r="WQS10" s="2"/>
      <c r="WQT10" s="2"/>
      <c r="WQU10" s="2"/>
      <c r="WQV10" s="2"/>
      <c r="WQW10" s="2"/>
      <c r="WQX10" s="2"/>
      <c r="WQY10" s="2"/>
      <c r="WQZ10" s="2"/>
      <c r="WRA10" s="2"/>
      <c r="WRB10" s="2"/>
      <c r="WRC10" s="2"/>
      <c r="WRD10" s="2"/>
      <c r="WRE10" s="2"/>
      <c r="WRF10" s="2"/>
      <c r="WRG10" s="2"/>
      <c r="WRH10" s="2"/>
      <c r="WRI10" s="2"/>
      <c r="WRJ10" s="2"/>
      <c r="WRK10" s="2"/>
      <c r="WRL10" s="2"/>
      <c r="WRM10" s="2"/>
      <c r="WRN10" s="2"/>
      <c r="WRO10" s="2"/>
      <c r="WRP10" s="2"/>
      <c r="WRQ10" s="2"/>
      <c r="WRR10" s="2"/>
      <c r="WRS10" s="2"/>
      <c r="WRT10" s="2"/>
      <c r="WRU10" s="2"/>
      <c r="WRV10" s="2"/>
      <c r="WRW10" s="2"/>
      <c r="WRX10" s="2"/>
      <c r="WRY10" s="2"/>
      <c r="WRZ10" s="2"/>
      <c r="WSA10" s="2"/>
      <c r="WSB10" s="2"/>
      <c r="WSC10" s="2"/>
      <c r="WSD10" s="2"/>
      <c r="WSE10" s="2"/>
      <c r="WSF10" s="2"/>
      <c r="WSG10" s="2"/>
      <c r="WSH10" s="2"/>
      <c r="WSI10" s="2"/>
      <c r="WSJ10" s="2"/>
      <c r="WSK10" s="2"/>
      <c r="WSL10" s="2"/>
      <c r="WSM10" s="2"/>
      <c r="WSN10" s="2"/>
      <c r="WSO10" s="2"/>
      <c r="WSP10" s="2"/>
      <c r="WSQ10" s="2"/>
      <c r="WSR10" s="2"/>
      <c r="WSS10" s="2"/>
      <c r="WST10" s="2"/>
      <c r="WSU10" s="2"/>
      <c r="WSV10" s="2"/>
      <c r="WSW10" s="2"/>
      <c r="WSX10" s="2"/>
      <c r="WSY10" s="2"/>
      <c r="WSZ10" s="2"/>
      <c r="WTA10" s="2"/>
      <c r="WTB10" s="2"/>
      <c r="WTC10" s="2"/>
      <c r="WTD10" s="2"/>
      <c r="WTE10" s="2"/>
      <c r="WTF10" s="2"/>
      <c r="WTG10" s="2"/>
      <c r="WTH10" s="2"/>
      <c r="WTI10" s="2"/>
      <c r="WTJ10" s="2"/>
      <c r="WTK10" s="2"/>
      <c r="WTL10" s="2"/>
      <c r="WTM10" s="2"/>
      <c r="WTN10" s="2"/>
      <c r="WTO10" s="2"/>
      <c r="WTP10" s="2"/>
      <c r="WTQ10" s="2"/>
      <c r="WTR10" s="2"/>
      <c r="WTS10" s="2"/>
      <c r="WTT10" s="2"/>
      <c r="WTU10" s="2"/>
      <c r="WTV10" s="2"/>
      <c r="WTW10" s="2"/>
      <c r="WTX10" s="2"/>
      <c r="WTY10" s="2"/>
      <c r="WTZ10" s="2"/>
      <c r="WUA10" s="2"/>
      <c r="WUB10" s="2"/>
      <c r="WUC10" s="2"/>
      <c r="WUD10" s="2"/>
      <c r="WUE10" s="2"/>
      <c r="WUF10" s="2"/>
      <c r="WUG10" s="2"/>
      <c r="WUH10" s="2"/>
      <c r="WUI10" s="2"/>
      <c r="WUJ10" s="2"/>
      <c r="WUK10" s="2"/>
      <c r="WUL10" s="2"/>
      <c r="WUM10" s="2"/>
      <c r="WUN10" s="2"/>
      <c r="WUO10" s="2"/>
      <c r="WUP10" s="2"/>
      <c r="WUQ10" s="2"/>
      <c r="WUR10" s="2"/>
      <c r="WUS10" s="2"/>
      <c r="WUT10" s="2"/>
      <c r="WUU10" s="2"/>
      <c r="WUV10" s="2"/>
      <c r="WUW10" s="2"/>
      <c r="WUX10" s="2"/>
      <c r="WUY10" s="2"/>
      <c r="WUZ10" s="2"/>
      <c r="WVA10" s="2"/>
      <c r="WVB10" s="2"/>
      <c r="WVC10" s="2"/>
      <c r="WVD10" s="2"/>
      <c r="WVE10" s="2"/>
      <c r="WVF10" s="2"/>
      <c r="WVG10" s="2"/>
      <c r="WVH10" s="2"/>
      <c r="WVI10" s="2"/>
      <c r="WVJ10" s="2"/>
      <c r="WVK10" s="2"/>
      <c r="WVL10" s="2"/>
      <c r="WVM10" s="2"/>
      <c r="WVN10" s="2"/>
      <c r="WVO10" s="2"/>
      <c r="WVP10" s="2"/>
      <c r="WVQ10" s="2"/>
      <c r="WVR10" s="2"/>
      <c r="WVS10" s="2"/>
      <c r="WVT10" s="2"/>
      <c r="WVU10" s="2"/>
      <c r="WVV10" s="2"/>
      <c r="WVW10" s="2"/>
      <c r="WVX10" s="2"/>
      <c r="WVY10" s="2"/>
      <c r="WVZ10" s="2"/>
      <c r="WWA10" s="2"/>
      <c r="WWB10" s="2"/>
      <c r="WWC10" s="2"/>
      <c r="WWD10" s="2"/>
      <c r="WWE10" s="2"/>
      <c r="WWF10" s="2"/>
      <c r="WWG10" s="2"/>
      <c r="WWH10" s="2"/>
      <c r="WWI10" s="2"/>
      <c r="WWJ10" s="2"/>
      <c r="WWK10" s="2"/>
      <c r="WWL10" s="2"/>
      <c r="WWM10" s="2"/>
      <c r="WWN10" s="2"/>
      <c r="WWO10" s="2"/>
      <c r="WWP10" s="2"/>
      <c r="WWQ10" s="2"/>
      <c r="WWR10" s="2"/>
      <c r="WWS10" s="2"/>
      <c r="WWT10" s="2"/>
      <c r="WWU10" s="2"/>
      <c r="WWV10" s="2"/>
      <c r="WWW10" s="2"/>
      <c r="WWX10" s="2"/>
      <c r="WWY10" s="2"/>
      <c r="WWZ10" s="2"/>
      <c r="WXA10" s="2"/>
      <c r="WXB10" s="2"/>
      <c r="WXC10" s="2"/>
      <c r="WXD10" s="2"/>
      <c r="WXE10" s="2"/>
      <c r="WXF10" s="2"/>
      <c r="WXG10" s="2"/>
      <c r="WXH10" s="2"/>
      <c r="WXI10" s="2"/>
      <c r="WXJ10" s="2"/>
      <c r="WXK10" s="2"/>
      <c r="WXL10" s="2"/>
      <c r="WXM10" s="2"/>
      <c r="WXN10" s="2"/>
      <c r="WXO10" s="2"/>
      <c r="WXP10" s="2"/>
      <c r="WXQ10" s="2"/>
      <c r="WXR10" s="2"/>
      <c r="WXS10" s="2"/>
      <c r="WXT10" s="2"/>
      <c r="WXU10" s="2"/>
      <c r="WXV10" s="2"/>
      <c r="WXW10" s="2"/>
      <c r="WXX10" s="2"/>
      <c r="WXY10" s="2"/>
      <c r="WXZ10" s="2"/>
      <c r="WYA10" s="2"/>
      <c r="WYB10" s="2"/>
      <c r="WYC10" s="2"/>
      <c r="WYD10" s="2"/>
      <c r="WYE10" s="2"/>
      <c r="WYF10" s="2"/>
      <c r="WYG10" s="2"/>
      <c r="WYH10" s="2"/>
      <c r="WYI10" s="2"/>
      <c r="WYJ10" s="2"/>
      <c r="WYK10" s="2"/>
      <c r="WYL10" s="2"/>
      <c r="WYM10" s="2"/>
      <c r="WYN10" s="2"/>
      <c r="WYO10" s="2"/>
      <c r="WYP10" s="2"/>
      <c r="WYQ10" s="2"/>
      <c r="WYR10" s="2"/>
      <c r="WYS10" s="2"/>
      <c r="WYT10" s="2"/>
      <c r="WYU10" s="2"/>
      <c r="WYV10" s="2"/>
      <c r="WYW10" s="2"/>
      <c r="WYX10" s="2"/>
      <c r="WYY10" s="2"/>
      <c r="WYZ10" s="2"/>
      <c r="WZA10" s="2"/>
      <c r="WZB10" s="2"/>
      <c r="WZC10" s="2"/>
      <c r="WZD10" s="2"/>
      <c r="WZE10" s="2"/>
      <c r="WZF10" s="2"/>
      <c r="WZG10" s="2"/>
      <c r="WZH10" s="2"/>
      <c r="WZI10" s="2"/>
      <c r="WZJ10" s="2"/>
      <c r="WZK10" s="2"/>
      <c r="WZL10" s="2"/>
      <c r="WZM10" s="2"/>
      <c r="WZN10" s="2"/>
      <c r="WZO10" s="2"/>
      <c r="WZP10" s="2"/>
      <c r="WZQ10" s="2"/>
      <c r="WZR10" s="2"/>
      <c r="WZS10" s="2"/>
      <c r="WZT10" s="2"/>
      <c r="WZU10" s="2"/>
      <c r="WZV10" s="2"/>
      <c r="WZW10" s="2"/>
      <c r="WZX10" s="2"/>
      <c r="WZY10" s="2"/>
      <c r="WZZ10" s="2"/>
      <c r="XAA10" s="2"/>
      <c r="XAB10" s="2"/>
      <c r="XAC10" s="2"/>
      <c r="XAD10" s="2"/>
      <c r="XAE10" s="2"/>
      <c r="XAF10" s="2"/>
      <c r="XAG10" s="2"/>
      <c r="XAH10" s="2"/>
      <c r="XAI10" s="2"/>
      <c r="XAJ10" s="2"/>
      <c r="XAK10" s="2"/>
      <c r="XAL10" s="2"/>
      <c r="XAM10" s="2"/>
      <c r="XAN10" s="2"/>
      <c r="XAO10" s="2"/>
      <c r="XAP10" s="2"/>
      <c r="XAQ10" s="2"/>
      <c r="XAR10" s="2"/>
      <c r="XAS10" s="2"/>
      <c r="XAT10" s="2"/>
      <c r="XAU10" s="2"/>
      <c r="XAV10" s="2"/>
      <c r="XAW10" s="2"/>
      <c r="XAX10" s="2"/>
      <c r="XAY10" s="2"/>
      <c r="XAZ10" s="2"/>
      <c r="XBA10" s="2"/>
      <c r="XBB10" s="2"/>
      <c r="XBC10" s="2"/>
      <c r="XBD10" s="2"/>
      <c r="XBE10" s="2"/>
      <c r="XBF10" s="2"/>
      <c r="XBG10" s="2"/>
      <c r="XBH10" s="2"/>
      <c r="XBI10" s="2"/>
      <c r="XBJ10" s="2"/>
      <c r="XBK10" s="2"/>
      <c r="XBL10" s="2"/>
      <c r="XBM10" s="2"/>
      <c r="XBN10" s="2"/>
      <c r="XBO10" s="2"/>
      <c r="XBP10" s="2"/>
      <c r="XBQ10" s="2"/>
      <c r="XBR10" s="2"/>
      <c r="XBS10" s="2"/>
      <c r="XBT10" s="2"/>
      <c r="XBU10" s="2"/>
      <c r="XBV10" s="2"/>
      <c r="XBW10" s="2"/>
      <c r="XBX10" s="2"/>
      <c r="XBY10" s="2"/>
      <c r="XBZ10" s="2"/>
      <c r="XCA10" s="2"/>
      <c r="XCB10" s="2"/>
      <c r="XCC10" s="2"/>
      <c r="XCD10" s="2"/>
      <c r="XCE10" s="2"/>
      <c r="XCF10" s="2"/>
      <c r="XCG10" s="2"/>
      <c r="XCH10" s="2"/>
      <c r="XCI10" s="2"/>
      <c r="XCJ10" s="2"/>
      <c r="XCK10" s="2"/>
      <c r="XCL10" s="2"/>
      <c r="XCM10" s="2"/>
      <c r="XCN10" s="2"/>
      <c r="XCO10" s="2"/>
      <c r="XCP10" s="2"/>
      <c r="XCQ10" s="2"/>
      <c r="XCR10" s="2"/>
      <c r="XCS10" s="2"/>
      <c r="XCT10" s="2"/>
      <c r="XCU10" s="2"/>
      <c r="XCV10" s="2"/>
      <c r="XCW10" s="2"/>
      <c r="XCX10" s="2"/>
      <c r="XCY10" s="2"/>
      <c r="XCZ10" s="2"/>
      <c r="XDA10" s="2"/>
      <c r="XDB10" s="2"/>
      <c r="XDC10" s="2"/>
      <c r="XDD10" s="2"/>
      <c r="XDE10" s="2"/>
      <c r="XDF10" s="2"/>
      <c r="XDG10" s="2"/>
      <c r="XDH10" s="2"/>
      <c r="XDI10" s="2"/>
      <c r="XDJ10" s="2"/>
      <c r="XDK10" s="2"/>
      <c r="XDL10" s="2"/>
      <c r="XDM10" s="2"/>
      <c r="XDN10" s="2"/>
      <c r="XDO10" s="2"/>
      <c r="XDP10" s="2"/>
      <c r="XDQ10" s="2"/>
      <c r="XDR10" s="2"/>
      <c r="XDS10" s="2"/>
      <c r="XDT10" s="2"/>
      <c r="XDU10" s="2"/>
      <c r="XDV10" s="2"/>
      <c r="XDW10" s="2"/>
      <c r="XDX10" s="2"/>
      <c r="XDY10" s="2"/>
      <c r="XDZ10" s="2"/>
      <c r="XEA10" s="2"/>
      <c r="XEB10" s="2"/>
      <c r="XEC10" s="2"/>
    </row>
    <row r="11" spans="1:16384" customFormat="1" ht="15.95" customHeight="1" x14ac:dyDescent="0.25">
      <c r="A11" s="19" t="s">
        <v>161</v>
      </c>
      <c r="B11" s="19" t="s">
        <v>162</v>
      </c>
      <c r="C11" s="33">
        <v>2</v>
      </c>
      <c r="D11" s="33">
        <v>2</v>
      </c>
      <c r="E11" s="33">
        <v>2</v>
      </c>
      <c r="F11" s="33">
        <v>21</v>
      </c>
      <c r="G11" s="33">
        <v>0</v>
      </c>
      <c r="H11" s="33" cm="1">
        <f t="array" ref="H11">G11*_xlfn.IFS(Настройки!$B$2="M",'Печатные изд.'!C11,Настройки!$B$2="L",'Печатные изд.'!D11,Настройки!$B$2="XL",'Печатные изд.'!E11)</f>
        <v>0</v>
      </c>
      <c r="I11" s="41">
        <f t="shared" si="0"/>
        <v>0</v>
      </c>
      <c r="J11" s="33" t="s">
        <v>509</v>
      </c>
      <c r="K11" s="41" cm="1">
        <f t="array" ref="K11">_xlfn.IFS(J11="Высоконагруженная",Настройки!$B$6,J11="Средне-нагруженная",Настройки!$B$7,J11="Ненагруженная",Настройки!$B$8,J11="Гибкая",Настройки!$B$9)</f>
        <v>1.21</v>
      </c>
      <c r="L11" s="41" cm="1">
        <f t="array" ref="L11">_xlfn.IFS(J11="Высоконагруженная",Настройки!$C$6,J11="Средне-нагруженная",Настройки!$C$7,J11="Ненагруженная",Настройки!$C$8,J11="Гибкая",Настройки!$C$9)/1000</f>
        <v>5</v>
      </c>
      <c r="M11" s="51">
        <f t="shared" si="1"/>
        <v>0</v>
      </c>
      <c r="N11" s="51">
        <f t="shared" si="2"/>
        <v>0</v>
      </c>
      <c r="O11" s="51">
        <f t="shared" si="3"/>
        <v>0</v>
      </c>
      <c r="P11" s="51">
        <f t="shared" si="4"/>
        <v>0</v>
      </c>
      <c r="Q11" s="52">
        <f t="shared" si="5"/>
        <v>0</v>
      </c>
      <c r="R11" s="43" t="s">
        <v>511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  <c r="CEP11" s="2"/>
      <c r="CEQ11" s="2"/>
      <c r="CER11" s="2"/>
      <c r="CES11" s="2"/>
      <c r="CET11" s="2"/>
      <c r="CEU11" s="2"/>
      <c r="CEV11" s="2"/>
      <c r="CEW11" s="2"/>
      <c r="CEX11" s="2"/>
      <c r="CEY11" s="2"/>
      <c r="CEZ11" s="2"/>
      <c r="CFA11" s="2"/>
      <c r="CFB11" s="2"/>
      <c r="CFC11" s="2"/>
      <c r="CFD11" s="2"/>
      <c r="CFE11" s="2"/>
      <c r="CFF11" s="2"/>
      <c r="CFG11" s="2"/>
      <c r="CFH11" s="2"/>
      <c r="CFI11" s="2"/>
      <c r="CFJ11" s="2"/>
      <c r="CFK11" s="2"/>
      <c r="CFL11" s="2"/>
      <c r="CFM11" s="2"/>
      <c r="CFN11" s="2"/>
      <c r="CFO11" s="2"/>
      <c r="CFP11" s="2"/>
      <c r="CFQ11" s="2"/>
      <c r="CFR11" s="2"/>
      <c r="CFS11" s="2"/>
      <c r="CFT11" s="2"/>
      <c r="CFU11" s="2"/>
      <c r="CFV11" s="2"/>
      <c r="CFW11" s="2"/>
      <c r="CFX11" s="2"/>
      <c r="CFY11" s="2"/>
      <c r="CFZ11" s="2"/>
      <c r="CGA11" s="2"/>
      <c r="CGB11" s="2"/>
      <c r="CGC11" s="2"/>
      <c r="CGD11" s="2"/>
      <c r="CGE11" s="2"/>
      <c r="CGF11" s="2"/>
      <c r="CGG11" s="2"/>
      <c r="CGH11" s="2"/>
      <c r="CGI11" s="2"/>
      <c r="CGJ11" s="2"/>
      <c r="CGK11" s="2"/>
      <c r="CGL11" s="2"/>
      <c r="CGM11" s="2"/>
      <c r="CGN11" s="2"/>
      <c r="CGO11" s="2"/>
      <c r="CGP11" s="2"/>
      <c r="CGQ11" s="2"/>
      <c r="CGR11" s="2"/>
      <c r="CGS11" s="2"/>
      <c r="CGT11" s="2"/>
      <c r="CGU11" s="2"/>
      <c r="CGV11" s="2"/>
      <c r="CGW11" s="2"/>
      <c r="CGX11" s="2"/>
      <c r="CGY11" s="2"/>
      <c r="CGZ11" s="2"/>
      <c r="CHA11" s="2"/>
      <c r="CHB11" s="2"/>
      <c r="CHC11" s="2"/>
      <c r="CHD11" s="2"/>
      <c r="CHE11" s="2"/>
      <c r="CHF11" s="2"/>
      <c r="CHG11" s="2"/>
      <c r="CHH11" s="2"/>
      <c r="CHI11" s="2"/>
      <c r="CHJ11" s="2"/>
      <c r="CHK11" s="2"/>
      <c r="CHL11" s="2"/>
      <c r="CHM11" s="2"/>
      <c r="CHN11" s="2"/>
      <c r="CHO11" s="2"/>
      <c r="CHP11" s="2"/>
      <c r="CHQ11" s="2"/>
      <c r="CHR11" s="2"/>
      <c r="CHS11" s="2"/>
      <c r="CHT11" s="2"/>
      <c r="CHU11" s="2"/>
      <c r="CHV11" s="2"/>
      <c r="CHW11" s="2"/>
      <c r="CHX11" s="2"/>
      <c r="CHY11" s="2"/>
      <c r="CHZ11" s="2"/>
      <c r="CIA11" s="2"/>
      <c r="CIB11" s="2"/>
      <c r="CIC11" s="2"/>
      <c r="CID11" s="2"/>
      <c r="CIE11" s="2"/>
      <c r="CIF11" s="2"/>
      <c r="CIG11" s="2"/>
      <c r="CIH11" s="2"/>
      <c r="CII11" s="2"/>
      <c r="CIJ11" s="2"/>
      <c r="CIK11" s="2"/>
      <c r="CIL11" s="2"/>
      <c r="CIM11" s="2"/>
      <c r="CIN11" s="2"/>
      <c r="CIO11" s="2"/>
      <c r="CIP11" s="2"/>
      <c r="CIQ11" s="2"/>
      <c r="CIR11" s="2"/>
      <c r="CIS11" s="2"/>
      <c r="CIT11" s="2"/>
      <c r="CIU11" s="2"/>
      <c r="CIV11" s="2"/>
      <c r="CIW11" s="2"/>
      <c r="CIX11" s="2"/>
      <c r="CIY11" s="2"/>
      <c r="CIZ11" s="2"/>
      <c r="CJA11" s="2"/>
      <c r="CJB11" s="2"/>
      <c r="CJC11" s="2"/>
      <c r="CJD11" s="2"/>
      <c r="CJE11" s="2"/>
      <c r="CJF11" s="2"/>
      <c r="CJG11" s="2"/>
      <c r="CJH11" s="2"/>
      <c r="CJI11" s="2"/>
      <c r="CJJ11" s="2"/>
      <c r="CJK11" s="2"/>
      <c r="CJL11" s="2"/>
      <c r="CJM11" s="2"/>
      <c r="CJN11" s="2"/>
      <c r="CJO11" s="2"/>
      <c r="CJP11" s="2"/>
      <c r="CJQ11" s="2"/>
      <c r="CJR11" s="2"/>
      <c r="CJS11" s="2"/>
      <c r="CJT11" s="2"/>
      <c r="CJU11" s="2"/>
      <c r="CJV11" s="2"/>
      <c r="CJW11" s="2"/>
      <c r="CJX11" s="2"/>
      <c r="CJY11" s="2"/>
      <c r="CJZ11" s="2"/>
      <c r="CKA11" s="2"/>
      <c r="CKB11" s="2"/>
      <c r="CKC11" s="2"/>
      <c r="CKD11" s="2"/>
      <c r="CKE11" s="2"/>
      <c r="CKF11" s="2"/>
      <c r="CKG11" s="2"/>
      <c r="CKH11" s="2"/>
      <c r="CKI11" s="2"/>
      <c r="CKJ11" s="2"/>
      <c r="CKK11" s="2"/>
      <c r="CKL11" s="2"/>
      <c r="CKM11" s="2"/>
      <c r="CKN11" s="2"/>
      <c r="CKO11" s="2"/>
      <c r="CKP11" s="2"/>
      <c r="CKQ11" s="2"/>
      <c r="CKR11" s="2"/>
      <c r="CKS11" s="2"/>
      <c r="CKT11" s="2"/>
      <c r="CKU11" s="2"/>
      <c r="CKV11" s="2"/>
      <c r="CKW11" s="2"/>
      <c r="CKX11" s="2"/>
      <c r="CKY11" s="2"/>
      <c r="CKZ11" s="2"/>
      <c r="CLA11" s="2"/>
      <c r="CLB11" s="2"/>
      <c r="CLC11" s="2"/>
      <c r="CLD11" s="2"/>
      <c r="CLE11" s="2"/>
      <c r="CLF11" s="2"/>
      <c r="CLG11" s="2"/>
      <c r="CLH11" s="2"/>
      <c r="CLI11" s="2"/>
      <c r="CLJ11" s="2"/>
      <c r="CLK11" s="2"/>
      <c r="CLL11" s="2"/>
      <c r="CLM11" s="2"/>
      <c r="CLN11" s="2"/>
      <c r="CLO11" s="2"/>
      <c r="CLP11" s="2"/>
      <c r="CLQ11" s="2"/>
      <c r="CLR11" s="2"/>
      <c r="CLS11" s="2"/>
      <c r="CLT11" s="2"/>
      <c r="CLU11" s="2"/>
      <c r="CLV11" s="2"/>
      <c r="CLW11" s="2"/>
      <c r="CLX11" s="2"/>
      <c r="CLY11" s="2"/>
      <c r="CLZ11" s="2"/>
      <c r="CMA11" s="2"/>
      <c r="CMB11" s="2"/>
      <c r="CMC11" s="2"/>
      <c r="CMD11" s="2"/>
      <c r="CME11" s="2"/>
      <c r="CMF11" s="2"/>
      <c r="CMG11" s="2"/>
      <c r="CMH11" s="2"/>
      <c r="CMI11" s="2"/>
      <c r="CMJ11" s="2"/>
      <c r="CMK11" s="2"/>
      <c r="CML11" s="2"/>
      <c r="CMM11" s="2"/>
      <c r="CMN11" s="2"/>
      <c r="CMO11" s="2"/>
      <c r="CMP11" s="2"/>
      <c r="CMQ11" s="2"/>
      <c r="CMR11" s="2"/>
      <c r="CMS11" s="2"/>
      <c r="CMT11" s="2"/>
      <c r="CMU11" s="2"/>
      <c r="CMV11" s="2"/>
      <c r="CMW11" s="2"/>
      <c r="CMX11" s="2"/>
      <c r="CMY11" s="2"/>
      <c r="CMZ11" s="2"/>
      <c r="CNA11" s="2"/>
      <c r="CNB11" s="2"/>
      <c r="CNC11" s="2"/>
      <c r="CND11" s="2"/>
      <c r="CNE11" s="2"/>
      <c r="CNF11" s="2"/>
      <c r="CNG11" s="2"/>
      <c r="CNH11" s="2"/>
      <c r="CNI11" s="2"/>
      <c r="CNJ11" s="2"/>
      <c r="CNK11" s="2"/>
      <c r="CNL11" s="2"/>
      <c r="CNM11" s="2"/>
      <c r="CNN11" s="2"/>
      <c r="CNO11" s="2"/>
      <c r="CNP11" s="2"/>
      <c r="CNQ11" s="2"/>
      <c r="CNR11" s="2"/>
      <c r="CNS11" s="2"/>
      <c r="CNT11" s="2"/>
      <c r="CNU11" s="2"/>
      <c r="CNV11" s="2"/>
      <c r="CNW11" s="2"/>
      <c r="CNX11" s="2"/>
      <c r="CNY11" s="2"/>
      <c r="CNZ11" s="2"/>
      <c r="COA11" s="2"/>
      <c r="COB11" s="2"/>
      <c r="COC11" s="2"/>
      <c r="COD11" s="2"/>
      <c r="COE11" s="2"/>
      <c r="COF11" s="2"/>
      <c r="COG11" s="2"/>
      <c r="COH11" s="2"/>
      <c r="COI11" s="2"/>
      <c r="COJ11" s="2"/>
      <c r="COK11" s="2"/>
      <c r="COL11" s="2"/>
      <c r="COM11" s="2"/>
      <c r="CON11" s="2"/>
      <c r="COO11" s="2"/>
      <c r="COP11" s="2"/>
      <c r="COQ11" s="2"/>
      <c r="COR11" s="2"/>
      <c r="COS11" s="2"/>
      <c r="COT11" s="2"/>
      <c r="COU11" s="2"/>
      <c r="COV11" s="2"/>
      <c r="COW11" s="2"/>
      <c r="COX11" s="2"/>
      <c r="COY11" s="2"/>
      <c r="COZ11" s="2"/>
      <c r="CPA11" s="2"/>
      <c r="CPB11" s="2"/>
      <c r="CPC11" s="2"/>
      <c r="CPD11" s="2"/>
      <c r="CPE11" s="2"/>
      <c r="CPF11" s="2"/>
      <c r="CPG11" s="2"/>
      <c r="CPH11" s="2"/>
      <c r="CPI11" s="2"/>
      <c r="CPJ11" s="2"/>
      <c r="CPK11" s="2"/>
      <c r="CPL11" s="2"/>
      <c r="CPM11" s="2"/>
      <c r="CPN11" s="2"/>
      <c r="CPO11" s="2"/>
      <c r="CPP11" s="2"/>
      <c r="CPQ11" s="2"/>
      <c r="CPR11" s="2"/>
      <c r="CPS11" s="2"/>
      <c r="CPT11" s="2"/>
      <c r="CPU11" s="2"/>
      <c r="CPV11" s="2"/>
      <c r="CPW11" s="2"/>
      <c r="CPX11" s="2"/>
      <c r="CPY11" s="2"/>
      <c r="CPZ11" s="2"/>
      <c r="CQA11" s="2"/>
      <c r="CQB11" s="2"/>
      <c r="CQC11" s="2"/>
      <c r="CQD11" s="2"/>
      <c r="CQE11" s="2"/>
      <c r="CQF11" s="2"/>
      <c r="CQG11" s="2"/>
      <c r="CQH11" s="2"/>
      <c r="CQI11" s="2"/>
      <c r="CQJ11" s="2"/>
      <c r="CQK11" s="2"/>
      <c r="CQL11" s="2"/>
      <c r="CQM11" s="2"/>
      <c r="CQN11" s="2"/>
      <c r="CQO11" s="2"/>
      <c r="CQP11" s="2"/>
      <c r="CQQ11" s="2"/>
      <c r="CQR11" s="2"/>
      <c r="CQS11" s="2"/>
      <c r="CQT11" s="2"/>
      <c r="CQU11" s="2"/>
      <c r="CQV11" s="2"/>
      <c r="CQW11" s="2"/>
      <c r="CQX11" s="2"/>
      <c r="CQY11" s="2"/>
      <c r="CQZ11" s="2"/>
      <c r="CRA11" s="2"/>
      <c r="CRB11" s="2"/>
      <c r="CRC11" s="2"/>
      <c r="CRD11" s="2"/>
      <c r="CRE11" s="2"/>
      <c r="CRF11" s="2"/>
      <c r="CRG11" s="2"/>
      <c r="CRH11" s="2"/>
      <c r="CRI11" s="2"/>
      <c r="CRJ11" s="2"/>
      <c r="CRK11" s="2"/>
      <c r="CRL11" s="2"/>
      <c r="CRM11" s="2"/>
      <c r="CRN11" s="2"/>
      <c r="CRO11" s="2"/>
      <c r="CRP11" s="2"/>
      <c r="CRQ11" s="2"/>
      <c r="CRR11" s="2"/>
      <c r="CRS11" s="2"/>
      <c r="CRT11" s="2"/>
      <c r="CRU11" s="2"/>
      <c r="CRV11" s="2"/>
      <c r="CRW11" s="2"/>
      <c r="CRX11" s="2"/>
      <c r="CRY11" s="2"/>
      <c r="CRZ11" s="2"/>
      <c r="CSA11" s="2"/>
      <c r="CSB11" s="2"/>
      <c r="CSC11" s="2"/>
      <c r="CSD11" s="2"/>
      <c r="CSE11" s="2"/>
      <c r="CSF11" s="2"/>
      <c r="CSG11" s="2"/>
      <c r="CSH11" s="2"/>
      <c r="CSI11" s="2"/>
      <c r="CSJ11" s="2"/>
      <c r="CSK11" s="2"/>
      <c r="CSL11" s="2"/>
      <c r="CSM11" s="2"/>
      <c r="CSN11" s="2"/>
      <c r="CSO11" s="2"/>
      <c r="CSP11" s="2"/>
      <c r="CSQ11" s="2"/>
      <c r="CSR11" s="2"/>
      <c r="CSS11" s="2"/>
      <c r="CST11" s="2"/>
      <c r="CSU11" s="2"/>
      <c r="CSV11" s="2"/>
      <c r="CSW11" s="2"/>
      <c r="CSX11" s="2"/>
      <c r="CSY11" s="2"/>
      <c r="CSZ11" s="2"/>
      <c r="CTA11" s="2"/>
      <c r="CTB11" s="2"/>
      <c r="CTC11" s="2"/>
      <c r="CTD11" s="2"/>
      <c r="CTE11" s="2"/>
      <c r="CTF11" s="2"/>
      <c r="CTG11" s="2"/>
      <c r="CTH11" s="2"/>
      <c r="CTI11" s="2"/>
      <c r="CTJ11" s="2"/>
      <c r="CTK11" s="2"/>
      <c r="CTL11" s="2"/>
      <c r="CTM11" s="2"/>
      <c r="CTN11" s="2"/>
      <c r="CTO11" s="2"/>
      <c r="CTP11" s="2"/>
      <c r="CTQ11" s="2"/>
      <c r="CTR11" s="2"/>
      <c r="CTS11" s="2"/>
      <c r="CTT11" s="2"/>
      <c r="CTU11" s="2"/>
      <c r="CTV11" s="2"/>
      <c r="CTW11" s="2"/>
      <c r="CTX11" s="2"/>
      <c r="CTY11" s="2"/>
      <c r="CTZ11" s="2"/>
      <c r="CUA11" s="2"/>
      <c r="CUB11" s="2"/>
      <c r="CUC11" s="2"/>
      <c r="CUD11" s="2"/>
      <c r="CUE11" s="2"/>
      <c r="CUF11" s="2"/>
      <c r="CUG11" s="2"/>
      <c r="CUH11" s="2"/>
      <c r="CUI11" s="2"/>
      <c r="CUJ11" s="2"/>
      <c r="CUK11" s="2"/>
      <c r="CUL11" s="2"/>
      <c r="CUM11" s="2"/>
      <c r="CUN11" s="2"/>
      <c r="CUO11" s="2"/>
      <c r="CUP11" s="2"/>
      <c r="CUQ11" s="2"/>
      <c r="CUR11" s="2"/>
      <c r="CUS11" s="2"/>
      <c r="CUT11" s="2"/>
      <c r="CUU11" s="2"/>
      <c r="CUV11" s="2"/>
      <c r="CUW11" s="2"/>
      <c r="CUX11" s="2"/>
      <c r="CUY11" s="2"/>
      <c r="CUZ11" s="2"/>
      <c r="CVA11" s="2"/>
      <c r="CVB11" s="2"/>
      <c r="CVC11" s="2"/>
      <c r="CVD11" s="2"/>
      <c r="CVE11" s="2"/>
      <c r="CVF11" s="2"/>
      <c r="CVG11" s="2"/>
      <c r="CVH11" s="2"/>
      <c r="CVI11" s="2"/>
      <c r="CVJ11" s="2"/>
      <c r="CVK11" s="2"/>
      <c r="CVL11" s="2"/>
      <c r="CVM11" s="2"/>
      <c r="CVN11" s="2"/>
      <c r="CVO11" s="2"/>
      <c r="CVP11" s="2"/>
      <c r="CVQ11" s="2"/>
      <c r="CVR11" s="2"/>
      <c r="CVS11" s="2"/>
      <c r="CVT11" s="2"/>
      <c r="CVU11" s="2"/>
      <c r="CVV11" s="2"/>
      <c r="CVW11" s="2"/>
      <c r="CVX11" s="2"/>
      <c r="CVY11" s="2"/>
      <c r="CVZ11" s="2"/>
      <c r="CWA11" s="2"/>
      <c r="CWB11" s="2"/>
      <c r="CWC11" s="2"/>
      <c r="CWD11" s="2"/>
      <c r="CWE11" s="2"/>
      <c r="CWF11" s="2"/>
      <c r="CWG11" s="2"/>
      <c r="CWH11" s="2"/>
      <c r="CWI11" s="2"/>
      <c r="CWJ11" s="2"/>
      <c r="CWK11" s="2"/>
      <c r="CWL11" s="2"/>
      <c r="CWM11" s="2"/>
      <c r="CWN11" s="2"/>
      <c r="CWO11" s="2"/>
      <c r="CWP11" s="2"/>
      <c r="CWQ11" s="2"/>
      <c r="CWR11" s="2"/>
      <c r="CWS11" s="2"/>
      <c r="CWT11" s="2"/>
      <c r="CWU11" s="2"/>
      <c r="CWV11" s="2"/>
      <c r="CWW11" s="2"/>
      <c r="CWX11" s="2"/>
      <c r="CWY11" s="2"/>
      <c r="CWZ11" s="2"/>
      <c r="CXA11" s="2"/>
      <c r="CXB11" s="2"/>
      <c r="CXC11" s="2"/>
      <c r="CXD11" s="2"/>
      <c r="CXE11" s="2"/>
      <c r="CXF11" s="2"/>
      <c r="CXG11" s="2"/>
      <c r="CXH11" s="2"/>
      <c r="CXI11" s="2"/>
      <c r="CXJ11" s="2"/>
      <c r="CXK11" s="2"/>
      <c r="CXL11" s="2"/>
      <c r="CXM11" s="2"/>
      <c r="CXN11" s="2"/>
      <c r="CXO11" s="2"/>
      <c r="CXP11" s="2"/>
      <c r="CXQ11" s="2"/>
      <c r="CXR11" s="2"/>
      <c r="CXS11" s="2"/>
      <c r="CXT11" s="2"/>
      <c r="CXU11" s="2"/>
      <c r="CXV11" s="2"/>
      <c r="CXW11" s="2"/>
      <c r="CXX11" s="2"/>
      <c r="CXY11" s="2"/>
      <c r="CXZ11" s="2"/>
      <c r="CYA11" s="2"/>
      <c r="CYB11" s="2"/>
      <c r="CYC11" s="2"/>
      <c r="CYD11" s="2"/>
      <c r="CYE11" s="2"/>
      <c r="CYF11" s="2"/>
      <c r="CYG11" s="2"/>
      <c r="CYH11" s="2"/>
      <c r="CYI11" s="2"/>
      <c r="CYJ11" s="2"/>
      <c r="CYK11" s="2"/>
      <c r="CYL11" s="2"/>
      <c r="CYM11" s="2"/>
      <c r="CYN11" s="2"/>
      <c r="CYO11" s="2"/>
      <c r="CYP11" s="2"/>
      <c r="CYQ11" s="2"/>
      <c r="CYR11" s="2"/>
      <c r="CYS11" s="2"/>
      <c r="CYT11" s="2"/>
      <c r="CYU11" s="2"/>
      <c r="CYV11" s="2"/>
      <c r="CYW11" s="2"/>
      <c r="CYX11" s="2"/>
      <c r="CYY11" s="2"/>
      <c r="CYZ11" s="2"/>
      <c r="CZA11" s="2"/>
      <c r="CZB11" s="2"/>
      <c r="CZC11" s="2"/>
      <c r="CZD11" s="2"/>
      <c r="CZE11" s="2"/>
      <c r="CZF11" s="2"/>
      <c r="CZG11" s="2"/>
      <c r="CZH11" s="2"/>
      <c r="CZI11" s="2"/>
      <c r="CZJ11" s="2"/>
      <c r="CZK11" s="2"/>
      <c r="CZL11" s="2"/>
      <c r="CZM11" s="2"/>
      <c r="CZN11" s="2"/>
      <c r="CZO11" s="2"/>
      <c r="CZP11" s="2"/>
      <c r="CZQ11" s="2"/>
      <c r="CZR11" s="2"/>
      <c r="CZS11" s="2"/>
      <c r="CZT11" s="2"/>
      <c r="CZU11" s="2"/>
      <c r="CZV11" s="2"/>
      <c r="CZW11" s="2"/>
      <c r="CZX11" s="2"/>
      <c r="CZY11" s="2"/>
      <c r="CZZ11" s="2"/>
      <c r="DAA11" s="2"/>
      <c r="DAB11" s="2"/>
      <c r="DAC11" s="2"/>
      <c r="DAD11" s="2"/>
      <c r="DAE11" s="2"/>
      <c r="DAF11" s="2"/>
      <c r="DAG11" s="2"/>
      <c r="DAH11" s="2"/>
      <c r="DAI11" s="2"/>
      <c r="DAJ11" s="2"/>
      <c r="DAK11" s="2"/>
      <c r="DAL11" s="2"/>
      <c r="DAM11" s="2"/>
      <c r="DAN11" s="2"/>
      <c r="DAO11" s="2"/>
      <c r="DAP11" s="2"/>
      <c r="DAQ11" s="2"/>
      <c r="DAR11" s="2"/>
      <c r="DAS11" s="2"/>
      <c r="DAT11" s="2"/>
      <c r="DAU11" s="2"/>
      <c r="DAV11" s="2"/>
      <c r="DAW11" s="2"/>
      <c r="DAX11" s="2"/>
      <c r="DAY11" s="2"/>
      <c r="DAZ11" s="2"/>
      <c r="DBA11" s="2"/>
      <c r="DBB11" s="2"/>
      <c r="DBC11" s="2"/>
      <c r="DBD11" s="2"/>
      <c r="DBE11" s="2"/>
      <c r="DBF11" s="2"/>
      <c r="DBG11" s="2"/>
      <c r="DBH11" s="2"/>
      <c r="DBI11" s="2"/>
      <c r="DBJ11" s="2"/>
      <c r="DBK11" s="2"/>
      <c r="DBL11" s="2"/>
      <c r="DBM11" s="2"/>
      <c r="DBN11" s="2"/>
      <c r="DBO11" s="2"/>
      <c r="DBP11" s="2"/>
      <c r="DBQ11" s="2"/>
      <c r="DBR11" s="2"/>
      <c r="DBS11" s="2"/>
      <c r="DBT11" s="2"/>
      <c r="DBU11" s="2"/>
      <c r="DBV11" s="2"/>
      <c r="DBW11" s="2"/>
      <c r="DBX11" s="2"/>
      <c r="DBY11" s="2"/>
      <c r="DBZ11" s="2"/>
      <c r="DCA11" s="2"/>
      <c r="DCB11" s="2"/>
      <c r="DCC11" s="2"/>
      <c r="DCD11" s="2"/>
      <c r="DCE11" s="2"/>
      <c r="DCF11" s="2"/>
      <c r="DCG11" s="2"/>
      <c r="DCH11" s="2"/>
      <c r="DCI11" s="2"/>
      <c r="DCJ11" s="2"/>
      <c r="DCK11" s="2"/>
      <c r="DCL11" s="2"/>
      <c r="DCM11" s="2"/>
      <c r="DCN11" s="2"/>
      <c r="DCO11" s="2"/>
      <c r="DCP11" s="2"/>
      <c r="DCQ11" s="2"/>
      <c r="DCR11" s="2"/>
      <c r="DCS11" s="2"/>
      <c r="DCT11" s="2"/>
      <c r="DCU11" s="2"/>
      <c r="DCV11" s="2"/>
      <c r="DCW11" s="2"/>
      <c r="DCX11" s="2"/>
      <c r="DCY11" s="2"/>
      <c r="DCZ11" s="2"/>
      <c r="DDA11" s="2"/>
      <c r="DDB11" s="2"/>
      <c r="DDC11" s="2"/>
      <c r="DDD11" s="2"/>
      <c r="DDE11" s="2"/>
      <c r="DDF11" s="2"/>
      <c r="DDG11" s="2"/>
      <c r="DDH11" s="2"/>
      <c r="DDI11" s="2"/>
      <c r="DDJ11" s="2"/>
      <c r="DDK11" s="2"/>
      <c r="DDL11" s="2"/>
      <c r="DDM11" s="2"/>
      <c r="DDN11" s="2"/>
      <c r="DDO11" s="2"/>
      <c r="DDP11" s="2"/>
      <c r="DDQ11" s="2"/>
      <c r="DDR11" s="2"/>
      <c r="DDS11" s="2"/>
      <c r="DDT11" s="2"/>
      <c r="DDU11" s="2"/>
      <c r="DDV11" s="2"/>
      <c r="DDW11" s="2"/>
      <c r="DDX11" s="2"/>
      <c r="DDY11" s="2"/>
      <c r="DDZ11" s="2"/>
      <c r="DEA11" s="2"/>
      <c r="DEB11" s="2"/>
      <c r="DEC11" s="2"/>
      <c r="DED11" s="2"/>
      <c r="DEE11" s="2"/>
      <c r="DEF11" s="2"/>
      <c r="DEG11" s="2"/>
      <c r="DEH11" s="2"/>
      <c r="DEI11" s="2"/>
      <c r="DEJ11" s="2"/>
      <c r="DEK11" s="2"/>
      <c r="DEL11" s="2"/>
      <c r="DEM11" s="2"/>
      <c r="DEN11" s="2"/>
      <c r="DEO11" s="2"/>
      <c r="DEP11" s="2"/>
      <c r="DEQ11" s="2"/>
      <c r="DER11" s="2"/>
      <c r="DES11" s="2"/>
      <c r="DET11" s="2"/>
      <c r="DEU11" s="2"/>
      <c r="DEV11" s="2"/>
      <c r="DEW11" s="2"/>
      <c r="DEX11" s="2"/>
      <c r="DEY11" s="2"/>
      <c r="DEZ11" s="2"/>
      <c r="DFA11" s="2"/>
      <c r="DFB11" s="2"/>
      <c r="DFC11" s="2"/>
      <c r="DFD11" s="2"/>
      <c r="DFE11" s="2"/>
      <c r="DFF11" s="2"/>
      <c r="DFG11" s="2"/>
      <c r="DFH11" s="2"/>
      <c r="DFI11" s="2"/>
      <c r="DFJ11" s="2"/>
      <c r="DFK11" s="2"/>
      <c r="DFL11" s="2"/>
      <c r="DFM11" s="2"/>
      <c r="DFN11" s="2"/>
      <c r="DFO11" s="2"/>
      <c r="DFP11" s="2"/>
      <c r="DFQ11" s="2"/>
      <c r="DFR11" s="2"/>
      <c r="DFS11" s="2"/>
      <c r="DFT11" s="2"/>
      <c r="DFU11" s="2"/>
      <c r="DFV11" s="2"/>
      <c r="DFW11" s="2"/>
      <c r="DFX11" s="2"/>
      <c r="DFY11" s="2"/>
      <c r="DFZ11" s="2"/>
      <c r="DGA11" s="2"/>
      <c r="DGB11" s="2"/>
      <c r="DGC11" s="2"/>
      <c r="DGD11" s="2"/>
      <c r="DGE11" s="2"/>
      <c r="DGF11" s="2"/>
      <c r="DGG11" s="2"/>
      <c r="DGH11" s="2"/>
      <c r="DGI11" s="2"/>
      <c r="DGJ11" s="2"/>
      <c r="DGK11" s="2"/>
      <c r="DGL11" s="2"/>
      <c r="DGM11" s="2"/>
      <c r="DGN11" s="2"/>
      <c r="DGO11" s="2"/>
      <c r="DGP11" s="2"/>
      <c r="DGQ11" s="2"/>
      <c r="DGR11" s="2"/>
      <c r="DGS11" s="2"/>
      <c r="DGT11" s="2"/>
      <c r="DGU11" s="2"/>
      <c r="DGV11" s="2"/>
      <c r="DGW11" s="2"/>
      <c r="DGX11" s="2"/>
      <c r="DGY11" s="2"/>
      <c r="DGZ11" s="2"/>
      <c r="DHA11" s="2"/>
      <c r="DHB11" s="2"/>
      <c r="DHC11" s="2"/>
      <c r="DHD11" s="2"/>
      <c r="DHE11" s="2"/>
      <c r="DHF11" s="2"/>
      <c r="DHG11" s="2"/>
      <c r="DHH11" s="2"/>
      <c r="DHI11" s="2"/>
      <c r="DHJ11" s="2"/>
      <c r="DHK11" s="2"/>
      <c r="DHL11" s="2"/>
      <c r="DHM11" s="2"/>
      <c r="DHN11" s="2"/>
      <c r="DHO11" s="2"/>
      <c r="DHP11" s="2"/>
      <c r="DHQ11" s="2"/>
      <c r="DHR11" s="2"/>
      <c r="DHS11" s="2"/>
      <c r="DHT11" s="2"/>
      <c r="DHU11" s="2"/>
      <c r="DHV11" s="2"/>
      <c r="DHW11" s="2"/>
      <c r="DHX11" s="2"/>
      <c r="DHY11" s="2"/>
      <c r="DHZ11" s="2"/>
      <c r="DIA11" s="2"/>
      <c r="DIB11" s="2"/>
      <c r="DIC11" s="2"/>
      <c r="DID11" s="2"/>
      <c r="DIE11" s="2"/>
      <c r="DIF11" s="2"/>
      <c r="DIG11" s="2"/>
      <c r="DIH11" s="2"/>
      <c r="DII11" s="2"/>
      <c r="DIJ11" s="2"/>
      <c r="DIK11" s="2"/>
      <c r="DIL11" s="2"/>
      <c r="DIM11" s="2"/>
      <c r="DIN11" s="2"/>
      <c r="DIO11" s="2"/>
      <c r="DIP11" s="2"/>
      <c r="DIQ11" s="2"/>
      <c r="DIR11" s="2"/>
      <c r="DIS11" s="2"/>
      <c r="DIT11" s="2"/>
      <c r="DIU11" s="2"/>
      <c r="DIV11" s="2"/>
      <c r="DIW11" s="2"/>
      <c r="DIX11" s="2"/>
      <c r="DIY11" s="2"/>
      <c r="DIZ11" s="2"/>
      <c r="DJA11" s="2"/>
      <c r="DJB11" s="2"/>
      <c r="DJC11" s="2"/>
      <c r="DJD11" s="2"/>
      <c r="DJE11" s="2"/>
      <c r="DJF11" s="2"/>
      <c r="DJG11" s="2"/>
      <c r="DJH11" s="2"/>
      <c r="DJI11" s="2"/>
      <c r="DJJ11" s="2"/>
      <c r="DJK11" s="2"/>
      <c r="DJL11" s="2"/>
      <c r="DJM11" s="2"/>
      <c r="DJN11" s="2"/>
      <c r="DJO11" s="2"/>
      <c r="DJP11" s="2"/>
      <c r="DJQ11" s="2"/>
      <c r="DJR11" s="2"/>
      <c r="DJS11" s="2"/>
      <c r="DJT11" s="2"/>
      <c r="DJU11" s="2"/>
      <c r="DJV11" s="2"/>
      <c r="DJW11" s="2"/>
      <c r="DJX11" s="2"/>
      <c r="DJY11" s="2"/>
      <c r="DJZ11" s="2"/>
      <c r="DKA11" s="2"/>
      <c r="DKB11" s="2"/>
      <c r="DKC11" s="2"/>
      <c r="DKD11" s="2"/>
      <c r="DKE11" s="2"/>
      <c r="DKF11" s="2"/>
      <c r="DKG11" s="2"/>
      <c r="DKH11" s="2"/>
      <c r="DKI11" s="2"/>
      <c r="DKJ11" s="2"/>
      <c r="DKK11" s="2"/>
      <c r="DKL11" s="2"/>
      <c r="DKM11" s="2"/>
      <c r="DKN11" s="2"/>
      <c r="DKO11" s="2"/>
      <c r="DKP11" s="2"/>
      <c r="DKQ11" s="2"/>
      <c r="DKR11" s="2"/>
      <c r="DKS11" s="2"/>
      <c r="DKT11" s="2"/>
      <c r="DKU11" s="2"/>
      <c r="DKV11" s="2"/>
      <c r="DKW11" s="2"/>
      <c r="DKX11" s="2"/>
      <c r="DKY11" s="2"/>
      <c r="DKZ11" s="2"/>
      <c r="DLA11" s="2"/>
      <c r="DLB11" s="2"/>
      <c r="DLC11" s="2"/>
      <c r="DLD11" s="2"/>
      <c r="DLE11" s="2"/>
      <c r="DLF11" s="2"/>
      <c r="DLG11" s="2"/>
      <c r="DLH11" s="2"/>
      <c r="DLI11" s="2"/>
      <c r="DLJ11" s="2"/>
      <c r="DLK11" s="2"/>
      <c r="DLL11" s="2"/>
      <c r="DLM11" s="2"/>
      <c r="DLN11" s="2"/>
      <c r="DLO11" s="2"/>
      <c r="DLP11" s="2"/>
      <c r="DLQ11" s="2"/>
      <c r="DLR11" s="2"/>
      <c r="DLS11" s="2"/>
      <c r="DLT11" s="2"/>
      <c r="DLU11" s="2"/>
      <c r="DLV11" s="2"/>
      <c r="DLW11" s="2"/>
      <c r="DLX11" s="2"/>
      <c r="DLY11" s="2"/>
      <c r="DLZ11" s="2"/>
      <c r="DMA11" s="2"/>
      <c r="DMB11" s="2"/>
      <c r="DMC11" s="2"/>
      <c r="DMD11" s="2"/>
      <c r="DME11" s="2"/>
      <c r="DMF11" s="2"/>
      <c r="DMG11" s="2"/>
      <c r="DMH11" s="2"/>
      <c r="DMI11" s="2"/>
      <c r="DMJ11" s="2"/>
      <c r="DMK11" s="2"/>
      <c r="DML11" s="2"/>
      <c r="DMM11" s="2"/>
      <c r="DMN11" s="2"/>
      <c r="DMO11" s="2"/>
      <c r="DMP11" s="2"/>
      <c r="DMQ11" s="2"/>
      <c r="DMR11" s="2"/>
      <c r="DMS11" s="2"/>
      <c r="DMT11" s="2"/>
      <c r="DMU11" s="2"/>
      <c r="DMV11" s="2"/>
      <c r="DMW11" s="2"/>
      <c r="DMX11" s="2"/>
      <c r="DMY11" s="2"/>
      <c r="DMZ11" s="2"/>
      <c r="DNA11" s="2"/>
      <c r="DNB11" s="2"/>
      <c r="DNC11" s="2"/>
      <c r="DND11" s="2"/>
      <c r="DNE11" s="2"/>
      <c r="DNF11" s="2"/>
      <c r="DNG11" s="2"/>
      <c r="DNH11" s="2"/>
      <c r="DNI11" s="2"/>
      <c r="DNJ11" s="2"/>
      <c r="DNK11" s="2"/>
      <c r="DNL11" s="2"/>
      <c r="DNM11" s="2"/>
      <c r="DNN11" s="2"/>
      <c r="DNO11" s="2"/>
      <c r="DNP11" s="2"/>
      <c r="DNQ11" s="2"/>
      <c r="DNR11" s="2"/>
      <c r="DNS11" s="2"/>
      <c r="DNT11" s="2"/>
      <c r="DNU11" s="2"/>
      <c r="DNV11" s="2"/>
      <c r="DNW11" s="2"/>
      <c r="DNX11" s="2"/>
      <c r="DNY11" s="2"/>
      <c r="DNZ11" s="2"/>
      <c r="DOA11" s="2"/>
      <c r="DOB11" s="2"/>
      <c r="DOC11" s="2"/>
      <c r="DOD11" s="2"/>
      <c r="DOE11" s="2"/>
      <c r="DOF11" s="2"/>
      <c r="DOG11" s="2"/>
      <c r="DOH11" s="2"/>
      <c r="DOI11" s="2"/>
      <c r="DOJ11" s="2"/>
      <c r="DOK11" s="2"/>
      <c r="DOL11" s="2"/>
      <c r="DOM11" s="2"/>
      <c r="DON11" s="2"/>
      <c r="DOO11" s="2"/>
      <c r="DOP11" s="2"/>
      <c r="DOQ11" s="2"/>
      <c r="DOR11" s="2"/>
      <c r="DOS11" s="2"/>
      <c r="DOT11" s="2"/>
      <c r="DOU11" s="2"/>
      <c r="DOV11" s="2"/>
      <c r="DOW11" s="2"/>
      <c r="DOX11" s="2"/>
      <c r="DOY11" s="2"/>
      <c r="DOZ11" s="2"/>
      <c r="DPA11" s="2"/>
      <c r="DPB11" s="2"/>
      <c r="DPC11" s="2"/>
      <c r="DPD11" s="2"/>
      <c r="DPE11" s="2"/>
      <c r="DPF11" s="2"/>
      <c r="DPG11" s="2"/>
      <c r="DPH11" s="2"/>
      <c r="DPI11" s="2"/>
      <c r="DPJ11" s="2"/>
      <c r="DPK11" s="2"/>
      <c r="DPL11" s="2"/>
      <c r="DPM11" s="2"/>
      <c r="DPN11" s="2"/>
      <c r="DPO11" s="2"/>
      <c r="DPP11" s="2"/>
      <c r="DPQ11" s="2"/>
      <c r="DPR11" s="2"/>
      <c r="DPS11" s="2"/>
      <c r="DPT11" s="2"/>
      <c r="DPU11" s="2"/>
      <c r="DPV11" s="2"/>
      <c r="DPW11" s="2"/>
      <c r="DPX11" s="2"/>
      <c r="DPY11" s="2"/>
      <c r="DPZ11" s="2"/>
      <c r="DQA11" s="2"/>
      <c r="DQB11" s="2"/>
      <c r="DQC11" s="2"/>
      <c r="DQD11" s="2"/>
      <c r="DQE11" s="2"/>
      <c r="DQF11" s="2"/>
      <c r="DQG11" s="2"/>
      <c r="DQH11" s="2"/>
      <c r="DQI11" s="2"/>
      <c r="DQJ11" s="2"/>
      <c r="DQK11" s="2"/>
      <c r="DQL11" s="2"/>
      <c r="DQM11" s="2"/>
      <c r="DQN11" s="2"/>
      <c r="DQO11" s="2"/>
      <c r="DQP11" s="2"/>
      <c r="DQQ11" s="2"/>
      <c r="DQR11" s="2"/>
      <c r="DQS11" s="2"/>
      <c r="DQT11" s="2"/>
      <c r="DQU11" s="2"/>
      <c r="DQV11" s="2"/>
      <c r="DQW11" s="2"/>
      <c r="DQX11" s="2"/>
      <c r="DQY11" s="2"/>
      <c r="DQZ11" s="2"/>
      <c r="DRA11" s="2"/>
      <c r="DRB11" s="2"/>
      <c r="DRC11" s="2"/>
      <c r="DRD11" s="2"/>
      <c r="DRE11" s="2"/>
      <c r="DRF11" s="2"/>
      <c r="DRG11" s="2"/>
      <c r="DRH11" s="2"/>
      <c r="DRI11" s="2"/>
      <c r="DRJ11" s="2"/>
      <c r="DRK11" s="2"/>
      <c r="DRL11" s="2"/>
      <c r="DRM11" s="2"/>
      <c r="DRN11" s="2"/>
      <c r="DRO11" s="2"/>
      <c r="DRP11" s="2"/>
      <c r="DRQ11" s="2"/>
      <c r="DRR11" s="2"/>
      <c r="DRS11" s="2"/>
      <c r="DRT11" s="2"/>
      <c r="DRU11" s="2"/>
      <c r="DRV11" s="2"/>
      <c r="DRW11" s="2"/>
      <c r="DRX11" s="2"/>
      <c r="DRY11" s="2"/>
      <c r="DRZ11" s="2"/>
      <c r="DSA11" s="2"/>
      <c r="DSB11" s="2"/>
      <c r="DSC11" s="2"/>
      <c r="DSD11" s="2"/>
      <c r="DSE11" s="2"/>
      <c r="DSF11" s="2"/>
      <c r="DSG11" s="2"/>
      <c r="DSH11" s="2"/>
      <c r="DSI11" s="2"/>
      <c r="DSJ11" s="2"/>
      <c r="DSK11" s="2"/>
      <c r="DSL11" s="2"/>
      <c r="DSM11" s="2"/>
      <c r="DSN11" s="2"/>
      <c r="DSO11" s="2"/>
      <c r="DSP11" s="2"/>
      <c r="DSQ11" s="2"/>
      <c r="DSR11" s="2"/>
      <c r="DSS11" s="2"/>
      <c r="DST11" s="2"/>
      <c r="DSU11" s="2"/>
      <c r="DSV11" s="2"/>
      <c r="DSW11" s="2"/>
      <c r="DSX11" s="2"/>
      <c r="DSY11" s="2"/>
      <c r="DSZ11" s="2"/>
      <c r="DTA11" s="2"/>
      <c r="DTB11" s="2"/>
      <c r="DTC11" s="2"/>
      <c r="DTD11" s="2"/>
      <c r="DTE11" s="2"/>
      <c r="DTF11" s="2"/>
      <c r="DTG11" s="2"/>
      <c r="DTH11" s="2"/>
      <c r="DTI11" s="2"/>
      <c r="DTJ11" s="2"/>
      <c r="DTK11" s="2"/>
      <c r="DTL11" s="2"/>
      <c r="DTM11" s="2"/>
      <c r="DTN11" s="2"/>
      <c r="DTO11" s="2"/>
      <c r="DTP11" s="2"/>
      <c r="DTQ11" s="2"/>
      <c r="DTR11" s="2"/>
      <c r="DTS11" s="2"/>
      <c r="DTT11" s="2"/>
      <c r="DTU11" s="2"/>
      <c r="DTV11" s="2"/>
      <c r="DTW11" s="2"/>
      <c r="DTX11" s="2"/>
      <c r="DTY11" s="2"/>
      <c r="DTZ11" s="2"/>
      <c r="DUA11" s="2"/>
      <c r="DUB11" s="2"/>
      <c r="DUC11" s="2"/>
      <c r="DUD11" s="2"/>
      <c r="DUE11" s="2"/>
      <c r="DUF11" s="2"/>
      <c r="DUG11" s="2"/>
      <c r="DUH11" s="2"/>
      <c r="DUI11" s="2"/>
      <c r="DUJ11" s="2"/>
      <c r="DUK11" s="2"/>
      <c r="DUL11" s="2"/>
      <c r="DUM11" s="2"/>
      <c r="DUN11" s="2"/>
      <c r="DUO11" s="2"/>
      <c r="DUP11" s="2"/>
      <c r="DUQ11" s="2"/>
      <c r="DUR11" s="2"/>
      <c r="DUS11" s="2"/>
      <c r="DUT11" s="2"/>
      <c r="DUU11" s="2"/>
      <c r="DUV11" s="2"/>
      <c r="DUW11" s="2"/>
      <c r="DUX11" s="2"/>
      <c r="DUY11" s="2"/>
      <c r="DUZ11" s="2"/>
      <c r="DVA11" s="2"/>
      <c r="DVB11" s="2"/>
      <c r="DVC11" s="2"/>
      <c r="DVD11" s="2"/>
      <c r="DVE11" s="2"/>
      <c r="DVF11" s="2"/>
      <c r="DVG11" s="2"/>
      <c r="DVH11" s="2"/>
      <c r="DVI11" s="2"/>
      <c r="DVJ11" s="2"/>
      <c r="DVK11" s="2"/>
      <c r="DVL11" s="2"/>
      <c r="DVM11" s="2"/>
      <c r="DVN11" s="2"/>
      <c r="DVO11" s="2"/>
      <c r="DVP11" s="2"/>
      <c r="DVQ11" s="2"/>
      <c r="DVR11" s="2"/>
      <c r="DVS11" s="2"/>
      <c r="DVT11" s="2"/>
      <c r="DVU11" s="2"/>
      <c r="DVV11" s="2"/>
      <c r="DVW11" s="2"/>
      <c r="DVX11" s="2"/>
      <c r="DVY11" s="2"/>
      <c r="DVZ11" s="2"/>
      <c r="DWA11" s="2"/>
      <c r="DWB11" s="2"/>
      <c r="DWC11" s="2"/>
      <c r="DWD11" s="2"/>
      <c r="DWE11" s="2"/>
      <c r="DWF11" s="2"/>
      <c r="DWG11" s="2"/>
      <c r="DWH11" s="2"/>
      <c r="DWI11" s="2"/>
      <c r="DWJ11" s="2"/>
      <c r="DWK11" s="2"/>
      <c r="DWL11" s="2"/>
      <c r="DWM11" s="2"/>
      <c r="DWN11" s="2"/>
      <c r="DWO11" s="2"/>
      <c r="DWP11" s="2"/>
      <c r="DWQ11" s="2"/>
      <c r="DWR11" s="2"/>
      <c r="DWS11" s="2"/>
      <c r="DWT11" s="2"/>
      <c r="DWU11" s="2"/>
      <c r="DWV11" s="2"/>
      <c r="DWW11" s="2"/>
      <c r="DWX11" s="2"/>
      <c r="DWY11" s="2"/>
      <c r="DWZ11" s="2"/>
      <c r="DXA11" s="2"/>
      <c r="DXB11" s="2"/>
      <c r="DXC11" s="2"/>
      <c r="DXD11" s="2"/>
      <c r="DXE11" s="2"/>
      <c r="DXF11" s="2"/>
      <c r="DXG11" s="2"/>
      <c r="DXH11" s="2"/>
      <c r="DXI11" s="2"/>
      <c r="DXJ11" s="2"/>
      <c r="DXK11" s="2"/>
      <c r="DXL11" s="2"/>
      <c r="DXM11" s="2"/>
      <c r="DXN11" s="2"/>
      <c r="DXO11" s="2"/>
      <c r="DXP11" s="2"/>
      <c r="DXQ11" s="2"/>
      <c r="DXR11" s="2"/>
      <c r="DXS11" s="2"/>
      <c r="DXT11" s="2"/>
      <c r="DXU11" s="2"/>
      <c r="DXV11" s="2"/>
      <c r="DXW11" s="2"/>
      <c r="DXX11" s="2"/>
      <c r="DXY11" s="2"/>
      <c r="DXZ11" s="2"/>
      <c r="DYA11" s="2"/>
      <c r="DYB11" s="2"/>
      <c r="DYC11" s="2"/>
      <c r="DYD11" s="2"/>
      <c r="DYE11" s="2"/>
      <c r="DYF11" s="2"/>
      <c r="DYG11" s="2"/>
      <c r="DYH11" s="2"/>
      <c r="DYI11" s="2"/>
      <c r="DYJ11" s="2"/>
      <c r="DYK11" s="2"/>
      <c r="DYL11" s="2"/>
      <c r="DYM11" s="2"/>
      <c r="DYN11" s="2"/>
      <c r="DYO11" s="2"/>
      <c r="DYP11" s="2"/>
      <c r="DYQ11" s="2"/>
      <c r="DYR11" s="2"/>
      <c r="DYS11" s="2"/>
      <c r="DYT11" s="2"/>
      <c r="DYU11" s="2"/>
      <c r="DYV11" s="2"/>
      <c r="DYW11" s="2"/>
      <c r="DYX11" s="2"/>
      <c r="DYY11" s="2"/>
      <c r="DYZ11" s="2"/>
      <c r="DZA11" s="2"/>
      <c r="DZB11" s="2"/>
      <c r="DZC11" s="2"/>
      <c r="DZD11" s="2"/>
      <c r="DZE11" s="2"/>
      <c r="DZF11" s="2"/>
      <c r="DZG11" s="2"/>
      <c r="DZH11" s="2"/>
      <c r="DZI11" s="2"/>
      <c r="DZJ11" s="2"/>
      <c r="DZK11" s="2"/>
      <c r="DZL11" s="2"/>
      <c r="DZM11" s="2"/>
      <c r="DZN11" s="2"/>
      <c r="DZO11" s="2"/>
      <c r="DZP11" s="2"/>
      <c r="DZQ11" s="2"/>
      <c r="DZR11" s="2"/>
      <c r="DZS11" s="2"/>
      <c r="DZT11" s="2"/>
      <c r="DZU11" s="2"/>
      <c r="DZV11" s="2"/>
      <c r="DZW11" s="2"/>
      <c r="DZX11" s="2"/>
      <c r="DZY11" s="2"/>
      <c r="DZZ11" s="2"/>
      <c r="EAA11" s="2"/>
      <c r="EAB11" s="2"/>
      <c r="EAC11" s="2"/>
      <c r="EAD11" s="2"/>
      <c r="EAE11" s="2"/>
      <c r="EAF11" s="2"/>
      <c r="EAG11" s="2"/>
      <c r="EAH11" s="2"/>
      <c r="EAI11" s="2"/>
      <c r="EAJ11" s="2"/>
      <c r="EAK11" s="2"/>
      <c r="EAL11" s="2"/>
      <c r="EAM11" s="2"/>
      <c r="EAN11" s="2"/>
      <c r="EAO11" s="2"/>
      <c r="EAP11" s="2"/>
      <c r="EAQ11" s="2"/>
      <c r="EAR11" s="2"/>
      <c r="EAS11" s="2"/>
      <c r="EAT11" s="2"/>
      <c r="EAU11" s="2"/>
      <c r="EAV11" s="2"/>
      <c r="EAW11" s="2"/>
      <c r="EAX11" s="2"/>
      <c r="EAY11" s="2"/>
      <c r="EAZ11" s="2"/>
      <c r="EBA11" s="2"/>
      <c r="EBB11" s="2"/>
      <c r="EBC11" s="2"/>
      <c r="EBD11" s="2"/>
      <c r="EBE11" s="2"/>
      <c r="EBF11" s="2"/>
      <c r="EBG11" s="2"/>
      <c r="EBH11" s="2"/>
      <c r="EBI11" s="2"/>
      <c r="EBJ11" s="2"/>
      <c r="EBK11" s="2"/>
      <c r="EBL11" s="2"/>
      <c r="EBM11" s="2"/>
      <c r="EBN11" s="2"/>
      <c r="EBO11" s="2"/>
      <c r="EBP11" s="2"/>
      <c r="EBQ11" s="2"/>
      <c r="EBR11" s="2"/>
      <c r="EBS11" s="2"/>
      <c r="EBT11" s="2"/>
      <c r="EBU11" s="2"/>
      <c r="EBV11" s="2"/>
      <c r="EBW11" s="2"/>
      <c r="EBX11" s="2"/>
      <c r="EBY11" s="2"/>
      <c r="EBZ11" s="2"/>
      <c r="ECA11" s="2"/>
      <c r="ECB11" s="2"/>
      <c r="ECC11" s="2"/>
      <c r="ECD11" s="2"/>
      <c r="ECE11" s="2"/>
      <c r="ECF11" s="2"/>
      <c r="ECG11" s="2"/>
      <c r="ECH11" s="2"/>
      <c r="ECI11" s="2"/>
      <c r="ECJ11" s="2"/>
      <c r="ECK11" s="2"/>
      <c r="ECL11" s="2"/>
      <c r="ECM11" s="2"/>
      <c r="ECN11" s="2"/>
      <c r="ECO11" s="2"/>
      <c r="ECP11" s="2"/>
      <c r="ECQ11" s="2"/>
      <c r="ECR11" s="2"/>
      <c r="ECS11" s="2"/>
      <c r="ECT11" s="2"/>
      <c r="ECU11" s="2"/>
      <c r="ECV11" s="2"/>
      <c r="ECW11" s="2"/>
      <c r="ECX11" s="2"/>
      <c r="ECY11" s="2"/>
      <c r="ECZ11" s="2"/>
      <c r="EDA11" s="2"/>
      <c r="EDB11" s="2"/>
      <c r="EDC11" s="2"/>
      <c r="EDD11" s="2"/>
      <c r="EDE11" s="2"/>
      <c r="EDF11" s="2"/>
      <c r="EDG11" s="2"/>
      <c r="EDH11" s="2"/>
      <c r="EDI11" s="2"/>
      <c r="EDJ11" s="2"/>
      <c r="EDK11" s="2"/>
      <c r="EDL11" s="2"/>
      <c r="EDM11" s="2"/>
      <c r="EDN11" s="2"/>
      <c r="EDO11" s="2"/>
      <c r="EDP11" s="2"/>
      <c r="EDQ11" s="2"/>
      <c r="EDR11" s="2"/>
      <c r="EDS11" s="2"/>
      <c r="EDT11" s="2"/>
      <c r="EDU11" s="2"/>
      <c r="EDV11" s="2"/>
      <c r="EDW11" s="2"/>
      <c r="EDX11" s="2"/>
      <c r="EDY11" s="2"/>
      <c r="EDZ11" s="2"/>
      <c r="EEA11" s="2"/>
      <c r="EEB11" s="2"/>
      <c r="EEC11" s="2"/>
      <c r="EED11" s="2"/>
      <c r="EEE11" s="2"/>
      <c r="EEF11" s="2"/>
      <c r="EEG11" s="2"/>
      <c r="EEH11" s="2"/>
      <c r="EEI11" s="2"/>
      <c r="EEJ11" s="2"/>
      <c r="EEK11" s="2"/>
      <c r="EEL11" s="2"/>
      <c r="EEM11" s="2"/>
      <c r="EEN11" s="2"/>
      <c r="EEO11" s="2"/>
      <c r="EEP11" s="2"/>
      <c r="EEQ11" s="2"/>
      <c r="EER11" s="2"/>
      <c r="EES11" s="2"/>
      <c r="EET11" s="2"/>
      <c r="EEU11" s="2"/>
      <c r="EEV11" s="2"/>
      <c r="EEW11" s="2"/>
      <c r="EEX11" s="2"/>
      <c r="EEY11" s="2"/>
      <c r="EEZ11" s="2"/>
      <c r="EFA11" s="2"/>
      <c r="EFB11" s="2"/>
      <c r="EFC11" s="2"/>
      <c r="EFD11" s="2"/>
      <c r="EFE11" s="2"/>
      <c r="EFF11" s="2"/>
      <c r="EFG11" s="2"/>
      <c r="EFH11" s="2"/>
      <c r="EFI11" s="2"/>
      <c r="EFJ11" s="2"/>
      <c r="EFK11" s="2"/>
      <c r="EFL11" s="2"/>
      <c r="EFM11" s="2"/>
      <c r="EFN11" s="2"/>
      <c r="EFO11" s="2"/>
      <c r="EFP11" s="2"/>
      <c r="EFQ11" s="2"/>
      <c r="EFR11" s="2"/>
      <c r="EFS11" s="2"/>
      <c r="EFT11" s="2"/>
      <c r="EFU11" s="2"/>
      <c r="EFV11" s="2"/>
      <c r="EFW11" s="2"/>
      <c r="EFX11" s="2"/>
      <c r="EFY11" s="2"/>
      <c r="EFZ11" s="2"/>
      <c r="EGA11" s="2"/>
      <c r="EGB11" s="2"/>
      <c r="EGC11" s="2"/>
      <c r="EGD11" s="2"/>
      <c r="EGE11" s="2"/>
      <c r="EGF11" s="2"/>
      <c r="EGG11" s="2"/>
      <c r="EGH11" s="2"/>
      <c r="EGI11" s="2"/>
      <c r="EGJ11" s="2"/>
      <c r="EGK11" s="2"/>
      <c r="EGL11" s="2"/>
      <c r="EGM11" s="2"/>
      <c r="EGN11" s="2"/>
      <c r="EGO11" s="2"/>
      <c r="EGP11" s="2"/>
      <c r="EGQ11" s="2"/>
      <c r="EGR11" s="2"/>
      <c r="EGS11" s="2"/>
      <c r="EGT11" s="2"/>
      <c r="EGU11" s="2"/>
      <c r="EGV11" s="2"/>
      <c r="EGW11" s="2"/>
      <c r="EGX11" s="2"/>
      <c r="EGY11" s="2"/>
      <c r="EGZ11" s="2"/>
      <c r="EHA11" s="2"/>
      <c r="EHB11" s="2"/>
      <c r="EHC11" s="2"/>
      <c r="EHD11" s="2"/>
      <c r="EHE11" s="2"/>
      <c r="EHF11" s="2"/>
      <c r="EHG11" s="2"/>
      <c r="EHH11" s="2"/>
      <c r="EHI11" s="2"/>
      <c r="EHJ11" s="2"/>
      <c r="EHK11" s="2"/>
      <c r="EHL11" s="2"/>
      <c r="EHM11" s="2"/>
      <c r="EHN11" s="2"/>
      <c r="EHO11" s="2"/>
      <c r="EHP11" s="2"/>
      <c r="EHQ11" s="2"/>
      <c r="EHR11" s="2"/>
      <c r="EHS11" s="2"/>
      <c r="EHT11" s="2"/>
      <c r="EHU11" s="2"/>
      <c r="EHV11" s="2"/>
      <c r="EHW11" s="2"/>
      <c r="EHX11" s="2"/>
      <c r="EHY11" s="2"/>
      <c r="EHZ11" s="2"/>
      <c r="EIA11" s="2"/>
      <c r="EIB11" s="2"/>
      <c r="EIC11" s="2"/>
      <c r="EID11" s="2"/>
      <c r="EIE11" s="2"/>
      <c r="EIF11" s="2"/>
      <c r="EIG11" s="2"/>
      <c r="EIH11" s="2"/>
      <c r="EII11" s="2"/>
      <c r="EIJ11" s="2"/>
      <c r="EIK11" s="2"/>
      <c r="EIL11" s="2"/>
      <c r="EIM11" s="2"/>
      <c r="EIN11" s="2"/>
      <c r="EIO11" s="2"/>
      <c r="EIP11" s="2"/>
      <c r="EIQ11" s="2"/>
      <c r="EIR11" s="2"/>
      <c r="EIS11" s="2"/>
      <c r="EIT11" s="2"/>
      <c r="EIU11" s="2"/>
      <c r="EIV11" s="2"/>
      <c r="EIW11" s="2"/>
      <c r="EIX11" s="2"/>
      <c r="EIY11" s="2"/>
      <c r="EIZ11" s="2"/>
      <c r="EJA11" s="2"/>
      <c r="EJB11" s="2"/>
      <c r="EJC11" s="2"/>
      <c r="EJD11" s="2"/>
      <c r="EJE11" s="2"/>
      <c r="EJF11" s="2"/>
      <c r="EJG11" s="2"/>
      <c r="EJH11" s="2"/>
      <c r="EJI11" s="2"/>
      <c r="EJJ11" s="2"/>
      <c r="EJK11" s="2"/>
      <c r="EJL11" s="2"/>
      <c r="EJM11" s="2"/>
      <c r="EJN11" s="2"/>
      <c r="EJO11" s="2"/>
      <c r="EJP11" s="2"/>
      <c r="EJQ11" s="2"/>
      <c r="EJR11" s="2"/>
      <c r="EJS11" s="2"/>
      <c r="EJT11" s="2"/>
      <c r="EJU11" s="2"/>
      <c r="EJV11" s="2"/>
      <c r="EJW11" s="2"/>
      <c r="EJX11" s="2"/>
      <c r="EJY11" s="2"/>
      <c r="EJZ11" s="2"/>
      <c r="EKA11" s="2"/>
      <c r="EKB11" s="2"/>
      <c r="EKC11" s="2"/>
      <c r="EKD11" s="2"/>
      <c r="EKE11" s="2"/>
      <c r="EKF11" s="2"/>
      <c r="EKG11" s="2"/>
      <c r="EKH11" s="2"/>
      <c r="EKI11" s="2"/>
      <c r="EKJ11" s="2"/>
      <c r="EKK11" s="2"/>
      <c r="EKL11" s="2"/>
      <c r="EKM11" s="2"/>
      <c r="EKN11" s="2"/>
      <c r="EKO11" s="2"/>
      <c r="EKP11" s="2"/>
      <c r="EKQ11" s="2"/>
      <c r="EKR11" s="2"/>
      <c r="EKS11" s="2"/>
      <c r="EKT11" s="2"/>
      <c r="EKU11" s="2"/>
      <c r="EKV11" s="2"/>
      <c r="EKW11" s="2"/>
      <c r="EKX11" s="2"/>
      <c r="EKY11" s="2"/>
      <c r="EKZ11" s="2"/>
      <c r="ELA11" s="2"/>
      <c r="ELB11" s="2"/>
      <c r="ELC11" s="2"/>
      <c r="ELD11" s="2"/>
      <c r="ELE11" s="2"/>
      <c r="ELF11" s="2"/>
      <c r="ELG11" s="2"/>
      <c r="ELH11" s="2"/>
      <c r="ELI11" s="2"/>
      <c r="ELJ11" s="2"/>
      <c r="ELK11" s="2"/>
      <c r="ELL11" s="2"/>
      <c r="ELM11" s="2"/>
      <c r="ELN11" s="2"/>
      <c r="ELO11" s="2"/>
      <c r="ELP11" s="2"/>
      <c r="ELQ11" s="2"/>
      <c r="ELR11" s="2"/>
      <c r="ELS11" s="2"/>
      <c r="ELT11" s="2"/>
      <c r="ELU11" s="2"/>
      <c r="ELV11" s="2"/>
      <c r="ELW11" s="2"/>
      <c r="ELX11" s="2"/>
      <c r="ELY11" s="2"/>
      <c r="ELZ11" s="2"/>
      <c r="EMA11" s="2"/>
      <c r="EMB11" s="2"/>
      <c r="EMC11" s="2"/>
      <c r="EMD11" s="2"/>
      <c r="EME11" s="2"/>
      <c r="EMF11" s="2"/>
      <c r="EMG11" s="2"/>
      <c r="EMH11" s="2"/>
      <c r="EMI11" s="2"/>
      <c r="EMJ11" s="2"/>
      <c r="EMK11" s="2"/>
      <c r="EML11" s="2"/>
      <c r="EMM11" s="2"/>
      <c r="EMN11" s="2"/>
      <c r="EMO11" s="2"/>
      <c r="EMP11" s="2"/>
      <c r="EMQ11" s="2"/>
      <c r="EMR11" s="2"/>
      <c r="EMS11" s="2"/>
      <c r="EMT11" s="2"/>
      <c r="EMU11" s="2"/>
      <c r="EMV11" s="2"/>
      <c r="EMW11" s="2"/>
      <c r="EMX11" s="2"/>
      <c r="EMY11" s="2"/>
      <c r="EMZ11" s="2"/>
      <c r="ENA11" s="2"/>
      <c r="ENB11" s="2"/>
      <c r="ENC11" s="2"/>
      <c r="END11" s="2"/>
      <c r="ENE11" s="2"/>
      <c r="ENF11" s="2"/>
      <c r="ENG11" s="2"/>
      <c r="ENH11" s="2"/>
      <c r="ENI11" s="2"/>
      <c r="ENJ11" s="2"/>
      <c r="ENK11" s="2"/>
      <c r="ENL11" s="2"/>
      <c r="ENM11" s="2"/>
      <c r="ENN11" s="2"/>
      <c r="ENO11" s="2"/>
      <c r="ENP11" s="2"/>
      <c r="ENQ11" s="2"/>
      <c r="ENR11" s="2"/>
      <c r="ENS11" s="2"/>
      <c r="ENT11" s="2"/>
      <c r="ENU11" s="2"/>
      <c r="ENV11" s="2"/>
      <c r="ENW11" s="2"/>
      <c r="ENX11" s="2"/>
      <c r="ENY11" s="2"/>
      <c r="ENZ11" s="2"/>
      <c r="EOA11" s="2"/>
      <c r="EOB11" s="2"/>
      <c r="EOC11" s="2"/>
      <c r="EOD11" s="2"/>
      <c r="EOE11" s="2"/>
      <c r="EOF11" s="2"/>
      <c r="EOG11" s="2"/>
      <c r="EOH11" s="2"/>
      <c r="EOI11" s="2"/>
      <c r="EOJ11" s="2"/>
      <c r="EOK11" s="2"/>
      <c r="EOL11" s="2"/>
      <c r="EOM11" s="2"/>
      <c r="EON11" s="2"/>
      <c r="EOO11" s="2"/>
      <c r="EOP11" s="2"/>
      <c r="EOQ11" s="2"/>
      <c r="EOR11" s="2"/>
      <c r="EOS11" s="2"/>
      <c r="EOT11" s="2"/>
      <c r="EOU11" s="2"/>
      <c r="EOV11" s="2"/>
      <c r="EOW11" s="2"/>
      <c r="EOX11" s="2"/>
      <c r="EOY11" s="2"/>
      <c r="EOZ11" s="2"/>
      <c r="EPA11" s="2"/>
      <c r="EPB11" s="2"/>
      <c r="EPC11" s="2"/>
      <c r="EPD11" s="2"/>
      <c r="EPE11" s="2"/>
      <c r="EPF11" s="2"/>
      <c r="EPG11" s="2"/>
      <c r="EPH11" s="2"/>
      <c r="EPI11" s="2"/>
      <c r="EPJ11" s="2"/>
      <c r="EPK11" s="2"/>
      <c r="EPL11" s="2"/>
      <c r="EPM11" s="2"/>
      <c r="EPN11" s="2"/>
      <c r="EPO11" s="2"/>
      <c r="EPP11" s="2"/>
      <c r="EPQ11" s="2"/>
      <c r="EPR11" s="2"/>
      <c r="EPS11" s="2"/>
      <c r="EPT11" s="2"/>
      <c r="EPU11" s="2"/>
      <c r="EPV11" s="2"/>
      <c r="EPW11" s="2"/>
      <c r="EPX11" s="2"/>
      <c r="EPY11" s="2"/>
      <c r="EPZ11" s="2"/>
      <c r="EQA11" s="2"/>
      <c r="EQB11" s="2"/>
      <c r="EQC11" s="2"/>
      <c r="EQD11" s="2"/>
      <c r="EQE11" s="2"/>
      <c r="EQF11" s="2"/>
      <c r="EQG11" s="2"/>
      <c r="EQH11" s="2"/>
      <c r="EQI11" s="2"/>
      <c r="EQJ11" s="2"/>
      <c r="EQK11" s="2"/>
      <c r="EQL11" s="2"/>
      <c r="EQM11" s="2"/>
      <c r="EQN11" s="2"/>
      <c r="EQO11" s="2"/>
      <c r="EQP11" s="2"/>
      <c r="EQQ11" s="2"/>
      <c r="EQR11" s="2"/>
      <c r="EQS11" s="2"/>
      <c r="EQT11" s="2"/>
      <c r="EQU11" s="2"/>
      <c r="EQV11" s="2"/>
      <c r="EQW11" s="2"/>
      <c r="EQX11" s="2"/>
      <c r="EQY11" s="2"/>
      <c r="EQZ11" s="2"/>
      <c r="ERA11" s="2"/>
      <c r="ERB11" s="2"/>
      <c r="ERC11" s="2"/>
      <c r="ERD11" s="2"/>
      <c r="ERE11" s="2"/>
      <c r="ERF11" s="2"/>
      <c r="ERG11" s="2"/>
      <c r="ERH11" s="2"/>
      <c r="ERI11" s="2"/>
      <c r="ERJ11" s="2"/>
      <c r="ERK11" s="2"/>
      <c r="ERL11" s="2"/>
      <c r="ERM11" s="2"/>
      <c r="ERN11" s="2"/>
      <c r="ERO11" s="2"/>
      <c r="ERP11" s="2"/>
      <c r="ERQ11" s="2"/>
      <c r="ERR11" s="2"/>
      <c r="ERS11" s="2"/>
      <c r="ERT11" s="2"/>
      <c r="ERU11" s="2"/>
      <c r="ERV11" s="2"/>
      <c r="ERW11" s="2"/>
      <c r="ERX11" s="2"/>
      <c r="ERY11" s="2"/>
      <c r="ERZ11" s="2"/>
      <c r="ESA11" s="2"/>
      <c r="ESB11" s="2"/>
      <c r="ESC11" s="2"/>
      <c r="ESD11" s="2"/>
      <c r="ESE11" s="2"/>
      <c r="ESF11" s="2"/>
      <c r="ESG11" s="2"/>
      <c r="ESH11" s="2"/>
      <c r="ESI11" s="2"/>
      <c r="ESJ11" s="2"/>
      <c r="ESK11" s="2"/>
      <c r="ESL11" s="2"/>
      <c r="ESM11" s="2"/>
      <c r="ESN11" s="2"/>
      <c r="ESO11" s="2"/>
      <c r="ESP11" s="2"/>
      <c r="ESQ11" s="2"/>
      <c r="ESR11" s="2"/>
      <c r="ESS11" s="2"/>
      <c r="EST11" s="2"/>
      <c r="ESU11" s="2"/>
      <c r="ESV11" s="2"/>
      <c r="ESW11" s="2"/>
      <c r="ESX11" s="2"/>
      <c r="ESY11" s="2"/>
      <c r="ESZ11" s="2"/>
      <c r="ETA11" s="2"/>
      <c r="ETB11" s="2"/>
      <c r="ETC11" s="2"/>
      <c r="ETD11" s="2"/>
      <c r="ETE11" s="2"/>
      <c r="ETF11" s="2"/>
      <c r="ETG11" s="2"/>
      <c r="ETH11" s="2"/>
      <c r="ETI11" s="2"/>
      <c r="ETJ11" s="2"/>
      <c r="ETK11" s="2"/>
      <c r="ETL11" s="2"/>
      <c r="ETM11" s="2"/>
      <c r="ETN11" s="2"/>
      <c r="ETO11" s="2"/>
      <c r="ETP11" s="2"/>
      <c r="ETQ11" s="2"/>
      <c r="ETR11" s="2"/>
      <c r="ETS11" s="2"/>
      <c r="ETT11" s="2"/>
      <c r="ETU11" s="2"/>
      <c r="ETV11" s="2"/>
      <c r="ETW11" s="2"/>
      <c r="ETX11" s="2"/>
      <c r="ETY11" s="2"/>
      <c r="ETZ11" s="2"/>
      <c r="EUA11" s="2"/>
      <c r="EUB11" s="2"/>
      <c r="EUC11" s="2"/>
      <c r="EUD11" s="2"/>
      <c r="EUE11" s="2"/>
      <c r="EUF11" s="2"/>
      <c r="EUG11" s="2"/>
      <c r="EUH11" s="2"/>
      <c r="EUI11" s="2"/>
      <c r="EUJ11" s="2"/>
      <c r="EUK11" s="2"/>
      <c r="EUL11" s="2"/>
      <c r="EUM11" s="2"/>
      <c r="EUN11" s="2"/>
      <c r="EUO11" s="2"/>
      <c r="EUP11" s="2"/>
      <c r="EUQ11" s="2"/>
      <c r="EUR11" s="2"/>
      <c r="EUS11" s="2"/>
      <c r="EUT11" s="2"/>
      <c r="EUU11" s="2"/>
      <c r="EUV11" s="2"/>
      <c r="EUW11" s="2"/>
      <c r="EUX11" s="2"/>
      <c r="EUY11" s="2"/>
      <c r="EUZ11" s="2"/>
      <c r="EVA11" s="2"/>
      <c r="EVB11" s="2"/>
      <c r="EVC11" s="2"/>
      <c r="EVD11" s="2"/>
      <c r="EVE11" s="2"/>
      <c r="EVF11" s="2"/>
      <c r="EVG11" s="2"/>
      <c r="EVH11" s="2"/>
      <c r="EVI11" s="2"/>
      <c r="EVJ11" s="2"/>
      <c r="EVK11" s="2"/>
      <c r="EVL11" s="2"/>
      <c r="EVM11" s="2"/>
      <c r="EVN11" s="2"/>
      <c r="EVO11" s="2"/>
      <c r="EVP11" s="2"/>
      <c r="EVQ11" s="2"/>
      <c r="EVR11" s="2"/>
      <c r="EVS11" s="2"/>
      <c r="EVT11" s="2"/>
      <c r="EVU11" s="2"/>
      <c r="EVV11" s="2"/>
      <c r="EVW11" s="2"/>
      <c r="EVX11" s="2"/>
      <c r="EVY11" s="2"/>
      <c r="EVZ11" s="2"/>
      <c r="EWA11" s="2"/>
      <c r="EWB11" s="2"/>
      <c r="EWC11" s="2"/>
      <c r="EWD11" s="2"/>
      <c r="EWE11" s="2"/>
      <c r="EWF11" s="2"/>
      <c r="EWG11" s="2"/>
      <c r="EWH11" s="2"/>
      <c r="EWI11" s="2"/>
      <c r="EWJ11" s="2"/>
      <c r="EWK11" s="2"/>
      <c r="EWL11" s="2"/>
      <c r="EWM11" s="2"/>
      <c r="EWN11" s="2"/>
      <c r="EWO11" s="2"/>
      <c r="EWP11" s="2"/>
      <c r="EWQ11" s="2"/>
      <c r="EWR11" s="2"/>
      <c r="EWS11" s="2"/>
      <c r="EWT11" s="2"/>
      <c r="EWU11" s="2"/>
      <c r="EWV11" s="2"/>
      <c r="EWW11" s="2"/>
      <c r="EWX11" s="2"/>
      <c r="EWY11" s="2"/>
      <c r="EWZ11" s="2"/>
      <c r="EXA11" s="2"/>
      <c r="EXB11" s="2"/>
      <c r="EXC11" s="2"/>
      <c r="EXD11" s="2"/>
      <c r="EXE11" s="2"/>
      <c r="EXF11" s="2"/>
      <c r="EXG11" s="2"/>
      <c r="EXH11" s="2"/>
      <c r="EXI11" s="2"/>
      <c r="EXJ11" s="2"/>
      <c r="EXK11" s="2"/>
      <c r="EXL11" s="2"/>
      <c r="EXM11" s="2"/>
      <c r="EXN11" s="2"/>
      <c r="EXO11" s="2"/>
      <c r="EXP11" s="2"/>
      <c r="EXQ11" s="2"/>
      <c r="EXR11" s="2"/>
      <c r="EXS11" s="2"/>
      <c r="EXT11" s="2"/>
      <c r="EXU11" s="2"/>
      <c r="EXV11" s="2"/>
      <c r="EXW11" s="2"/>
      <c r="EXX11" s="2"/>
      <c r="EXY11" s="2"/>
      <c r="EXZ11" s="2"/>
      <c r="EYA11" s="2"/>
      <c r="EYB11" s="2"/>
      <c r="EYC11" s="2"/>
      <c r="EYD11" s="2"/>
      <c r="EYE11" s="2"/>
      <c r="EYF11" s="2"/>
      <c r="EYG11" s="2"/>
      <c r="EYH11" s="2"/>
      <c r="EYI11" s="2"/>
      <c r="EYJ11" s="2"/>
      <c r="EYK11" s="2"/>
      <c r="EYL11" s="2"/>
      <c r="EYM11" s="2"/>
      <c r="EYN11" s="2"/>
      <c r="EYO11" s="2"/>
      <c r="EYP11" s="2"/>
      <c r="EYQ11" s="2"/>
      <c r="EYR11" s="2"/>
      <c r="EYS11" s="2"/>
      <c r="EYT11" s="2"/>
      <c r="EYU11" s="2"/>
      <c r="EYV11" s="2"/>
      <c r="EYW11" s="2"/>
      <c r="EYX11" s="2"/>
      <c r="EYY11" s="2"/>
      <c r="EYZ11" s="2"/>
      <c r="EZA11" s="2"/>
      <c r="EZB11" s="2"/>
      <c r="EZC11" s="2"/>
      <c r="EZD11" s="2"/>
      <c r="EZE11" s="2"/>
      <c r="EZF11" s="2"/>
      <c r="EZG11" s="2"/>
      <c r="EZH11" s="2"/>
      <c r="EZI11" s="2"/>
      <c r="EZJ11" s="2"/>
      <c r="EZK11" s="2"/>
      <c r="EZL11" s="2"/>
      <c r="EZM11" s="2"/>
      <c r="EZN11" s="2"/>
      <c r="EZO11" s="2"/>
      <c r="EZP11" s="2"/>
      <c r="EZQ11" s="2"/>
      <c r="EZR11" s="2"/>
      <c r="EZS11" s="2"/>
      <c r="EZT11" s="2"/>
      <c r="EZU11" s="2"/>
      <c r="EZV11" s="2"/>
      <c r="EZW11" s="2"/>
      <c r="EZX11" s="2"/>
      <c r="EZY11" s="2"/>
      <c r="EZZ11" s="2"/>
      <c r="FAA11" s="2"/>
      <c r="FAB11" s="2"/>
      <c r="FAC11" s="2"/>
      <c r="FAD11" s="2"/>
      <c r="FAE11" s="2"/>
      <c r="FAF11" s="2"/>
      <c r="FAG11" s="2"/>
      <c r="FAH11" s="2"/>
      <c r="FAI11" s="2"/>
      <c r="FAJ11" s="2"/>
      <c r="FAK11" s="2"/>
      <c r="FAL11" s="2"/>
      <c r="FAM11" s="2"/>
      <c r="FAN11" s="2"/>
      <c r="FAO11" s="2"/>
      <c r="FAP11" s="2"/>
      <c r="FAQ11" s="2"/>
      <c r="FAR11" s="2"/>
      <c r="FAS11" s="2"/>
      <c r="FAT11" s="2"/>
      <c r="FAU11" s="2"/>
      <c r="FAV11" s="2"/>
      <c r="FAW11" s="2"/>
      <c r="FAX11" s="2"/>
      <c r="FAY11" s="2"/>
      <c r="FAZ11" s="2"/>
      <c r="FBA11" s="2"/>
      <c r="FBB11" s="2"/>
      <c r="FBC11" s="2"/>
      <c r="FBD11" s="2"/>
      <c r="FBE11" s="2"/>
      <c r="FBF11" s="2"/>
      <c r="FBG11" s="2"/>
      <c r="FBH11" s="2"/>
      <c r="FBI11" s="2"/>
      <c r="FBJ11" s="2"/>
      <c r="FBK11" s="2"/>
      <c r="FBL11" s="2"/>
      <c r="FBM11" s="2"/>
      <c r="FBN11" s="2"/>
      <c r="FBO11" s="2"/>
      <c r="FBP11" s="2"/>
      <c r="FBQ11" s="2"/>
      <c r="FBR11" s="2"/>
      <c r="FBS11" s="2"/>
      <c r="FBT11" s="2"/>
      <c r="FBU11" s="2"/>
      <c r="FBV11" s="2"/>
      <c r="FBW11" s="2"/>
      <c r="FBX11" s="2"/>
      <c r="FBY11" s="2"/>
      <c r="FBZ11" s="2"/>
      <c r="FCA11" s="2"/>
      <c r="FCB11" s="2"/>
      <c r="FCC11" s="2"/>
      <c r="FCD11" s="2"/>
      <c r="FCE11" s="2"/>
      <c r="FCF11" s="2"/>
      <c r="FCG11" s="2"/>
      <c r="FCH11" s="2"/>
      <c r="FCI11" s="2"/>
      <c r="FCJ11" s="2"/>
      <c r="FCK11" s="2"/>
      <c r="FCL11" s="2"/>
      <c r="FCM11" s="2"/>
      <c r="FCN11" s="2"/>
      <c r="FCO11" s="2"/>
      <c r="FCP11" s="2"/>
      <c r="FCQ11" s="2"/>
      <c r="FCR11" s="2"/>
      <c r="FCS11" s="2"/>
      <c r="FCT11" s="2"/>
      <c r="FCU11" s="2"/>
      <c r="FCV11" s="2"/>
      <c r="FCW11" s="2"/>
      <c r="FCX11" s="2"/>
      <c r="FCY11" s="2"/>
      <c r="FCZ11" s="2"/>
      <c r="FDA11" s="2"/>
      <c r="FDB11" s="2"/>
      <c r="FDC11" s="2"/>
      <c r="FDD11" s="2"/>
      <c r="FDE11" s="2"/>
      <c r="FDF11" s="2"/>
      <c r="FDG11" s="2"/>
      <c r="FDH11" s="2"/>
      <c r="FDI11" s="2"/>
      <c r="FDJ11" s="2"/>
      <c r="FDK11" s="2"/>
      <c r="FDL11" s="2"/>
      <c r="FDM11" s="2"/>
      <c r="FDN11" s="2"/>
      <c r="FDO11" s="2"/>
      <c r="FDP11" s="2"/>
      <c r="FDQ11" s="2"/>
      <c r="FDR11" s="2"/>
      <c r="FDS11" s="2"/>
      <c r="FDT11" s="2"/>
      <c r="FDU11" s="2"/>
      <c r="FDV11" s="2"/>
      <c r="FDW11" s="2"/>
      <c r="FDX11" s="2"/>
      <c r="FDY11" s="2"/>
      <c r="FDZ11" s="2"/>
      <c r="FEA11" s="2"/>
      <c r="FEB11" s="2"/>
      <c r="FEC11" s="2"/>
      <c r="FED11" s="2"/>
      <c r="FEE11" s="2"/>
      <c r="FEF11" s="2"/>
      <c r="FEG11" s="2"/>
      <c r="FEH11" s="2"/>
      <c r="FEI11" s="2"/>
      <c r="FEJ11" s="2"/>
      <c r="FEK11" s="2"/>
      <c r="FEL11" s="2"/>
      <c r="FEM11" s="2"/>
      <c r="FEN11" s="2"/>
      <c r="FEO11" s="2"/>
      <c r="FEP11" s="2"/>
      <c r="FEQ11" s="2"/>
      <c r="FER11" s="2"/>
      <c r="FES11" s="2"/>
      <c r="FET11" s="2"/>
      <c r="FEU11" s="2"/>
      <c r="FEV11" s="2"/>
      <c r="FEW11" s="2"/>
      <c r="FEX11" s="2"/>
      <c r="FEY11" s="2"/>
      <c r="FEZ11" s="2"/>
      <c r="FFA11" s="2"/>
      <c r="FFB11" s="2"/>
      <c r="FFC11" s="2"/>
      <c r="FFD11" s="2"/>
      <c r="FFE11" s="2"/>
      <c r="FFF11" s="2"/>
      <c r="FFG11" s="2"/>
      <c r="FFH11" s="2"/>
      <c r="FFI11" s="2"/>
      <c r="FFJ11" s="2"/>
      <c r="FFK11" s="2"/>
      <c r="FFL11" s="2"/>
      <c r="FFM11" s="2"/>
      <c r="FFN11" s="2"/>
      <c r="FFO11" s="2"/>
      <c r="FFP11" s="2"/>
      <c r="FFQ11" s="2"/>
      <c r="FFR11" s="2"/>
      <c r="FFS11" s="2"/>
      <c r="FFT11" s="2"/>
      <c r="FFU11" s="2"/>
      <c r="FFV11" s="2"/>
      <c r="FFW11" s="2"/>
      <c r="FFX11" s="2"/>
      <c r="FFY11" s="2"/>
      <c r="FFZ11" s="2"/>
      <c r="FGA11" s="2"/>
      <c r="FGB11" s="2"/>
      <c r="FGC11" s="2"/>
      <c r="FGD11" s="2"/>
      <c r="FGE11" s="2"/>
      <c r="FGF11" s="2"/>
      <c r="FGG11" s="2"/>
      <c r="FGH11" s="2"/>
      <c r="FGI11" s="2"/>
      <c r="FGJ11" s="2"/>
      <c r="FGK11" s="2"/>
      <c r="FGL11" s="2"/>
      <c r="FGM11" s="2"/>
      <c r="FGN11" s="2"/>
      <c r="FGO11" s="2"/>
      <c r="FGP11" s="2"/>
      <c r="FGQ11" s="2"/>
      <c r="FGR11" s="2"/>
      <c r="FGS11" s="2"/>
      <c r="FGT11" s="2"/>
      <c r="FGU11" s="2"/>
      <c r="FGV11" s="2"/>
      <c r="FGW11" s="2"/>
      <c r="FGX11" s="2"/>
      <c r="FGY11" s="2"/>
      <c r="FGZ11" s="2"/>
      <c r="FHA11" s="2"/>
      <c r="FHB11" s="2"/>
      <c r="FHC11" s="2"/>
      <c r="FHD11" s="2"/>
      <c r="FHE11" s="2"/>
      <c r="FHF11" s="2"/>
      <c r="FHG11" s="2"/>
      <c r="FHH11" s="2"/>
      <c r="FHI11" s="2"/>
      <c r="FHJ11" s="2"/>
      <c r="FHK11" s="2"/>
      <c r="FHL11" s="2"/>
      <c r="FHM11" s="2"/>
      <c r="FHN11" s="2"/>
      <c r="FHO11" s="2"/>
      <c r="FHP11" s="2"/>
      <c r="FHQ11" s="2"/>
      <c r="FHR11" s="2"/>
      <c r="FHS11" s="2"/>
      <c r="FHT11" s="2"/>
      <c r="FHU11" s="2"/>
      <c r="FHV11" s="2"/>
      <c r="FHW11" s="2"/>
      <c r="FHX11" s="2"/>
      <c r="FHY11" s="2"/>
      <c r="FHZ11" s="2"/>
      <c r="FIA11" s="2"/>
      <c r="FIB11" s="2"/>
      <c r="FIC11" s="2"/>
      <c r="FID11" s="2"/>
      <c r="FIE11" s="2"/>
      <c r="FIF11" s="2"/>
      <c r="FIG11" s="2"/>
      <c r="FIH11" s="2"/>
      <c r="FII11" s="2"/>
      <c r="FIJ11" s="2"/>
      <c r="FIK11" s="2"/>
      <c r="FIL11" s="2"/>
      <c r="FIM11" s="2"/>
      <c r="FIN11" s="2"/>
      <c r="FIO11" s="2"/>
      <c r="FIP11" s="2"/>
      <c r="FIQ11" s="2"/>
      <c r="FIR11" s="2"/>
      <c r="FIS11" s="2"/>
      <c r="FIT11" s="2"/>
      <c r="FIU11" s="2"/>
      <c r="FIV11" s="2"/>
      <c r="FIW11" s="2"/>
      <c r="FIX11" s="2"/>
      <c r="FIY11" s="2"/>
      <c r="FIZ11" s="2"/>
      <c r="FJA11" s="2"/>
      <c r="FJB11" s="2"/>
      <c r="FJC11" s="2"/>
      <c r="FJD11" s="2"/>
      <c r="FJE11" s="2"/>
      <c r="FJF11" s="2"/>
      <c r="FJG11" s="2"/>
      <c r="FJH11" s="2"/>
      <c r="FJI11" s="2"/>
      <c r="FJJ11" s="2"/>
      <c r="FJK11" s="2"/>
      <c r="FJL11" s="2"/>
      <c r="FJM11" s="2"/>
      <c r="FJN11" s="2"/>
      <c r="FJO11" s="2"/>
      <c r="FJP11" s="2"/>
      <c r="FJQ11" s="2"/>
      <c r="FJR11" s="2"/>
      <c r="FJS11" s="2"/>
      <c r="FJT11" s="2"/>
      <c r="FJU11" s="2"/>
      <c r="FJV11" s="2"/>
      <c r="FJW11" s="2"/>
      <c r="FJX11" s="2"/>
      <c r="FJY11" s="2"/>
      <c r="FJZ11" s="2"/>
      <c r="FKA11" s="2"/>
      <c r="FKB11" s="2"/>
      <c r="FKC11" s="2"/>
      <c r="FKD11" s="2"/>
      <c r="FKE11" s="2"/>
      <c r="FKF11" s="2"/>
      <c r="FKG11" s="2"/>
      <c r="FKH11" s="2"/>
      <c r="FKI11" s="2"/>
      <c r="FKJ11" s="2"/>
      <c r="FKK11" s="2"/>
      <c r="FKL11" s="2"/>
      <c r="FKM11" s="2"/>
      <c r="FKN11" s="2"/>
      <c r="FKO11" s="2"/>
      <c r="FKP11" s="2"/>
      <c r="FKQ11" s="2"/>
      <c r="FKR11" s="2"/>
      <c r="FKS11" s="2"/>
      <c r="FKT11" s="2"/>
      <c r="FKU11" s="2"/>
      <c r="FKV11" s="2"/>
      <c r="FKW11" s="2"/>
      <c r="FKX11" s="2"/>
      <c r="FKY11" s="2"/>
      <c r="FKZ11" s="2"/>
      <c r="FLA11" s="2"/>
      <c r="FLB11" s="2"/>
      <c r="FLC11" s="2"/>
      <c r="FLD11" s="2"/>
      <c r="FLE11" s="2"/>
      <c r="FLF11" s="2"/>
      <c r="FLG11" s="2"/>
      <c r="FLH11" s="2"/>
      <c r="FLI11" s="2"/>
      <c r="FLJ11" s="2"/>
      <c r="FLK11" s="2"/>
      <c r="FLL11" s="2"/>
      <c r="FLM11" s="2"/>
      <c r="FLN11" s="2"/>
      <c r="FLO11" s="2"/>
      <c r="FLP11" s="2"/>
      <c r="FLQ11" s="2"/>
      <c r="FLR11" s="2"/>
      <c r="FLS11" s="2"/>
      <c r="FLT11" s="2"/>
      <c r="FLU11" s="2"/>
      <c r="FLV11" s="2"/>
      <c r="FLW11" s="2"/>
      <c r="FLX11" s="2"/>
      <c r="FLY11" s="2"/>
      <c r="FLZ11" s="2"/>
      <c r="FMA11" s="2"/>
      <c r="FMB11" s="2"/>
      <c r="FMC11" s="2"/>
      <c r="FMD11" s="2"/>
      <c r="FME11" s="2"/>
      <c r="FMF11" s="2"/>
      <c r="FMG11" s="2"/>
      <c r="FMH11" s="2"/>
      <c r="FMI11" s="2"/>
      <c r="FMJ11" s="2"/>
      <c r="FMK11" s="2"/>
      <c r="FML11" s="2"/>
      <c r="FMM11" s="2"/>
      <c r="FMN11" s="2"/>
      <c r="FMO11" s="2"/>
      <c r="FMP11" s="2"/>
      <c r="FMQ11" s="2"/>
      <c r="FMR11" s="2"/>
      <c r="FMS11" s="2"/>
      <c r="FMT11" s="2"/>
      <c r="FMU11" s="2"/>
      <c r="FMV11" s="2"/>
      <c r="FMW11" s="2"/>
      <c r="FMX11" s="2"/>
      <c r="FMY11" s="2"/>
      <c r="FMZ11" s="2"/>
      <c r="FNA11" s="2"/>
      <c r="FNB11" s="2"/>
      <c r="FNC11" s="2"/>
      <c r="FND11" s="2"/>
      <c r="FNE11" s="2"/>
      <c r="FNF11" s="2"/>
      <c r="FNG11" s="2"/>
      <c r="FNH11" s="2"/>
      <c r="FNI11" s="2"/>
      <c r="FNJ11" s="2"/>
      <c r="FNK11" s="2"/>
      <c r="FNL11" s="2"/>
      <c r="FNM11" s="2"/>
      <c r="FNN11" s="2"/>
      <c r="FNO11" s="2"/>
      <c r="FNP11" s="2"/>
      <c r="FNQ11" s="2"/>
      <c r="FNR11" s="2"/>
      <c r="FNS11" s="2"/>
      <c r="FNT11" s="2"/>
      <c r="FNU11" s="2"/>
      <c r="FNV11" s="2"/>
      <c r="FNW11" s="2"/>
      <c r="FNX11" s="2"/>
      <c r="FNY11" s="2"/>
      <c r="FNZ11" s="2"/>
      <c r="FOA11" s="2"/>
      <c r="FOB11" s="2"/>
      <c r="FOC11" s="2"/>
      <c r="FOD11" s="2"/>
      <c r="FOE11" s="2"/>
      <c r="FOF11" s="2"/>
      <c r="FOG11" s="2"/>
      <c r="FOH11" s="2"/>
      <c r="FOI11" s="2"/>
      <c r="FOJ11" s="2"/>
      <c r="FOK11" s="2"/>
      <c r="FOL11" s="2"/>
      <c r="FOM11" s="2"/>
      <c r="FON11" s="2"/>
      <c r="FOO11" s="2"/>
      <c r="FOP11" s="2"/>
      <c r="FOQ11" s="2"/>
      <c r="FOR11" s="2"/>
      <c r="FOS11" s="2"/>
      <c r="FOT11" s="2"/>
      <c r="FOU11" s="2"/>
      <c r="FOV11" s="2"/>
      <c r="FOW11" s="2"/>
      <c r="FOX11" s="2"/>
      <c r="FOY11" s="2"/>
      <c r="FOZ11" s="2"/>
      <c r="FPA11" s="2"/>
      <c r="FPB11" s="2"/>
      <c r="FPC11" s="2"/>
      <c r="FPD11" s="2"/>
      <c r="FPE11" s="2"/>
      <c r="FPF11" s="2"/>
      <c r="FPG11" s="2"/>
      <c r="FPH11" s="2"/>
      <c r="FPI11" s="2"/>
      <c r="FPJ11" s="2"/>
      <c r="FPK11" s="2"/>
      <c r="FPL11" s="2"/>
      <c r="FPM11" s="2"/>
      <c r="FPN11" s="2"/>
      <c r="FPO11" s="2"/>
      <c r="FPP11" s="2"/>
      <c r="FPQ11" s="2"/>
      <c r="FPR11" s="2"/>
      <c r="FPS11" s="2"/>
      <c r="FPT11" s="2"/>
      <c r="FPU11" s="2"/>
      <c r="FPV11" s="2"/>
      <c r="FPW11" s="2"/>
      <c r="FPX11" s="2"/>
      <c r="FPY11" s="2"/>
      <c r="FPZ11" s="2"/>
      <c r="FQA11" s="2"/>
      <c r="FQB11" s="2"/>
      <c r="FQC11" s="2"/>
      <c r="FQD11" s="2"/>
      <c r="FQE11" s="2"/>
      <c r="FQF11" s="2"/>
      <c r="FQG11" s="2"/>
      <c r="FQH11" s="2"/>
      <c r="FQI11" s="2"/>
      <c r="FQJ11" s="2"/>
      <c r="FQK11" s="2"/>
      <c r="FQL11" s="2"/>
      <c r="FQM11" s="2"/>
      <c r="FQN11" s="2"/>
      <c r="FQO11" s="2"/>
      <c r="FQP11" s="2"/>
      <c r="FQQ11" s="2"/>
      <c r="FQR11" s="2"/>
      <c r="FQS11" s="2"/>
      <c r="FQT11" s="2"/>
      <c r="FQU11" s="2"/>
      <c r="FQV11" s="2"/>
      <c r="FQW11" s="2"/>
      <c r="FQX11" s="2"/>
      <c r="FQY11" s="2"/>
      <c r="FQZ11" s="2"/>
      <c r="FRA11" s="2"/>
      <c r="FRB11" s="2"/>
      <c r="FRC11" s="2"/>
      <c r="FRD11" s="2"/>
      <c r="FRE11" s="2"/>
      <c r="FRF11" s="2"/>
      <c r="FRG11" s="2"/>
      <c r="FRH11" s="2"/>
      <c r="FRI11" s="2"/>
      <c r="FRJ11" s="2"/>
      <c r="FRK11" s="2"/>
      <c r="FRL11" s="2"/>
      <c r="FRM11" s="2"/>
      <c r="FRN11" s="2"/>
      <c r="FRO11" s="2"/>
      <c r="FRP11" s="2"/>
      <c r="FRQ11" s="2"/>
      <c r="FRR11" s="2"/>
      <c r="FRS11" s="2"/>
      <c r="FRT11" s="2"/>
      <c r="FRU11" s="2"/>
      <c r="FRV11" s="2"/>
      <c r="FRW11" s="2"/>
      <c r="FRX11" s="2"/>
      <c r="FRY11" s="2"/>
      <c r="FRZ11" s="2"/>
      <c r="FSA11" s="2"/>
      <c r="FSB11" s="2"/>
      <c r="FSC11" s="2"/>
      <c r="FSD11" s="2"/>
      <c r="FSE11" s="2"/>
      <c r="FSF11" s="2"/>
      <c r="FSG11" s="2"/>
      <c r="FSH11" s="2"/>
      <c r="FSI11" s="2"/>
      <c r="FSJ11" s="2"/>
      <c r="FSK11" s="2"/>
      <c r="FSL11" s="2"/>
      <c r="FSM11" s="2"/>
      <c r="FSN11" s="2"/>
      <c r="FSO11" s="2"/>
      <c r="FSP11" s="2"/>
      <c r="FSQ11" s="2"/>
      <c r="FSR11" s="2"/>
      <c r="FSS11" s="2"/>
      <c r="FST11" s="2"/>
      <c r="FSU11" s="2"/>
      <c r="FSV11" s="2"/>
      <c r="FSW11" s="2"/>
      <c r="FSX11" s="2"/>
      <c r="FSY11" s="2"/>
      <c r="FSZ11" s="2"/>
      <c r="FTA11" s="2"/>
      <c r="FTB11" s="2"/>
      <c r="FTC11" s="2"/>
      <c r="FTD11" s="2"/>
      <c r="FTE11" s="2"/>
      <c r="FTF11" s="2"/>
      <c r="FTG11" s="2"/>
      <c r="FTH11" s="2"/>
      <c r="FTI11" s="2"/>
      <c r="FTJ11" s="2"/>
      <c r="FTK11" s="2"/>
      <c r="FTL11" s="2"/>
      <c r="FTM11" s="2"/>
      <c r="FTN11" s="2"/>
      <c r="FTO11" s="2"/>
      <c r="FTP11" s="2"/>
      <c r="FTQ11" s="2"/>
      <c r="FTR11" s="2"/>
      <c r="FTS11" s="2"/>
      <c r="FTT11" s="2"/>
      <c r="FTU11" s="2"/>
      <c r="FTV11" s="2"/>
      <c r="FTW11" s="2"/>
      <c r="FTX11" s="2"/>
      <c r="FTY11" s="2"/>
      <c r="FTZ11" s="2"/>
      <c r="FUA11" s="2"/>
      <c r="FUB11" s="2"/>
      <c r="FUC11" s="2"/>
      <c r="FUD11" s="2"/>
      <c r="FUE11" s="2"/>
      <c r="FUF11" s="2"/>
      <c r="FUG11" s="2"/>
      <c r="FUH11" s="2"/>
      <c r="FUI11" s="2"/>
      <c r="FUJ11" s="2"/>
      <c r="FUK11" s="2"/>
      <c r="FUL11" s="2"/>
      <c r="FUM11" s="2"/>
      <c r="FUN11" s="2"/>
      <c r="FUO11" s="2"/>
      <c r="FUP11" s="2"/>
      <c r="FUQ11" s="2"/>
      <c r="FUR11" s="2"/>
      <c r="FUS11" s="2"/>
      <c r="FUT11" s="2"/>
      <c r="FUU11" s="2"/>
      <c r="FUV11" s="2"/>
      <c r="FUW11" s="2"/>
      <c r="FUX11" s="2"/>
      <c r="FUY11" s="2"/>
      <c r="FUZ11" s="2"/>
      <c r="FVA11" s="2"/>
      <c r="FVB11" s="2"/>
      <c r="FVC11" s="2"/>
      <c r="FVD11" s="2"/>
      <c r="FVE11" s="2"/>
      <c r="FVF11" s="2"/>
      <c r="FVG11" s="2"/>
      <c r="FVH11" s="2"/>
      <c r="FVI11" s="2"/>
      <c r="FVJ11" s="2"/>
      <c r="FVK11" s="2"/>
      <c r="FVL11" s="2"/>
      <c r="FVM11" s="2"/>
      <c r="FVN11" s="2"/>
      <c r="FVO11" s="2"/>
      <c r="FVP11" s="2"/>
      <c r="FVQ11" s="2"/>
      <c r="FVR11" s="2"/>
      <c r="FVS11" s="2"/>
      <c r="FVT11" s="2"/>
      <c r="FVU11" s="2"/>
      <c r="FVV11" s="2"/>
      <c r="FVW11" s="2"/>
      <c r="FVX11" s="2"/>
      <c r="FVY11" s="2"/>
      <c r="FVZ11" s="2"/>
      <c r="FWA11" s="2"/>
      <c r="FWB11" s="2"/>
      <c r="FWC11" s="2"/>
      <c r="FWD11" s="2"/>
      <c r="FWE11" s="2"/>
      <c r="FWF11" s="2"/>
      <c r="FWG11" s="2"/>
      <c r="FWH11" s="2"/>
      <c r="FWI11" s="2"/>
      <c r="FWJ11" s="2"/>
      <c r="FWK11" s="2"/>
      <c r="FWL11" s="2"/>
      <c r="FWM11" s="2"/>
      <c r="FWN11" s="2"/>
      <c r="FWO11" s="2"/>
      <c r="FWP11" s="2"/>
      <c r="FWQ11" s="2"/>
      <c r="FWR11" s="2"/>
      <c r="FWS11" s="2"/>
      <c r="FWT11" s="2"/>
      <c r="FWU11" s="2"/>
      <c r="FWV11" s="2"/>
      <c r="FWW11" s="2"/>
      <c r="FWX11" s="2"/>
      <c r="FWY11" s="2"/>
      <c r="FWZ11" s="2"/>
      <c r="FXA11" s="2"/>
      <c r="FXB11" s="2"/>
      <c r="FXC11" s="2"/>
      <c r="FXD11" s="2"/>
      <c r="FXE11" s="2"/>
      <c r="FXF11" s="2"/>
      <c r="FXG11" s="2"/>
      <c r="FXH11" s="2"/>
      <c r="FXI11" s="2"/>
      <c r="FXJ11" s="2"/>
      <c r="FXK11" s="2"/>
      <c r="FXL11" s="2"/>
      <c r="FXM11" s="2"/>
      <c r="FXN11" s="2"/>
      <c r="FXO11" s="2"/>
      <c r="FXP11" s="2"/>
      <c r="FXQ11" s="2"/>
      <c r="FXR11" s="2"/>
      <c r="FXS11" s="2"/>
      <c r="FXT11" s="2"/>
      <c r="FXU11" s="2"/>
      <c r="FXV11" s="2"/>
      <c r="FXW11" s="2"/>
      <c r="FXX11" s="2"/>
      <c r="FXY11" s="2"/>
      <c r="FXZ11" s="2"/>
      <c r="FYA11" s="2"/>
      <c r="FYB11" s="2"/>
      <c r="FYC11" s="2"/>
      <c r="FYD11" s="2"/>
      <c r="FYE11" s="2"/>
      <c r="FYF11" s="2"/>
      <c r="FYG11" s="2"/>
      <c r="FYH11" s="2"/>
      <c r="FYI11" s="2"/>
      <c r="FYJ11" s="2"/>
      <c r="FYK11" s="2"/>
      <c r="FYL11" s="2"/>
      <c r="FYM11" s="2"/>
      <c r="FYN11" s="2"/>
      <c r="FYO11" s="2"/>
      <c r="FYP11" s="2"/>
      <c r="FYQ11" s="2"/>
      <c r="FYR11" s="2"/>
      <c r="FYS11" s="2"/>
      <c r="FYT11" s="2"/>
      <c r="FYU11" s="2"/>
      <c r="FYV11" s="2"/>
      <c r="FYW11" s="2"/>
      <c r="FYX11" s="2"/>
      <c r="FYY11" s="2"/>
      <c r="FYZ11" s="2"/>
      <c r="FZA11" s="2"/>
      <c r="FZB11" s="2"/>
      <c r="FZC11" s="2"/>
      <c r="FZD11" s="2"/>
      <c r="FZE11" s="2"/>
      <c r="FZF11" s="2"/>
      <c r="FZG11" s="2"/>
      <c r="FZH11" s="2"/>
      <c r="FZI11" s="2"/>
      <c r="FZJ11" s="2"/>
      <c r="FZK11" s="2"/>
      <c r="FZL11" s="2"/>
      <c r="FZM11" s="2"/>
      <c r="FZN11" s="2"/>
      <c r="FZO11" s="2"/>
      <c r="FZP11" s="2"/>
      <c r="FZQ11" s="2"/>
      <c r="FZR11" s="2"/>
      <c r="FZS11" s="2"/>
      <c r="FZT11" s="2"/>
      <c r="FZU11" s="2"/>
      <c r="FZV11" s="2"/>
      <c r="FZW11" s="2"/>
      <c r="FZX11" s="2"/>
      <c r="FZY11" s="2"/>
      <c r="FZZ11" s="2"/>
      <c r="GAA11" s="2"/>
      <c r="GAB11" s="2"/>
      <c r="GAC11" s="2"/>
      <c r="GAD11" s="2"/>
      <c r="GAE11" s="2"/>
      <c r="GAF11" s="2"/>
      <c r="GAG11" s="2"/>
      <c r="GAH11" s="2"/>
      <c r="GAI11" s="2"/>
      <c r="GAJ11" s="2"/>
      <c r="GAK11" s="2"/>
      <c r="GAL11" s="2"/>
      <c r="GAM11" s="2"/>
      <c r="GAN11" s="2"/>
      <c r="GAO11" s="2"/>
      <c r="GAP11" s="2"/>
      <c r="GAQ11" s="2"/>
      <c r="GAR11" s="2"/>
      <c r="GAS11" s="2"/>
      <c r="GAT11" s="2"/>
      <c r="GAU11" s="2"/>
      <c r="GAV11" s="2"/>
      <c r="GAW11" s="2"/>
      <c r="GAX11" s="2"/>
      <c r="GAY11" s="2"/>
      <c r="GAZ11" s="2"/>
      <c r="GBA11" s="2"/>
      <c r="GBB11" s="2"/>
      <c r="GBC11" s="2"/>
      <c r="GBD11" s="2"/>
      <c r="GBE11" s="2"/>
      <c r="GBF11" s="2"/>
      <c r="GBG11" s="2"/>
      <c r="GBH11" s="2"/>
      <c r="GBI11" s="2"/>
      <c r="GBJ11" s="2"/>
      <c r="GBK11" s="2"/>
      <c r="GBL11" s="2"/>
      <c r="GBM11" s="2"/>
      <c r="GBN11" s="2"/>
      <c r="GBO11" s="2"/>
      <c r="GBP11" s="2"/>
      <c r="GBQ11" s="2"/>
      <c r="GBR11" s="2"/>
      <c r="GBS11" s="2"/>
      <c r="GBT11" s="2"/>
      <c r="GBU11" s="2"/>
      <c r="GBV11" s="2"/>
      <c r="GBW11" s="2"/>
      <c r="GBX11" s="2"/>
      <c r="GBY11" s="2"/>
      <c r="GBZ11" s="2"/>
      <c r="GCA11" s="2"/>
      <c r="GCB11" s="2"/>
      <c r="GCC11" s="2"/>
      <c r="GCD11" s="2"/>
      <c r="GCE11" s="2"/>
      <c r="GCF11" s="2"/>
      <c r="GCG11" s="2"/>
      <c r="GCH11" s="2"/>
      <c r="GCI11" s="2"/>
      <c r="GCJ11" s="2"/>
      <c r="GCK11" s="2"/>
      <c r="GCL11" s="2"/>
      <c r="GCM11" s="2"/>
      <c r="GCN11" s="2"/>
      <c r="GCO11" s="2"/>
      <c r="GCP11" s="2"/>
      <c r="GCQ11" s="2"/>
      <c r="GCR11" s="2"/>
      <c r="GCS11" s="2"/>
      <c r="GCT11" s="2"/>
      <c r="GCU11" s="2"/>
      <c r="GCV11" s="2"/>
      <c r="GCW11" s="2"/>
      <c r="GCX11" s="2"/>
      <c r="GCY11" s="2"/>
      <c r="GCZ11" s="2"/>
      <c r="GDA11" s="2"/>
      <c r="GDB11" s="2"/>
      <c r="GDC11" s="2"/>
      <c r="GDD11" s="2"/>
      <c r="GDE11" s="2"/>
      <c r="GDF11" s="2"/>
      <c r="GDG11" s="2"/>
      <c r="GDH11" s="2"/>
      <c r="GDI11" s="2"/>
      <c r="GDJ11" s="2"/>
      <c r="GDK11" s="2"/>
      <c r="GDL11" s="2"/>
      <c r="GDM11" s="2"/>
      <c r="GDN11" s="2"/>
      <c r="GDO11" s="2"/>
      <c r="GDP11" s="2"/>
      <c r="GDQ11" s="2"/>
      <c r="GDR11" s="2"/>
      <c r="GDS11" s="2"/>
      <c r="GDT11" s="2"/>
      <c r="GDU11" s="2"/>
      <c r="GDV11" s="2"/>
      <c r="GDW11" s="2"/>
      <c r="GDX11" s="2"/>
      <c r="GDY11" s="2"/>
      <c r="GDZ11" s="2"/>
      <c r="GEA11" s="2"/>
      <c r="GEB11" s="2"/>
      <c r="GEC11" s="2"/>
      <c r="GED11" s="2"/>
      <c r="GEE11" s="2"/>
      <c r="GEF11" s="2"/>
      <c r="GEG11" s="2"/>
      <c r="GEH11" s="2"/>
      <c r="GEI11" s="2"/>
      <c r="GEJ11" s="2"/>
      <c r="GEK11" s="2"/>
      <c r="GEL11" s="2"/>
      <c r="GEM11" s="2"/>
      <c r="GEN11" s="2"/>
      <c r="GEO11" s="2"/>
      <c r="GEP11" s="2"/>
      <c r="GEQ11" s="2"/>
      <c r="GER11" s="2"/>
      <c r="GES11" s="2"/>
      <c r="GET11" s="2"/>
      <c r="GEU11" s="2"/>
      <c r="GEV11" s="2"/>
      <c r="GEW11" s="2"/>
      <c r="GEX11" s="2"/>
      <c r="GEY11" s="2"/>
      <c r="GEZ11" s="2"/>
      <c r="GFA11" s="2"/>
      <c r="GFB11" s="2"/>
      <c r="GFC11" s="2"/>
      <c r="GFD11" s="2"/>
      <c r="GFE11" s="2"/>
      <c r="GFF11" s="2"/>
      <c r="GFG11" s="2"/>
      <c r="GFH11" s="2"/>
      <c r="GFI11" s="2"/>
      <c r="GFJ11" s="2"/>
      <c r="GFK11" s="2"/>
      <c r="GFL11" s="2"/>
      <c r="GFM11" s="2"/>
      <c r="GFN11" s="2"/>
      <c r="GFO11" s="2"/>
      <c r="GFP11" s="2"/>
      <c r="GFQ11" s="2"/>
      <c r="GFR11" s="2"/>
      <c r="GFS11" s="2"/>
      <c r="GFT11" s="2"/>
      <c r="GFU11" s="2"/>
      <c r="GFV11" s="2"/>
      <c r="GFW11" s="2"/>
      <c r="GFX11" s="2"/>
      <c r="GFY11" s="2"/>
      <c r="GFZ11" s="2"/>
      <c r="GGA11" s="2"/>
      <c r="GGB11" s="2"/>
      <c r="GGC11" s="2"/>
      <c r="GGD11" s="2"/>
      <c r="GGE11" s="2"/>
      <c r="GGF11" s="2"/>
      <c r="GGG11" s="2"/>
      <c r="GGH11" s="2"/>
      <c r="GGI11" s="2"/>
      <c r="GGJ11" s="2"/>
      <c r="GGK11" s="2"/>
      <c r="GGL11" s="2"/>
      <c r="GGM11" s="2"/>
      <c r="GGN11" s="2"/>
      <c r="GGO11" s="2"/>
      <c r="GGP11" s="2"/>
      <c r="GGQ11" s="2"/>
      <c r="GGR11" s="2"/>
      <c r="GGS11" s="2"/>
      <c r="GGT11" s="2"/>
      <c r="GGU11" s="2"/>
      <c r="GGV11" s="2"/>
      <c r="GGW11" s="2"/>
      <c r="GGX11" s="2"/>
      <c r="GGY11" s="2"/>
      <c r="GGZ11" s="2"/>
      <c r="GHA11" s="2"/>
      <c r="GHB11" s="2"/>
      <c r="GHC11" s="2"/>
      <c r="GHD11" s="2"/>
      <c r="GHE11" s="2"/>
      <c r="GHF11" s="2"/>
      <c r="GHG11" s="2"/>
      <c r="GHH11" s="2"/>
      <c r="GHI11" s="2"/>
      <c r="GHJ11" s="2"/>
      <c r="GHK11" s="2"/>
      <c r="GHL11" s="2"/>
      <c r="GHM11" s="2"/>
      <c r="GHN11" s="2"/>
      <c r="GHO11" s="2"/>
      <c r="GHP11" s="2"/>
      <c r="GHQ11" s="2"/>
      <c r="GHR11" s="2"/>
      <c r="GHS11" s="2"/>
      <c r="GHT11" s="2"/>
      <c r="GHU11" s="2"/>
      <c r="GHV11" s="2"/>
      <c r="GHW11" s="2"/>
      <c r="GHX11" s="2"/>
      <c r="GHY11" s="2"/>
      <c r="GHZ11" s="2"/>
      <c r="GIA11" s="2"/>
      <c r="GIB11" s="2"/>
      <c r="GIC11" s="2"/>
      <c r="GID11" s="2"/>
      <c r="GIE11" s="2"/>
      <c r="GIF11" s="2"/>
      <c r="GIG11" s="2"/>
      <c r="GIH11" s="2"/>
      <c r="GII11" s="2"/>
      <c r="GIJ11" s="2"/>
      <c r="GIK11" s="2"/>
      <c r="GIL11" s="2"/>
      <c r="GIM11" s="2"/>
      <c r="GIN11" s="2"/>
      <c r="GIO11" s="2"/>
      <c r="GIP11" s="2"/>
      <c r="GIQ11" s="2"/>
      <c r="GIR11" s="2"/>
      <c r="GIS11" s="2"/>
      <c r="GIT11" s="2"/>
      <c r="GIU11" s="2"/>
      <c r="GIV11" s="2"/>
      <c r="GIW11" s="2"/>
      <c r="GIX11" s="2"/>
      <c r="GIY11" s="2"/>
      <c r="GIZ11" s="2"/>
      <c r="GJA11" s="2"/>
      <c r="GJB11" s="2"/>
      <c r="GJC11" s="2"/>
      <c r="GJD11" s="2"/>
      <c r="GJE11" s="2"/>
      <c r="GJF11" s="2"/>
      <c r="GJG11" s="2"/>
      <c r="GJH11" s="2"/>
      <c r="GJI11" s="2"/>
      <c r="GJJ11" s="2"/>
      <c r="GJK11" s="2"/>
      <c r="GJL11" s="2"/>
      <c r="GJM11" s="2"/>
      <c r="GJN11" s="2"/>
      <c r="GJO11" s="2"/>
      <c r="GJP11" s="2"/>
      <c r="GJQ11" s="2"/>
      <c r="GJR11" s="2"/>
      <c r="GJS11" s="2"/>
      <c r="GJT11" s="2"/>
      <c r="GJU11" s="2"/>
      <c r="GJV11" s="2"/>
      <c r="GJW11" s="2"/>
      <c r="GJX11" s="2"/>
      <c r="GJY11" s="2"/>
      <c r="GJZ11" s="2"/>
      <c r="GKA11" s="2"/>
      <c r="GKB11" s="2"/>
      <c r="GKC11" s="2"/>
      <c r="GKD11" s="2"/>
      <c r="GKE11" s="2"/>
      <c r="GKF11" s="2"/>
      <c r="GKG11" s="2"/>
      <c r="GKH11" s="2"/>
      <c r="GKI11" s="2"/>
      <c r="GKJ11" s="2"/>
      <c r="GKK11" s="2"/>
      <c r="GKL11" s="2"/>
      <c r="GKM11" s="2"/>
      <c r="GKN11" s="2"/>
      <c r="GKO11" s="2"/>
      <c r="GKP11" s="2"/>
      <c r="GKQ11" s="2"/>
      <c r="GKR11" s="2"/>
      <c r="GKS11" s="2"/>
      <c r="GKT11" s="2"/>
      <c r="GKU11" s="2"/>
      <c r="GKV11" s="2"/>
      <c r="GKW11" s="2"/>
      <c r="GKX11" s="2"/>
      <c r="GKY11" s="2"/>
      <c r="GKZ11" s="2"/>
      <c r="GLA11" s="2"/>
      <c r="GLB11" s="2"/>
      <c r="GLC11" s="2"/>
      <c r="GLD11" s="2"/>
      <c r="GLE11" s="2"/>
      <c r="GLF11" s="2"/>
      <c r="GLG11" s="2"/>
      <c r="GLH11" s="2"/>
      <c r="GLI11" s="2"/>
      <c r="GLJ11" s="2"/>
      <c r="GLK11" s="2"/>
      <c r="GLL11" s="2"/>
      <c r="GLM11" s="2"/>
      <c r="GLN11" s="2"/>
      <c r="GLO11" s="2"/>
      <c r="GLP11" s="2"/>
      <c r="GLQ11" s="2"/>
      <c r="GLR11" s="2"/>
      <c r="GLS11" s="2"/>
      <c r="GLT11" s="2"/>
      <c r="GLU11" s="2"/>
      <c r="GLV11" s="2"/>
      <c r="GLW11" s="2"/>
      <c r="GLX11" s="2"/>
      <c r="GLY11" s="2"/>
      <c r="GLZ11" s="2"/>
      <c r="GMA11" s="2"/>
      <c r="GMB11" s="2"/>
      <c r="GMC11" s="2"/>
      <c r="GMD11" s="2"/>
      <c r="GME11" s="2"/>
      <c r="GMF11" s="2"/>
      <c r="GMG11" s="2"/>
      <c r="GMH11" s="2"/>
      <c r="GMI11" s="2"/>
      <c r="GMJ11" s="2"/>
      <c r="GMK11" s="2"/>
      <c r="GML11" s="2"/>
      <c r="GMM11" s="2"/>
      <c r="GMN11" s="2"/>
      <c r="GMO11" s="2"/>
      <c r="GMP11" s="2"/>
      <c r="GMQ11" s="2"/>
      <c r="GMR11" s="2"/>
      <c r="GMS11" s="2"/>
      <c r="GMT11" s="2"/>
      <c r="GMU11" s="2"/>
      <c r="GMV11" s="2"/>
      <c r="GMW11" s="2"/>
      <c r="GMX11" s="2"/>
      <c r="GMY11" s="2"/>
      <c r="GMZ11" s="2"/>
      <c r="GNA11" s="2"/>
      <c r="GNB11" s="2"/>
      <c r="GNC11" s="2"/>
      <c r="GND11" s="2"/>
      <c r="GNE11" s="2"/>
      <c r="GNF11" s="2"/>
      <c r="GNG11" s="2"/>
      <c r="GNH11" s="2"/>
      <c r="GNI11" s="2"/>
      <c r="GNJ11" s="2"/>
      <c r="GNK11" s="2"/>
      <c r="GNL11" s="2"/>
      <c r="GNM11" s="2"/>
      <c r="GNN11" s="2"/>
      <c r="GNO11" s="2"/>
      <c r="GNP11" s="2"/>
      <c r="GNQ11" s="2"/>
      <c r="GNR11" s="2"/>
      <c r="GNS11" s="2"/>
      <c r="GNT11" s="2"/>
      <c r="GNU11" s="2"/>
      <c r="GNV11" s="2"/>
      <c r="GNW11" s="2"/>
      <c r="GNX11" s="2"/>
      <c r="GNY11" s="2"/>
      <c r="GNZ11" s="2"/>
      <c r="GOA11" s="2"/>
      <c r="GOB11" s="2"/>
      <c r="GOC11" s="2"/>
      <c r="GOD11" s="2"/>
      <c r="GOE11" s="2"/>
      <c r="GOF11" s="2"/>
      <c r="GOG11" s="2"/>
      <c r="GOH11" s="2"/>
      <c r="GOI11" s="2"/>
      <c r="GOJ11" s="2"/>
      <c r="GOK11" s="2"/>
      <c r="GOL11" s="2"/>
      <c r="GOM11" s="2"/>
      <c r="GON11" s="2"/>
      <c r="GOO11" s="2"/>
      <c r="GOP11" s="2"/>
      <c r="GOQ11" s="2"/>
      <c r="GOR11" s="2"/>
      <c r="GOS11" s="2"/>
      <c r="GOT11" s="2"/>
      <c r="GOU11" s="2"/>
      <c r="GOV11" s="2"/>
      <c r="GOW11" s="2"/>
      <c r="GOX11" s="2"/>
      <c r="GOY11" s="2"/>
      <c r="GOZ11" s="2"/>
      <c r="GPA11" s="2"/>
      <c r="GPB11" s="2"/>
      <c r="GPC11" s="2"/>
      <c r="GPD11" s="2"/>
      <c r="GPE11" s="2"/>
      <c r="GPF11" s="2"/>
      <c r="GPG11" s="2"/>
      <c r="GPH11" s="2"/>
      <c r="GPI11" s="2"/>
      <c r="GPJ11" s="2"/>
      <c r="GPK11" s="2"/>
      <c r="GPL11" s="2"/>
      <c r="GPM11" s="2"/>
      <c r="GPN11" s="2"/>
      <c r="GPO11" s="2"/>
      <c r="GPP11" s="2"/>
      <c r="GPQ11" s="2"/>
      <c r="GPR11" s="2"/>
      <c r="GPS11" s="2"/>
      <c r="GPT11" s="2"/>
      <c r="GPU11" s="2"/>
      <c r="GPV11" s="2"/>
      <c r="GPW11" s="2"/>
      <c r="GPX11" s="2"/>
      <c r="GPY11" s="2"/>
      <c r="GPZ11" s="2"/>
      <c r="GQA11" s="2"/>
      <c r="GQB11" s="2"/>
      <c r="GQC11" s="2"/>
      <c r="GQD11" s="2"/>
      <c r="GQE11" s="2"/>
      <c r="GQF11" s="2"/>
      <c r="GQG11" s="2"/>
      <c r="GQH11" s="2"/>
      <c r="GQI11" s="2"/>
      <c r="GQJ11" s="2"/>
      <c r="GQK11" s="2"/>
      <c r="GQL11" s="2"/>
      <c r="GQM11" s="2"/>
      <c r="GQN11" s="2"/>
      <c r="GQO11" s="2"/>
      <c r="GQP11" s="2"/>
      <c r="GQQ11" s="2"/>
      <c r="GQR11" s="2"/>
      <c r="GQS11" s="2"/>
      <c r="GQT11" s="2"/>
      <c r="GQU11" s="2"/>
      <c r="GQV11" s="2"/>
      <c r="GQW11" s="2"/>
      <c r="GQX11" s="2"/>
      <c r="GQY11" s="2"/>
      <c r="GQZ11" s="2"/>
      <c r="GRA11" s="2"/>
      <c r="GRB11" s="2"/>
      <c r="GRC11" s="2"/>
      <c r="GRD11" s="2"/>
      <c r="GRE11" s="2"/>
      <c r="GRF11" s="2"/>
      <c r="GRG11" s="2"/>
      <c r="GRH11" s="2"/>
      <c r="GRI11" s="2"/>
      <c r="GRJ11" s="2"/>
      <c r="GRK11" s="2"/>
      <c r="GRL11" s="2"/>
      <c r="GRM11" s="2"/>
      <c r="GRN11" s="2"/>
      <c r="GRO11" s="2"/>
      <c r="GRP11" s="2"/>
      <c r="GRQ11" s="2"/>
      <c r="GRR11" s="2"/>
      <c r="GRS11" s="2"/>
      <c r="GRT11" s="2"/>
      <c r="GRU11" s="2"/>
      <c r="GRV11" s="2"/>
      <c r="GRW11" s="2"/>
      <c r="GRX11" s="2"/>
      <c r="GRY11" s="2"/>
      <c r="GRZ11" s="2"/>
      <c r="GSA11" s="2"/>
      <c r="GSB11" s="2"/>
      <c r="GSC11" s="2"/>
      <c r="GSD11" s="2"/>
      <c r="GSE11" s="2"/>
      <c r="GSF11" s="2"/>
      <c r="GSG11" s="2"/>
      <c r="GSH11" s="2"/>
      <c r="GSI11" s="2"/>
      <c r="GSJ11" s="2"/>
      <c r="GSK11" s="2"/>
      <c r="GSL11" s="2"/>
      <c r="GSM11" s="2"/>
      <c r="GSN11" s="2"/>
      <c r="GSO11" s="2"/>
      <c r="GSP11" s="2"/>
      <c r="GSQ11" s="2"/>
      <c r="GSR11" s="2"/>
      <c r="GSS11" s="2"/>
      <c r="GST11" s="2"/>
      <c r="GSU11" s="2"/>
      <c r="GSV11" s="2"/>
      <c r="GSW11" s="2"/>
      <c r="GSX11" s="2"/>
      <c r="GSY11" s="2"/>
      <c r="GSZ11" s="2"/>
      <c r="GTA11" s="2"/>
      <c r="GTB11" s="2"/>
      <c r="GTC11" s="2"/>
      <c r="GTD11" s="2"/>
      <c r="GTE11" s="2"/>
      <c r="GTF11" s="2"/>
      <c r="GTG11" s="2"/>
      <c r="GTH11" s="2"/>
      <c r="GTI11" s="2"/>
      <c r="GTJ11" s="2"/>
      <c r="GTK11" s="2"/>
      <c r="GTL11" s="2"/>
      <c r="GTM11" s="2"/>
      <c r="GTN11" s="2"/>
      <c r="GTO11" s="2"/>
      <c r="GTP11" s="2"/>
      <c r="GTQ11" s="2"/>
      <c r="GTR11" s="2"/>
      <c r="GTS11" s="2"/>
      <c r="GTT11" s="2"/>
      <c r="GTU11" s="2"/>
      <c r="GTV11" s="2"/>
      <c r="GTW11" s="2"/>
      <c r="GTX11" s="2"/>
      <c r="GTY11" s="2"/>
      <c r="GTZ11" s="2"/>
      <c r="GUA11" s="2"/>
      <c r="GUB11" s="2"/>
      <c r="GUC11" s="2"/>
      <c r="GUD11" s="2"/>
      <c r="GUE11" s="2"/>
      <c r="GUF11" s="2"/>
      <c r="GUG11" s="2"/>
      <c r="GUH11" s="2"/>
      <c r="GUI11" s="2"/>
      <c r="GUJ11" s="2"/>
      <c r="GUK11" s="2"/>
      <c r="GUL11" s="2"/>
      <c r="GUM11" s="2"/>
      <c r="GUN11" s="2"/>
      <c r="GUO11" s="2"/>
      <c r="GUP11" s="2"/>
      <c r="GUQ11" s="2"/>
      <c r="GUR11" s="2"/>
      <c r="GUS11" s="2"/>
      <c r="GUT11" s="2"/>
      <c r="GUU11" s="2"/>
      <c r="GUV11" s="2"/>
      <c r="GUW11" s="2"/>
      <c r="GUX11" s="2"/>
      <c r="GUY11" s="2"/>
      <c r="GUZ11" s="2"/>
      <c r="GVA11" s="2"/>
      <c r="GVB11" s="2"/>
      <c r="GVC11" s="2"/>
      <c r="GVD11" s="2"/>
      <c r="GVE11" s="2"/>
      <c r="GVF11" s="2"/>
      <c r="GVG11" s="2"/>
      <c r="GVH11" s="2"/>
      <c r="GVI11" s="2"/>
      <c r="GVJ11" s="2"/>
      <c r="GVK11" s="2"/>
      <c r="GVL11" s="2"/>
      <c r="GVM11" s="2"/>
      <c r="GVN11" s="2"/>
      <c r="GVO11" s="2"/>
      <c r="GVP11" s="2"/>
      <c r="GVQ11" s="2"/>
      <c r="GVR11" s="2"/>
      <c r="GVS11" s="2"/>
      <c r="GVT11" s="2"/>
      <c r="GVU11" s="2"/>
      <c r="GVV11" s="2"/>
      <c r="GVW11" s="2"/>
      <c r="GVX11" s="2"/>
      <c r="GVY11" s="2"/>
      <c r="GVZ11" s="2"/>
      <c r="GWA11" s="2"/>
      <c r="GWB11" s="2"/>
      <c r="GWC11" s="2"/>
      <c r="GWD11" s="2"/>
      <c r="GWE11" s="2"/>
      <c r="GWF11" s="2"/>
      <c r="GWG11" s="2"/>
      <c r="GWH11" s="2"/>
      <c r="GWI11" s="2"/>
      <c r="GWJ11" s="2"/>
      <c r="GWK11" s="2"/>
      <c r="GWL11" s="2"/>
      <c r="GWM11" s="2"/>
      <c r="GWN11" s="2"/>
      <c r="GWO11" s="2"/>
      <c r="GWP11" s="2"/>
      <c r="GWQ11" s="2"/>
      <c r="GWR11" s="2"/>
      <c r="GWS11" s="2"/>
      <c r="GWT11" s="2"/>
      <c r="GWU11" s="2"/>
      <c r="GWV11" s="2"/>
      <c r="GWW11" s="2"/>
      <c r="GWX11" s="2"/>
      <c r="GWY11" s="2"/>
      <c r="GWZ11" s="2"/>
      <c r="GXA11" s="2"/>
      <c r="GXB11" s="2"/>
      <c r="GXC11" s="2"/>
      <c r="GXD11" s="2"/>
      <c r="GXE11" s="2"/>
      <c r="GXF11" s="2"/>
      <c r="GXG11" s="2"/>
      <c r="GXH11" s="2"/>
      <c r="GXI11" s="2"/>
      <c r="GXJ11" s="2"/>
      <c r="GXK11" s="2"/>
      <c r="GXL11" s="2"/>
      <c r="GXM11" s="2"/>
      <c r="GXN11" s="2"/>
      <c r="GXO11" s="2"/>
      <c r="GXP11" s="2"/>
      <c r="GXQ11" s="2"/>
      <c r="GXR11" s="2"/>
      <c r="GXS11" s="2"/>
      <c r="GXT11" s="2"/>
      <c r="GXU11" s="2"/>
      <c r="GXV11" s="2"/>
      <c r="GXW11" s="2"/>
      <c r="GXX11" s="2"/>
      <c r="GXY11" s="2"/>
      <c r="GXZ11" s="2"/>
      <c r="GYA11" s="2"/>
      <c r="GYB11" s="2"/>
      <c r="GYC11" s="2"/>
      <c r="GYD11" s="2"/>
      <c r="GYE11" s="2"/>
      <c r="GYF11" s="2"/>
      <c r="GYG11" s="2"/>
      <c r="GYH11" s="2"/>
      <c r="GYI11" s="2"/>
      <c r="GYJ11" s="2"/>
      <c r="GYK11" s="2"/>
      <c r="GYL11" s="2"/>
      <c r="GYM11" s="2"/>
      <c r="GYN11" s="2"/>
      <c r="GYO11" s="2"/>
      <c r="GYP11" s="2"/>
      <c r="GYQ11" s="2"/>
      <c r="GYR11" s="2"/>
      <c r="GYS11" s="2"/>
      <c r="GYT11" s="2"/>
      <c r="GYU11" s="2"/>
      <c r="GYV11" s="2"/>
      <c r="GYW11" s="2"/>
      <c r="GYX11" s="2"/>
      <c r="GYY11" s="2"/>
      <c r="GYZ11" s="2"/>
      <c r="GZA11" s="2"/>
      <c r="GZB11" s="2"/>
      <c r="GZC11" s="2"/>
      <c r="GZD11" s="2"/>
      <c r="GZE11" s="2"/>
      <c r="GZF11" s="2"/>
      <c r="GZG11" s="2"/>
      <c r="GZH11" s="2"/>
      <c r="GZI11" s="2"/>
      <c r="GZJ11" s="2"/>
      <c r="GZK11" s="2"/>
      <c r="GZL11" s="2"/>
      <c r="GZM11" s="2"/>
      <c r="GZN11" s="2"/>
      <c r="GZO11" s="2"/>
      <c r="GZP11" s="2"/>
      <c r="GZQ11" s="2"/>
      <c r="GZR11" s="2"/>
      <c r="GZS11" s="2"/>
      <c r="GZT11" s="2"/>
      <c r="GZU11" s="2"/>
      <c r="GZV11" s="2"/>
      <c r="GZW11" s="2"/>
      <c r="GZX11" s="2"/>
      <c r="GZY11" s="2"/>
      <c r="GZZ11" s="2"/>
      <c r="HAA11" s="2"/>
      <c r="HAB11" s="2"/>
      <c r="HAC11" s="2"/>
      <c r="HAD11" s="2"/>
      <c r="HAE11" s="2"/>
      <c r="HAF11" s="2"/>
      <c r="HAG11" s="2"/>
      <c r="HAH11" s="2"/>
      <c r="HAI11" s="2"/>
      <c r="HAJ11" s="2"/>
      <c r="HAK11" s="2"/>
      <c r="HAL11" s="2"/>
      <c r="HAM11" s="2"/>
      <c r="HAN11" s="2"/>
      <c r="HAO11" s="2"/>
      <c r="HAP11" s="2"/>
      <c r="HAQ11" s="2"/>
      <c r="HAR11" s="2"/>
      <c r="HAS11" s="2"/>
      <c r="HAT11" s="2"/>
      <c r="HAU11" s="2"/>
      <c r="HAV11" s="2"/>
      <c r="HAW11" s="2"/>
      <c r="HAX11" s="2"/>
      <c r="HAY11" s="2"/>
      <c r="HAZ11" s="2"/>
      <c r="HBA11" s="2"/>
      <c r="HBB11" s="2"/>
      <c r="HBC11" s="2"/>
      <c r="HBD11" s="2"/>
      <c r="HBE11" s="2"/>
      <c r="HBF11" s="2"/>
      <c r="HBG11" s="2"/>
      <c r="HBH11" s="2"/>
      <c r="HBI11" s="2"/>
      <c r="HBJ11" s="2"/>
      <c r="HBK11" s="2"/>
      <c r="HBL11" s="2"/>
      <c r="HBM11" s="2"/>
      <c r="HBN11" s="2"/>
      <c r="HBO11" s="2"/>
      <c r="HBP11" s="2"/>
      <c r="HBQ11" s="2"/>
      <c r="HBR11" s="2"/>
      <c r="HBS11" s="2"/>
      <c r="HBT11" s="2"/>
      <c r="HBU11" s="2"/>
      <c r="HBV11" s="2"/>
      <c r="HBW11" s="2"/>
      <c r="HBX11" s="2"/>
      <c r="HBY11" s="2"/>
      <c r="HBZ11" s="2"/>
      <c r="HCA11" s="2"/>
      <c r="HCB11" s="2"/>
      <c r="HCC11" s="2"/>
      <c r="HCD11" s="2"/>
      <c r="HCE11" s="2"/>
      <c r="HCF11" s="2"/>
      <c r="HCG11" s="2"/>
      <c r="HCH11" s="2"/>
      <c r="HCI11" s="2"/>
      <c r="HCJ11" s="2"/>
      <c r="HCK11" s="2"/>
      <c r="HCL11" s="2"/>
      <c r="HCM11" s="2"/>
      <c r="HCN11" s="2"/>
      <c r="HCO11" s="2"/>
      <c r="HCP11" s="2"/>
      <c r="HCQ11" s="2"/>
      <c r="HCR11" s="2"/>
      <c r="HCS11" s="2"/>
      <c r="HCT11" s="2"/>
      <c r="HCU11" s="2"/>
      <c r="HCV11" s="2"/>
      <c r="HCW11" s="2"/>
      <c r="HCX11" s="2"/>
      <c r="HCY11" s="2"/>
      <c r="HCZ11" s="2"/>
      <c r="HDA11" s="2"/>
      <c r="HDB11" s="2"/>
      <c r="HDC11" s="2"/>
      <c r="HDD11" s="2"/>
      <c r="HDE11" s="2"/>
      <c r="HDF11" s="2"/>
      <c r="HDG11" s="2"/>
      <c r="HDH11" s="2"/>
      <c r="HDI11" s="2"/>
      <c r="HDJ11" s="2"/>
      <c r="HDK11" s="2"/>
      <c r="HDL11" s="2"/>
      <c r="HDM11" s="2"/>
      <c r="HDN11" s="2"/>
      <c r="HDO11" s="2"/>
      <c r="HDP11" s="2"/>
      <c r="HDQ11" s="2"/>
      <c r="HDR11" s="2"/>
      <c r="HDS11" s="2"/>
      <c r="HDT11" s="2"/>
      <c r="HDU11" s="2"/>
      <c r="HDV11" s="2"/>
      <c r="HDW11" s="2"/>
      <c r="HDX11" s="2"/>
      <c r="HDY11" s="2"/>
      <c r="HDZ11" s="2"/>
      <c r="HEA11" s="2"/>
      <c r="HEB11" s="2"/>
      <c r="HEC11" s="2"/>
      <c r="HED11" s="2"/>
      <c r="HEE11" s="2"/>
      <c r="HEF11" s="2"/>
      <c r="HEG11" s="2"/>
      <c r="HEH11" s="2"/>
      <c r="HEI11" s="2"/>
      <c r="HEJ11" s="2"/>
      <c r="HEK11" s="2"/>
      <c r="HEL11" s="2"/>
      <c r="HEM11" s="2"/>
      <c r="HEN11" s="2"/>
      <c r="HEO11" s="2"/>
      <c r="HEP11" s="2"/>
      <c r="HEQ11" s="2"/>
      <c r="HER11" s="2"/>
      <c r="HES11" s="2"/>
      <c r="HET11" s="2"/>
      <c r="HEU11" s="2"/>
      <c r="HEV11" s="2"/>
      <c r="HEW11" s="2"/>
      <c r="HEX11" s="2"/>
      <c r="HEY11" s="2"/>
      <c r="HEZ11" s="2"/>
      <c r="HFA11" s="2"/>
      <c r="HFB11" s="2"/>
      <c r="HFC11" s="2"/>
      <c r="HFD11" s="2"/>
      <c r="HFE11" s="2"/>
      <c r="HFF11" s="2"/>
      <c r="HFG11" s="2"/>
      <c r="HFH11" s="2"/>
      <c r="HFI11" s="2"/>
      <c r="HFJ11" s="2"/>
      <c r="HFK11" s="2"/>
      <c r="HFL11" s="2"/>
      <c r="HFM11" s="2"/>
      <c r="HFN11" s="2"/>
      <c r="HFO11" s="2"/>
      <c r="HFP11" s="2"/>
      <c r="HFQ11" s="2"/>
      <c r="HFR11" s="2"/>
      <c r="HFS11" s="2"/>
      <c r="HFT11" s="2"/>
      <c r="HFU11" s="2"/>
      <c r="HFV11" s="2"/>
      <c r="HFW11" s="2"/>
      <c r="HFX11" s="2"/>
      <c r="HFY11" s="2"/>
      <c r="HFZ11" s="2"/>
      <c r="HGA11" s="2"/>
      <c r="HGB11" s="2"/>
      <c r="HGC11" s="2"/>
      <c r="HGD11" s="2"/>
      <c r="HGE11" s="2"/>
      <c r="HGF11" s="2"/>
      <c r="HGG11" s="2"/>
      <c r="HGH11" s="2"/>
      <c r="HGI11" s="2"/>
      <c r="HGJ11" s="2"/>
      <c r="HGK11" s="2"/>
      <c r="HGL11" s="2"/>
      <c r="HGM11" s="2"/>
      <c r="HGN11" s="2"/>
      <c r="HGO11" s="2"/>
      <c r="HGP11" s="2"/>
      <c r="HGQ11" s="2"/>
      <c r="HGR11" s="2"/>
      <c r="HGS11" s="2"/>
      <c r="HGT11" s="2"/>
      <c r="HGU11" s="2"/>
      <c r="HGV11" s="2"/>
      <c r="HGW11" s="2"/>
      <c r="HGX11" s="2"/>
      <c r="HGY11" s="2"/>
      <c r="HGZ11" s="2"/>
      <c r="HHA11" s="2"/>
      <c r="HHB11" s="2"/>
      <c r="HHC11" s="2"/>
      <c r="HHD11" s="2"/>
      <c r="HHE11" s="2"/>
      <c r="HHF11" s="2"/>
      <c r="HHG11" s="2"/>
      <c r="HHH11" s="2"/>
      <c r="HHI11" s="2"/>
      <c r="HHJ11" s="2"/>
      <c r="HHK11" s="2"/>
      <c r="HHL11" s="2"/>
      <c r="HHM11" s="2"/>
      <c r="HHN11" s="2"/>
      <c r="HHO11" s="2"/>
      <c r="HHP11" s="2"/>
      <c r="HHQ11" s="2"/>
      <c r="HHR11" s="2"/>
      <c r="HHS11" s="2"/>
      <c r="HHT11" s="2"/>
      <c r="HHU11" s="2"/>
      <c r="HHV11" s="2"/>
      <c r="HHW11" s="2"/>
      <c r="HHX11" s="2"/>
      <c r="HHY11" s="2"/>
      <c r="HHZ11" s="2"/>
      <c r="HIA11" s="2"/>
      <c r="HIB11" s="2"/>
      <c r="HIC11" s="2"/>
      <c r="HID11" s="2"/>
      <c r="HIE11" s="2"/>
      <c r="HIF11" s="2"/>
      <c r="HIG11" s="2"/>
      <c r="HIH11" s="2"/>
      <c r="HII11" s="2"/>
      <c r="HIJ11" s="2"/>
      <c r="HIK11" s="2"/>
      <c r="HIL11" s="2"/>
      <c r="HIM11" s="2"/>
      <c r="HIN11" s="2"/>
      <c r="HIO11" s="2"/>
      <c r="HIP11" s="2"/>
      <c r="HIQ11" s="2"/>
      <c r="HIR11" s="2"/>
      <c r="HIS11" s="2"/>
      <c r="HIT11" s="2"/>
      <c r="HIU11" s="2"/>
      <c r="HIV11" s="2"/>
      <c r="HIW11" s="2"/>
      <c r="HIX11" s="2"/>
      <c r="HIY11" s="2"/>
      <c r="HIZ11" s="2"/>
      <c r="HJA11" s="2"/>
      <c r="HJB11" s="2"/>
      <c r="HJC11" s="2"/>
      <c r="HJD11" s="2"/>
      <c r="HJE11" s="2"/>
      <c r="HJF11" s="2"/>
      <c r="HJG11" s="2"/>
      <c r="HJH11" s="2"/>
      <c r="HJI11" s="2"/>
      <c r="HJJ11" s="2"/>
      <c r="HJK11" s="2"/>
      <c r="HJL11" s="2"/>
      <c r="HJM11" s="2"/>
      <c r="HJN11" s="2"/>
      <c r="HJO11" s="2"/>
      <c r="HJP11" s="2"/>
      <c r="HJQ11" s="2"/>
      <c r="HJR11" s="2"/>
      <c r="HJS11" s="2"/>
      <c r="HJT11" s="2"/>
      <c r="HJU11" s="2"/>
      <c r="HJV11" s="2"/>
      <c r="HJW11" s="2"/>
      <c r="HJX11" s="2"/>
      <c r="HJY11" s="2"/>
      <c r="HJZ11" s="2"/>
      <c r="HKA11" s="2"/>
      <c r="HKB11" s="2"/>
      <c r="HKC11" s="2"/>
      <c r="HKD11" s="2"/>
      <c r="HKE11" s="2"/>
      <c r="HKF11" s="2"/>
      <c r="HKG11" s="2"/>
      <c r="HKH11" s="2"/>
      <c r="HKI11" s="2"/>
      <c r="HKJ11" s="2"/>
      <c r="HKK11" s="2"/>
      <c r="HKL11" s="2"/>
      <c r="HKM11" s="2"/>
      <c r="HKN11" s="2"/>
      <c r="HKO11" s="2"/>
      <c r="HKP11" s="2"/>
      <c r="HKQ11" s="2"/>
      <c r="HKR11" s="2"/>
      <c r="HKS11" s="2"/>
      <c r="HKT11" s="2"/>
      <c r="HKU11" s="2"/>
      <c r="HKV11" s="2"/>
      <c r="HKW11" s="2"/>
      <c r="HKX11" s="2"/>
      <c r="HKY11" s="2"/>
      <c r="HKZ11" s="2"/>
      <c r="HLA11" s="2"/>
      <c r="HLB11" s="2"/>
      <c r="HLC11" s="2"/>
      <c r="HLD11" s="2"/>
      <c r="HLE11" s="2"/>
      <c r="HLF11" s="2"/>
      <c r="HLG11" s="2"/>
      <c r="HLH11" s="2"/>
      <c r="HLI11" s="2"/>
      <c r="HLJ11" s="2"/>
      <c r="HLK11" s="2"/>
      <c r="HLL11" s="2"/>
      <c r="HLM11" s="2"/>
      <c r="HLN11" s="2"/>
      <c r="HLO11" s="2"/>
      <c r="HLP11" s="2"/>
      <c r="HLQ11" s="2"/>
      <c r="HLR11" s="2"/>
      <c r="HLS11" s="2"/>
      <c r="HLT11" s="2"/>
      <c r="HLU11" s="2"/>
      <c r="HLV11" s="2"/>
      <c r="HLW11" s="2"/>
      <c r="HLX11" s="2"/>
      <c r="HLY11" s="2"/>
      <c r="HLZ11" s="2"/>
      <c r="HMA11" s="2"/>
      <c r="HMB11" s="2"/>
      <c r="HMC11" s="2"/>
      <c r="HMD11" s="2"/>
      <c r="HME11" s="2"/>
      <c r="HMF11" s="2"/>
      <c r="HMG11" s="2"/>
      <c r="HMH11" s="2"/>
      <c r="HMI11" s="2"/>
      <c r="HMJ11" s="2"/>
      <c r="HMK11" s="2"/>
      <c r="HML11" s="2"/>
      <c r="HMM11" s="2"/>
      <c r="HMN11" s="2"/>
      <c r="HMO11" s="2"/>
      <c r="HMP11" s="2"/>
      <c r="HMQ11" s="2"/>
      <c r="HMR11" s="2"/>
      <c r="HMS11" s="2"/>
      <c r="HMT11" s="2"/>
      <c r="HMU11" s="2"/>
      <c r="HMV11" s="2"/>
      <c r="HMW11" s="2"/>
      <c r="HMX11" s="2"/>
      <c r="HMY11" s="2"/>
      <c r="HMZ11" s="2"/>
      <c r="HNA11" s="2"/>
      <c r="HNB11" s="2"/>
      <c r="HNC11" s="2"/>
      <c r="HND11" s="2"/>
      <c r="HNE11" s="2"/>
      <c r="HNF11" s="2"/>
      <c r="HNG11" s="2"/>
      <c r="HNH11" s="2"/>
      <c r="HNI11" s="2"/>
      <c r="HNJ11" s="2"/>
      <c r="HNK11" s="2"/>
      <c r="HNL11" s="2"/>
      <c r="HNM11" s="2"/>
      <c r="HNN11" s="2"/>
      <c r="HNO11" s="2"/>
      <c r="HNP11" s="2"/>
      <c r="HNQ11" s="2"/>
      <c r="HNR11" s="2"/>
      <c r="HNS11" s="2"/>
      <c r="HNT11" s="2"/>
      <c r="HNU11" s="2"/>
      <c r="HNV11" s="2"/>
      <c r="HNW11" s="2"/>
      <c r="HNX11" s="2"/>
      <c r="HNY11" s="2"/>
      <c r="HNZ11" s="2"/>
      <c r="HOA11" s="2"/>
      <c r="HOB11" s="2"/>
      <c r="HOC11" s="2"/>
      <c r="HOD11" s="2"/>
      <c r="HOE11" s="2"/>
      <c r="HOF11" s="2"/>
      <c r="HOG11" s="2"/>
      <c r="HOH11" s="2"/>
      <c r="HOI11" s="2"/>
      <c r="HOJ11" s="2"/>
      <c r="HOK11" s="2"/>
      <c r="HOL11" s="2"/>
      <c r="HOM11" s="2"/>
      <c r="HON11" s="2"/>
      <c r="HOO11" s="2"/>
      <c r="HOP11" s="2"/>
      <c r="HOQ11" s="2"/>
      <c r="HOR11" s="2"/>
      <c r="HOS11" s="2"/>
      <c r="HOT11" s="2"/>
      <c r="HOU11" s="2"/>
      <c r="HOV11" s="2"/>
      <c r="HOW11" s="2"/>
      <c r="HOX11" s="2"/>
      <c r="HOY11" s="2"/>
      <c r="HOZ11" s="2"/>
      <c r="HPA11" s="2"/>
      <c r="HPB11" s="2"/>
      <c r="HPC11" s="2"/>
      <c r="HPD11" s="2"/>
      <c r="HPE11" s="2"/>
      <c r="HPF11" s="2"/>
      <c r="HPG11" s="2"/>
      <c r="HPH11" s="2"/>
      <c r="HPI11" s="2"/>
      <c r="HPJ11" s="2"/>
      <c r="HPK11" s="2"/>
      <c r="HPL11" s="2"/>
      <c r="HPM11" s="2"/>
      <c r="HPN11" s="2"/>
      <c r="HPO11" s="2"/>
      <c r="HPP11" s="2"/>
      <c r="HPQ11" s="2"/>
      <c r="HPR11" s="2"/>
      <c r="HPS11" s="2"/>
      <c r="HPT11" s="2"/>
      <c r="HPU11" s="2"/>
      <c r="HPV11" s="2"/>
      <c r="HPW11" s="2"/>
      <c r="HPX11" s="2"/>
      <c r="HPY11" s="2"/>
      <c r="HPZ11" s="2"/>
      <c r="HQA11" s="2"/>
      <c r="HQB11" s="2"/>
      <c r="HQC11" s="2"/>
      <c r="HQD11" s="2"/>
      <c r="HQE11" s="2"/>
      <c r="HQF11" s="2"/>
      <c r="HQG11" s="2"/>
      <c r="HQH11" s="2"/>
      <c r="HQI11" s="2"/>
      <c r="HQJ11" s="2"/>
      <c r="HQK11" s="2"/>
      <c r="HQL11" s="2"/>
      <c r="HQM11" s="2"/>
      <c r="HQN11" s="2"/>
      <c r="HQO11" s="2"/>
      <c r="HQP11" s="2"/>
      <c r="HQQ11" s="2"/>
      <c r="HQR11" s="2"/>
      <c r="HQS11" s="2"/>
      <c r="HQT11" s="2"/>
      <c r="HQU11" s="2"/>
      <c r="HQV11" s="2"/>
      <c r="HQW11" s="2"/>
      <c r="HQX11" s="2"/>
      <c r="HQY11" s="2"/>
      <c r="HQZ11" s="2"/>
      <c r="HRA11" s="2"/>
      <c r="HRB11" s="2"/>
      <c r="HRC11" s="2"/>
      <c r="HRD11" s="2"/>
      <c r="HRE11" s="2"/>
      <c r="HRF11" s="2"/>
      <c r="HRG11" s="2"/>
      <c r="HRH11" s="2"/>
      <c r="HRI11" s="2"/>
      <c r="HRJ11" s="2"/>
      <c r="HRK11" s="2"/>
      <c r="HRL11" s="2"/>
      <c r="HRM11" s="2"/>
      <c r="HRN11" s="2"/>
      <c r="HRO11" s="2"/>
      <c r="HRP11" s="2"/>
      <c r="HRQ11" s="2"/>
      <c r="HRR11" s="2"/>
      <c r="HRS11" s="2"/>
      <c r="HRT11" s="2"/>
      <c r="HRU11" s="2"/>
      <c r="HRV11" s="2"/>
      <c r="HRW11" s="2"/>
      <c r="HRX11" s="2"/>
      <c r="HRY11" s="2"/>
      <c r="HRZ11" s="2"/>
      <c r="HSA11" s="2"/>
      <c r="HSB11" s="2"/>
      <c r="HSC11" s="2"/>
      <c r="HSD11" s="2"/>
      <c r="HSE11" s="2"/>
      <c r="HSF11" s="2"/>
      <c r="HSG11" s="2"/>
      <c r="HSH11" s="2"/>
      <c r="HSI11" s="2"/>
      <c r="HSJ11" s="2"/>
      <c r="HSK11" s="2"/>
      <c r="HSL11" s="2"/>
      <c r="HSM11" s="2"/>
      <c r="HSN11" s="2"/>
      <c r="HSO11" s="2"/>
      <c r="HSP11" s="2"/>
      <c r="HSQ11" s="2"/>
      <c r="HSR11" s="2"/>
      <c r="HSS11" s="2"/>
      <c r="HST11" s="2"/>
      <c r="HSU11" s="2"/>
      <c r="HSV11" s="2"/>
      <c r="HSW11" s="2"/>
      <c r="HSX11" s="2"/>
      <c r="HSY11" s="2"/>
      <c r="HSZ11" s="2"/>
      <c r="HTA11" s="2"/>
      <c r="HTB11" s="2"/>
      <c r="HTC11" s="2"/>
      <c r="HTD11" s="2"/>
      <c r="HTE11" s="2"/>
      <c r="HTF11" s="2"/>
      <c r="HTG11" s="2"/>
      <c r="HTH11" s="2"/>
      <c r="HTI11" s="2"/>
      <c r="HTJ11" s="2"/>
      <c r="HTK11" s="2"/>
      <c r="HTL11" s="2"/>
      <c r="HTM11" s="2"/>
      <c r="HTN11" s="2"/>
      <c r="HTO11" s="2"/>
      <c r="HTP11" s="2"/>
      <c r="HTQ11" s="2"/>
      <c r="HTR11" s="2"/>
      <c r="HTS11" s="2"/>
      <c r="HTT11" s="2"/>
      <c r="HTU11" s="2"/>
      <c r="HTV11" s="2"/>
      <c r="HTW11" s="2"/>
      <c r="HTX11" s="2"/>
      <c r="HTY11" s="2"/>
      <c r="HTZ11" s="2"/>
      <c r="HUA11" s="2"/>
      <c r="HUB11" s="2"/>
      <c r="HUC11" s="2"/>
      <c r="HUD11" s="2"/>
      <c r="HUE11" s="2"/>
      <c r="HUF11" s="2"/>
      <c r="HUG11" s="2"/>
      <c r="HUH11" s="2"/>
      <c r="HUI11" s="2"/>
      <c r="HUJ11" s="2"/>
      <c r="HUK11" s="2"/>
      <c r="HUL11" s="2"/>
      <c r="HUM11" s="2"/>
      <c r="HUN11" s="2"/>
      <c r="HUO11" s="2"/>
      <c r="HUP11" s="2"/>
      <c r="HUQ11" s="2"/>
      <c r="HUR11" s="2"/>
      <c r="HUS11" s="2"/>
      <c r="HUT11" s="2"/>
      <c r="HUU11" s="2"/>
      <c r="HUV11" s="2"/>
      <c r="HUW11" s="2"/>
      <c r="HUX11" s="2"/>
      <c r="HUY11" s="2"/>
      <c r="HUZ11" s="2"/>
      <c r="HVA11" s="2"/>
      <c r="HVB11" s="2"/>
      <c r="HVC11" s="2"/>
      <c r="HVD11" s="2"/>
      <c r="HVE11" s="2"/>
      <c r="HVF11" s="2"/>
      <c r="HVG11" s="2"/>
      <c r="HVH11" s="2"/>
      <c r="HVI11" s="2"/>
      <c r="HVJ11" s="2"/>
      <c r="HVK11" s="2"/>
      <c r="HVL11" s="2"/>
      <c r="HVM11" s="2"/>
      <c r="HVN11" s="2"/>
      <c r="HVO11" s="2"/>
      <c r="HVP11" s="2"/>
      <c r="HVQ11" s="2"/>
      <c r="HVR11" s="2"/>
      <c r="HVS11" s="2"/>
      <c r="HVT11" s="2"/>
      <c r="HVU11" s="2"/>
      <c r="HVV11" s="2"/>
      <c r="HVW11" s="2"/>
      <c r="HVX11" s="2"/>
      <c r="HVY11" s="2"/>
      <c r="HVZ11" s="2"/>
      <c r="HWA11" s="2"/>
      <c r="HWB11" s="2"/>
      <c r="HWC11" s="2"/>
      <c r="HWD11" s="2"/>
      <c r="HWE11" s="2"/>
      <c r="HWF11" s="2"/>
      <c r="HWG11" s="2"/>
      <c r="HWH11" s="2"/>
      <c r="HWI11" s="2"/>
      <c r="HWJ11" s="2"/>
      <c r="HWK11" s="2"/>
      <c r="HWL11" s="2"/>
      <c r="HWM11" s="2"/>
      <c r="HWN11" s="2"/>
      <c r="HWO11" s="2"/>
      <c r="HWP11" s="2"/>
      <c r="HWQ11" s="2"/>
      <c r="HWR11" s="2"/>
      <c r="HWS11" s="2"/>
      <c r="HWT11" s="2"/>
      <c r="HWU11" s="2"/>
      <c r="HWV11" s="2"/>
      <c r="HWW11" s="2"/>
      <c r="HWX11" s="2"/>
      <c r="HWY11" s="2"/>
      <c r="HWZ11" s="2"/>
      <c r="HXA11" s="2"/>
      <c r="HXB11" s="2"/>
      <c r="HXC11" s="2"/>
      <c r="HXD11" s="2"/>
      <c r="HXE11" s="2"/>
      <c r="HXF11" s="2"/>
      <c r="HXG11" s="2"/>
      <c r="HXH11" s="2"/>
      <c r="HXI11" s="2"/>
      <c r="HXJ11" s="2"/>
      <c r="HXK11" s="2"/>
      <c r="HXL11" s="2"/>
      <c r="HXM11" s="2"/>
      <c r="HXN11" s="2"/>
      <c r="HXO11" s="2"/>
      <c r="HXP11" s="2"/>
      <c r="HXQ11" s="2"/>
      <c r="HXR11" s="2"/>
      <c r="HXS11" s="2"/>
      <c r="HXT11" s="2"/>
      <c r="HXU11" s="2"/>
      <c r="HXV11" s="2"/>
      <c r="HXW11" s="2"/>
      <c r="HXX11" s="2"/>
      <c r="HXY11" s="2"/>
      <c r="HXZ11" s="2"/>
      <c r="HYA11" s="2"/>
      <c r="HYB11" s="2"/>
      <c r="HYC11" s="2"/>
      <c r="HYD11" s="2"/>
      <c r="HYE11" s="2"/>
      <c r="HYF11" s="2"/>
      <c r="HYG11" s="2"/>
      <c r="HYH11" s="2"/>
      <c r="HYI11" s="2"/>
      <c r="HYJ11" s="2"/>
      <c r="HYK11" s="2"/>
      <c r="HYL11" s="2"/>
      <c r="HYM11" s="2"/>
      <c r="HYN11" s="2"/>
      <c r="HYO11" s="2"/>
      <c r="HYP11" s="2"/>
      <c r="HYQ11" s="2"/>
      <c r="HYR11" s="2"/>
      <c r="HYS11" s="2"/>
      <c r="HYT11" s="2"/>
      <c r="HYU11" s="2"/>
      <c r="HYV11" s="2"/>
      <c r="HYW11" s="2"/>
      <c r="HYX11" s="2"/>
      <c r="HYY11" s="2"/>
      <c r="HYZ11" s="2"/>
      <c r="HZA11" s="2"/>
      <c r="HZB11" s="2"/>
      <c r="HZC11" s="2"/>
      <c r="HZD11" s="2"/>
      <c r="HZE11" s="2"/>
      <c r="HZF11" s="2"/>
      <c r="HZG11" s="2"/>
      <c r="HZH11" s="2"/>
      <c r="HZI11" s="2"/>
      <c r="HZJ11" s="2"/>
      <c r="HZK11" s="2"/>
      <c r="HZL11" s="2"/>
      <c r="HZM11" s="2"/>
      <c r="HZN11" s="2"/>
      <c r="HZO11" s="2"/>
      <c r="HZP11" s="2"/>
      <c r="HZQ11" s="2"/>
      <c r="HZR11" s="2"/>
      <c r="HZS11" s="2"/>
      <c r="HZT11" s="2"/>
      <c r="HZU11" s="2"/>
      <c r="HZV11" s="2"/>
      <c r="HZW11" s="2"/>
      <c r="HZX11" s="2"/>
      <c r="HZY11" s="2"/>
      <c r="HZZ11" s="2"/>
      <c r="IAA11" s="2"/>
      <c r="IAB11" s="2"/>
      <c r="IAC11" s="2"/>
      <c r="IAD11" s="2"/>
      <c r="IAE11" s="2"/>
      <c r="IAF11" s="2"/>
      <c r="IAG11" s="2"/>
      <c r="IAH11" s="2"/>
      <c r="IAI11" s="2"/>
      <c r="IAJ11" s="2"/>
      <c r="IAK11" s="2"/>
      <c r="IAL11" s="2"/>
      <c r="IAM11" s="2"/>
      <c r="IAN11" s="2"/>
      <c r="IAO11" s="2"/>
      <c r="IAP11" s="2"/>
      <c r="IAQ11" s="2"/>
      <c r="IAR11" s="2"/>
      <c r="IAS11" s="2"/>
      <c r="IAT11" s="2"/>
      <c r="IAU11" s="2"/>
      <c r="IAV11" s="2"/>
      <c r="IAW11" s="2"/>
      <c r="IAX11" s="2"/>
      <c r="IAY11" s="2"/>
      <c r="IAZ11" s="2"/>
      <c r="IBA11" s="2"/>
      <c r="IBB11" s="2"/>
      <c r="IBC11" s="2"/>
      <c r="IBD11" s="2"/>
      <c r="IBE11" s="2"/>
      <c r="IBF11" s="2"/>
      <c r="IBG11" s="2"/>
      <c r="IBH11" s="2"/>
      <c r="IBI11" s="2"/>
      <c r="IBJ11" s="2"/>
      <c r="IBK11" s="2"/>
      <c r="IBL11" s="2"/>
      <c r="IBM11" s="2"/>
      <c r="IBN11" s="2"/>
      <c r="IBO11" s="2"/>
      <c r="IBP11" s="2"/>
      <c r="IBQ11" s="2"/>
      <c r="IBR11" s="2"/>
      <c r="IBS11" s="2"/>
      <c r="IBT11" s="2"/>
      <c r="IBU11" s="2"/>
      <c r="IBV11" s="2"/>
      <c r="IBW11" s="2"/>
      <c r="IBX11" s="2"/>
      <c r="IBY11" s="2"/>
      <c r="IBZ11" s="2"/>
      <c r="ICA11" s="2"/>
      <c r="ICB11" s="2"/>
      <c r="ICC11" s="2"/>
      <c r="ICD11" s="2"/>
      <c r="ICE11" s="2"/>
      <c r="ICF11" s="2"/>
      <c r="ICG11" s="2"/>
      <c r="ICH11" s="2"/>
      <c r="ICI11" s="2"/>
      <c r="ICJ11" s="2"/>
      <c r="ICK11" s="2"/>
      <c r="ICL11" s="2"/>
      <c r="ICM11" s="2"/>
      <c r="ICN11" s="2"/>
      <c r="ICO11" s="2"/>
      <c r="ICP11" s="2"/>
      <c r="ICQ11" s="2"/>
      <c r="ICR11" s="2"/>
      <c r="ICS11" s="2"/>
      <c r="ICT11" s="2"/>
      <c r="ICU11" s="2"/>
      <c r="ICV11" s="2"/>
      <c r="ICW11" s="2"/>
      <c r="ICX11" s="2"/>
      <c r="ICY11" s="2"/>
      <c r="ICZ11" s="2"/>
      <c r="IDA11" s="2"/>
      <c r="IDB11" s="2"/>
      <c r="IDC11" s="2"/>
      <c r="IDD11" s="2"/>
      <c r="IDE11" s="2"/>
      <c r="IDF11" s="2"/>
      <c r="IDG11" s="2"/>
      <c r="IDH11" s="2"/>
      <c r="IDI11" s="2"/>
      <c r="IDJ11" s="2"/>
      <c r="IDK11" s="2"/>
      <c r="IDL11" s="2"/>
      <c r="IDM11" s="2"/>
      <c r="IDN11" s="2"/>
      <c r="IDO11" s="2"/>
      <c r="IDP11" s="2"/>
      <c r="IDQ11" s="2"/>
      <c r="IDR11" s="2"/>
      <c r="IDS11" s="2"/>
      <c r="IDT11" s="2"/>
      <c r="IDU11" s="2"/>
      <c r="IDV11" s="2"/>
      <c r="IDW11" s="2"/>
      <c r="IDX11" s="2"/>
      <c r="IDY11" s="2"/>
      <c r="IDZ11" s="2"/>
      <c r="IEA11" s="2"/>
      <c r="IEB11" s="2"/>
      <c r="IEC11" s="2"/>
      <c r="IED11" s="2"/>
      <c r="IEE11" s="2"/>
      <c r="IEF11" s="2"/>
      <c r="IEG11" s="2"/>
      <c r="IEH11" s="2"/>
      <c r="IEI11" s="2"/>
      <c r="IEJ11" s="2"/>
      <c r="IEK11" s="2"/>
      <c r="IEL11" s="2"/>
      <c r="IEM11" s="2"/>
      <c r="IEN11" s="2"/>
      <c r="IEO11" s="2"/>
      <c r="IEP11" s="2"/>
      <c r="IEQ11" s="2"/>
      <c r="IER11" s="2"/>
      <c r="IES11" s="2"/>
      <c r="IET11" s="2"/>
      <c r="IEU11" s="2"/>
      <c r="IEV11" s="2"/>
      <c r="IEW11" s="2"/>
      <c r="IEX11" s="2"/>
      <c r="IEY11" s="2"/>
      <c r="IEZ11" s="2"/>
      <c r="IFA11" s="2"/>
      <c r="IFB11" s="2"/>
      <c r="IFC11" s="2"/>
      <c r="IFD11" s="2"/>
      <c r="IFE11" s="2"/>
      <c r="IFF11" s="2"/>
      <c r="IFG11" s="2"/>
      <c r="IFH11" s="2"/>
      <c r="IFI11" s="2"/>
      <c r="IFJ11" s="2"/>
      <c r="IFK11" s="2"/>
      <c r="IFL11" s="2"/>
      <c r="IFM11" s="2"/>
      <c r="IFN11" s="2"/>
      <c r="IFO11" s="2"/>
      <c r="IFP11" s="2"/>
      <c r="IFQ11" s="2"/>
      <c r="IFR11" s="2"/>
      <c r="IFS11" s="2"/>
      <c r="IFT11" s="2"/>
      <c r="IFU11" s="2"/>
      <c r="IFV11" s="2"/>
      <c r="IFW11" s="2"/>
      <c r="IFX11" s="2"/>
      <c r="IFY11" s="2"/>
      <c r="IFZ11" s="2"/>
      <c r="IGA11" s="2"/>
      <c r="IGB11" s="2"/>
      <c r="IGC11" s="2"/>
      <c r="IGD11" s="2"/>
      <c r="IGE11" s="2"/>
      <c r="IGF11" s="2"/>
      <c r="IGG11" s="2"/>
      <c r="IGH11" s="2"/>
      <c r="IGI11" s="2"/>
      <c r="IGJ11" s="2"/>
      <c r="IGK11" s="2"/>
      <c r="IGL11" s="2"/>
      <c r="IGM11" s="2"/>
      <c r="IGN11" s="2"/>
      <c r="IGO11" s="2"/>
      <c r="IGP11" s="2"/>
      <c r="IGQ11" s="2"/>
      <c r="IGR11" s="2"/>
      <c r="IGS11" s="2"/>
      <c r="IGT11" s="2"/>
      <c r="IGU11" s="2"/>
      <c r="IGV11" s="2"/>
      <c r="IGW11" s="2"/>
      <c r="IGX11" s="2"/>
      <c r="IGY11" s="2"/>
      <c r="IGZ11" s="2"/>
      <c r="IHA11" s="2"/>
      <c r="IHB11" s="2"/>
      <c r="IHC11" s="2"/>
      <c r="IHD11" s="2"/>
      <c r="IHE11" s="2"/>
      <c r="IHF11" s="2"/>
      <c r="IHG11" s="2"/>
      <c r="IHH11" s="2"/>
      <c r="IHI11" s="2"/>
      <c r="IHJ11" s="2"/>
      <c r="IHK11" s="2"/>
      <c r="IHL11" s="2"/>
      <c r="IHM11" s="2"/>
      <c r="IHN11" s="2"/>
      <c r="IHO11" s="2"/>
      <c r="IHP11" s="2"/>
      <c r="IHQ11" s="2"/>
      <c r="IHR11" s="2"/>
      <c r="IHS11" s="2"/>
      <c r="IHT11" s="2"/>
      <c r="IHU11" s="2"/>
      <c r="IHV11" s="2"/>
      <c r="IHW11" s="2"/>
      <c r="IHX11" s="2"/>
      <c r="IHY11" s="2"/>
      <c r="IHZ11" s="2"/>
      <c r="IIA11" s="2"/>
      <c r="IIB11" s="2"/>
      <c r="IIC11" s="2"/>
      <c r="IID11" s="2"/>
      <c r="IIE11" s="2"/>
      <c r="IIF11" s="2"/>
      <c r="IIG11" s="2"/>
      <c r="IIH11" s="2"/>
      <c r="III11" s="2"/>
      <c r="IIJ11" s="2"/>
      <c r="IIK11" s="2"/>
      <c r="IIL11" s="2"/>
      <c r="IIM11" s="2"/>
      <c r="IIN11" s="2"/>
      <c r="IIO11" s="2"/>
      <c r="IIP11" s="2"/>
      <c r="IIQ11" s="2"/>
      <c r="IIR11" s="2"/>
      <c r="IIS11" s="2"/>
      <c r="IIT11" s="2"/>
      <c r="IIU11" s="2"/>
      <c r="IIV11" s="2"/>
      <c r="IIW11" s="2"/>
      <c r="IIX11" s="2"/>
      <c r="IIY11" s="2"/>
      <c r="IIZ11" s="2"/>
      <c r="IJA11" s="2"/>
      <c r="IJB11" s="2"/>
      <c r="IJC11" s="2"/>
      <c r="IJD11" s="2"/>
      <c r="IJE11" s="2"/>
      <c r="IJF11" s="2"/>
      <c r="IJG11" s="2"/>
      <c r="IJH11" s="2"/>
      <c r="IJI11" s="2"/>
      <c r="IJJ11" s="2"/>
      <c r="IJK11" s="2"/>
      <c r="IJL11" s="2"/>
      <c r="IJM11" s="2"/>
      <c r="IJN11" s="2"/>
      <c r="IJO11" s="2"/>
      <c r="IJP11" s="2"/>
      <c r="IJQ11" s="2"/>
      <c r="IJR11" s="2"/>
      <c r="IJS11" s="2"/>
      <c r="IJT11" s="2"/>
      <c r="IJU11" s="2"/>
      <c r="IJV11" s="2"/>
      <c r="IJW11" s="2"/>
      <c r="IJX11" s="2"/>
      <c r="IJY11" s="2"/>
      <c r="IJZ11" s="2"/>
      <c r="IKA11" s="2"/>
      <c r="IKB11" s="2"/>
      <c r="IKC11" s="2"/>
      <c r="IKD11" s="2"/>
      <c r="IKE11" s="2"/>
      <c r="IKF11" s="2"/>
      <c r="IKG11" s="2"/>
      <c r="IKH11" s="2"/>
      <c r="IKI11" s="2"/>
      <c r="IKJ11" s="2"/>
      <c r="IKK11" s="2"/>
      <c r="IKL11" s="2"/>
      <c r="IKM11" s="2"/>
      <c r="IKN11" s="2"/>
      <c r="IKO11" s="2"/>
      <c r="IKP11" s="2"/>
      <c r="IKQ11" s="2"/>
      <c r="IKR11" s="2"/>
      <c r="IKS11" s="2"/>
      <c r="IKT11" s="2"/>
      <c r="IKU11" s="2"/>
      <c r="IKV11" s="2"/>
      <c r="IKW11" s="2"/>
      <c r="IKX11" s="2"/>
      <c r="IKY11" s="2"/>
      <c r="IKZ11" s="2"/>
      <c r="ILA11" s="2"/>
      <c r="ILB11" s="2"/>
      <c r="ILC11" s="2"/>
      <c r="ILD11" s="2"/>
      <c r="ILE11" s="2"/>
      <c r="ILF11" s="2"/>
      <c r="ILG11" s="2"/>
      <c r="ILH11" s="2"/>
      <c r="ILI11" s="2"/>
      <c r="ILJ11" s="2"/>
      <c r="ILK11" s="2"/>
      <c r="ILL11" s="2"/>
      <c r="ILM11" s="2"/>
      <c r="ILN11" s="2"/>
      <c r="ILO11" s="2"/>
      <c r="ILP11" s="2"/>
      <c r="ILQ11" s="2"/>
      <c r="ILR11" s="2"/>
      <c r="ILS11" s="2"/>
      <c r="ILT11" s="2"/>
      <c r="ILU11" s="2"/>
      <c r="ILV11" s="2"/>
      <c r="ILW11" s="2"/>
      <c r="ILX11" s="2"/>
      <c r="ILY11" s="2"/>
      <c r="ILZ11" s="2"/>
      <c r="IMA11" s="2"/>
      <c r="IMB11" s="2"/>
      <c r="IMC11" s="2"/>
      <c r="IMD11" s="2"/>
      <c r="IME11" s="2"/>
      <c r="IMF11" s="2"/>
      <c r="IMG11" s="2"/>
      <c r="IMH11" s="2"/>
      <c r="IMI11" s="2"/>
      <c r="IMJ11" s="2"/>
      <c r="IMK11" s="2"/>
      <c r="IML11" s="2"/>
      <c r="IMM11" s="2"/>
      <c r="IMN11" s="2"/>
      <c r="IMO11" s="2"/>
      <c r="IMP11" s="2"/>
      <c r="IMQ11" s="2"/>
      <c r="IMR11" s="2"/>
      <c r="IMS11" s="2"/>
      <c r="IMT11" s="2"/>
      <c r="IMU11" s="2"/>
      <c r="IMV11" s="2"/>
      <c r="IMW11" s="2"/>
      <c r="IMX11" s="2"/>
      <c r="IMY11" s="2"/>
      <c r="IMZ11" s="2"/>
      <c r="INA11" s="2"/>
      <c r="INB11" s="2"/>
      <c r="INC11" s="2"/>
      <c r="IND11" s="2"/>
      <c r="INE11" s="2"/>
      <c r="INF11" s="2"/>
      <c r="ING11" s="2"/>
      <c r="INH11" s="2"/>
      <c r="INI11" s="2"/>
      <c r="INJ11" s="2"/>
      <c r="INK11" s="2"/>
      <c r="INL11" s="2"/>
      <c r="INM11" s="2"/>
      <c r="INN11" s="2"/>
      <c r="INO11" s="2"/>
      <c r="INP11" s="2"/>
      <c r="INQ11" s="2"/>
      <c r="INR11" s="2"/>
      <c r="INS11" s="2"/>
      <c r="INT11" s="2"/>
      <c r="INU11" s="2"/>
      <c r="INV11" s="2"/>
      <c r="INW11" s="2"/>
      <c r="INX11" s="2"/>
      <c r="INY11" s="2"/>
      <c r="INZ11" s="2"/>
      <c r="IOA11" s="2"/>
      <c r="IOB11" s="2"/>
      <c r="IOC11" s="2"/>
      <c r="IOD11" s="2"/>
      <c r="IOE11" s="2"/>
      <c r="IOF11" s="2"/>
      <c r="IOG11" s="2"/>
      <c r="IOH11" s="2"/>
      <c r="IOI11" s="2"/>
      <c r="IOJ11" s="2"/>
      <c r="IOK11" s="2"/>
      <c r="IOL11" s="2"/>
      <c r="IOM11" s="2"/>
      <c r="ION11" s="2"/>
      <c r="IOO11" s="2"/>
      <c r="IOP11" s="2"/>
      <c r="IOQ11" s="2"/>
      <c r="IOR11" s="2"/>
      <c r="IOS11" s="2"/>
      <c r="IOT11" s="2"/>
      <c r="IOU11" s="2"/>
      <c r="IOV11" s="2"/>
      <c r="IOW11" s="2"/>
      <c r="IOX11" s="2"/>
      <c r="IOY11" s="2"/>
      <c r="IOZ11" s="2"/>
      <c r="IPA11" s="2"/>
      <c r="IPB11" s="2"/>
      <c r="IPC11" s="2"/>
      <c r="IPD11" s="2"/>
      <c r="IPE11" s="2"/>
      <c r="IPF11" s="2"/>
      <c r="IPG11" s="2"/>
      <c r="IPH11" s="2"/>
      <c r="IPI11" s="2"/>
      <c r="IPJ11" s="2"/>
      <c r="IPK11" s="2"/>
      <c r="IPL11" s="2"/>
      <c r="IPM11" s="2"/>
      <c r="IPN11" s="2"/>
      <c r="IPO11" s="2"/>
      <c r="IPP11" s="2"/>
      <c r="IPQ11" s="2"/>
      <c r="IPR11" s="2"/>
      <c r="IPS11" s="2"/>
      <c r="IPT11" s="2"/>
      <c r="IPU11" s="2"/>
      <c r="IPV11" s="2"/>
      <c r="IPW11" s="2"/>
      <c r="IPX11" s="2"/>
      <c r="IPY11" s="2"/>
      <c r="IPZ11" s="2"/>
      <c r="IQA11" s="2"/>
      <c r="IQB11" s="2"/>
      <c r="IQC11" s="2"/>
      <c r="IQD11" s="2"/>
      <c r="IQE11" s="2"/>
      <c r="IQF11" s="2"/>
      <c r="IQG11" s="2"/>
      <c r="IQH11" s="2"/>
      <c r="IQI11" s="2"/>
      <c r="IQJ11" s="2"/>
      <c r="IQK11" s="2"/>
      <c r="IQL11" s="2"/>
      <c r="IQM11" s="2"/>
      <c r="IQN11" s="2"/>
      <c r="IQO11" s="2"/>
      <c r="IQP11" s="2"/>
      <c r="IQQ11" s="2"/>
      <c r="IQR11" s="2"/>
      <c r="IQS11" s="2"/>
      <c r="IQT11" s="2"/>
      <c r="IQU11" s="2"/>
      <c r="IQV11" s="2"/>
      <c r="IQW11" s="2"/>
      <c r="IQX11" s="2"/>
      <c r="IQY11" s="2"/>
      <c r="IQZ11" s="2"/>
      <c r="IRA11" s="2"/>
      <c r="IRB11" s="2"/>
      <c r="IRC11" s="2"/>
      <c r="IRD11" s="2"/>
      <c r="IRE11" s="2"/>
      <c r="IRF11" s="2"/>
      <c r="IRG11" s="2"/>
      <c r="IRH11" s="2"/>
      <c r="IRI11" s="2"/>
      <c r="IRJ11" s="2"/>
      <c r="IRK11" s="2"/>
      <c r="IRL11" s="2"/>
      <c r="IRM11" s="2"/>
      <c r="IRN11" s="2"/>
      <c r="IRO11" s="2"/>
      <c r="IRP11" s="2"/>
      <c r="IRQ11" s="2"/>
      <c r="IRR11" s="2"/>
      <c r="IRS11" s="2"/>
      <c r="IRT11" s="2"/>
      <c r="IRU11" s="2"/>
      <c r="IRV11" s="2"/>
      <c r="IRW11" s="2"/>
      <c r="IRX11" s="2"/>
      <c r="IRY11" s="2"/>
      <c r="IRZ11" s="2"/>
      <c r="ISA11" s="2"/>
      <c r="ISB11" s="2"/>
      <c r="ISC11" s="2"/>
      <c r="ISD11" s="2"/>
      <c r="ISE11" s="2"/>
      <c r="ISF11" s="2"/>
      <c r="ISG11" s="2"/>
      <c r="ISH11" s="2"/>
      <c r="ISI11" s="2"/>
      <c r="ISJ11" s="2"/>
      <c r="ISK11" s="2"/>
      <c r="ISL11" s="2"/>
      <c r="ISM11" s="2"/>
      <c r="ISN11" s="2"/>
      <c r="ISO11" s="2"/>
      <c r="ISP11" s="2"/>
      <c r="ISQ11" s="2"/>
      <c r="ISR11" s="2"/>
      <c r="ISS11" s="2"/>
      <c r="IST11" s="2"/>
      <c r="ISU11" s="2"/>
      <c r="ISV11" s="2"/>
      <c r="ISW11" s="2"/>
      <c r="ISX11" s="2"/>
      <c r="ISY11" s="2"/>
      <c r="ISZ11" s="2"/>
      <c r="ITA11" s="2"/>
      <c r="ITB11" s="2"/>
      <c r="ITC11" s="2"/>
      <c r="ITD11" s="2"/>
      <c r="ITE11" s="2"/>
      <c r="ITF11" s="2"/>
      <c r="ITG11" s="2"/>
      <c r="ITH11" s="2"/>
      <c r="ITI11" s="2"/>
      <c r="ITJ11" s="2"/>
      <c r="ITK11" s="2"/>
      <c r="ITL11" s="2"/>
      <c r="ITM11" s="2"/>
      <c r="ITN11" s="2"/>
      <c r="ITO11" s="2"/>
      <c r="ITP11" s="2"/>
      <c r="ITQ11" s="2"/>
      <c r="ITR11" s="2"/>
      <c r="ITS11" s="2"/>
      <c r="ITT11" s="2"/>
      <c r="ITU11" s="2"/>
      <c r="ITV11" s="2"/>
      <c r="ITW11" s="2"/>
      <c r="ITX11" s="2"/>
      <c r="ITY11" s="2"/>
      <c r="ITZ11" s="2"/>
      <c r="IUA11" s="2"/>
      <c r="IUB11" s="2"/>
      <c r="IUC11" s="2"/>
      <c r="IUD11" s="2"/>
      <c r="IUE11" s="2"/>
      <c r="IUF11" s="2"/>
      <c r="IUG11" s="2"/>
      <c r="IUH11" s="2"/>
      <c r="IUI11" s="2"/>
      <c r="IUJ11" s="2"/>
      <c r="IUK11" s="2"/>
      <c r="IUL11" s="2"/>
      <c r="IUM11" s="2"/>
      <c r="IUN11" s="2"/>
      <c r="IUO11" s="2"/>
      <c r="IUP11" s="2"/>
      <c r="IUQ11" s="2"/>
      <c r="IUR11" s="2"/>
      <c r="IUS11" s="2"/>
      <c r="IUT11" s="2"/>
      <c r="IUU11" s="2"/>
      <c r="IUV11" s="2"/>
      <c r="IUW11" s="2"/>
      <c r="IUX11" s="2"/>
      <c r="IUY11" s="2"/>
      <c r="IUZ11" s="2"/>
      <c r="IVA11" s="2"/>
      <c r="IVB11" s="2"/>
      <c r="IVC11" s="2"/>
      <c r="IVD11" s="2"/>
      <c r="IVE11" s="2"/>
      <c r="IVF11" s="2"/>
      <c r="IVG11" s="2"/>
      <c r="IVH11" s="2"/>
      <c r="IVI11" s="2"/>
      <c r="IVJ11" s="2"/>
      <c r="IVK11" s="2"/>
      <c r="IVL11" s="2"/>
      <c r="IVM11" s="2"/>
      <c r="IVN11" s="2"/>
      <c r="IVO11" s="2"/>
      <c r="IVP11" s="2"/>
      <c r="IVQ11" s="2"/>
      <c r="IVR11" s="2"/>
      <c r="IVS11" s="2"/>
      <c r="IVT11" s="2"/>
      <c r="IVU11" s="2"/>
      <c r="IVV11" s="2"/>
      <c r="IVW11" s="2"/>
      <c r="IVX11" s="2"/>
      <c r="IVY11" s="2"/>
      <c r="IVZ11" s="2"/>
      <c r="IWA11" s="2"/>
      <c r="IWB11" s="2"/>
      <c r="IWC11" s="2"/>
      <c r="IWD11" s="2"/>
      <c r="IWE11" s="2"/>
      <c r="IWF11" s="2"/>
      <c r="IWG11" s="2"/>
      <c r="IWH11" s="2"/>
      <c r="IWI11" s="2"/>
      <c r="IWJ11" s="2"/>
      <c r="IWK11" s="2"/>
      <c r="IWL11" s="2"/>
      <c r="IWM11" s="2"/>
      <c r="IWN11" s="2"/>
      <c r="IWO11" s="2"/>
      <c r="IWP11" s="2"/>
      <c r="IWQ11" s="2"/>
      <c r="IWR11" s="2"/>
      <c r="IWS11" s="2"/>
      <c r="IWT11" s="2"/>
      <c r="IWU11" s="2"/>
      <c r="IWV11" s="2"/>
      <c r="IWW11" s="2"/>
      <c r="IWX11" s="2"/>
      <c r="IWY11" s="2"/>
      <c r="IWZ11" s="2"/>
      <c r="IXA11" s="2"/>
      <c r="IXB11" s="2"/>
      <c r="IXC11" s="2"/>
      <c r="IXD11" s="2"/>
      <c r="IXE11" s="2"/>
      <c r="IXF11" s="2"/>
      <c r="IXG11" s="2"/>
      <c r="IXH11" s="2"/>
      <c r="IXI11" s="2"/>
      <c r="IXJ11" s="2"/>
      <c r="IXK11" s="2"/>
      <c r="IXL11" s="2"/>
      <c r="IXM11" s="2"/>
      <c r="IXN11" s="2"/>
      <c r="IXO11" s="2"/>
      <c r="IXP11" s="2"/>
      <c r="IXQ11" s="2"/>
      <c r="IXR11" s="2"/>
      <c r="IXS11" s="2"/>
      <c r="IXT11" s="2"/>
      <c r="IXU11" s="2"/>
      <c r="IXV11" s="2"/>
      <c r="IXW11" s="2"/>
      <c r="IXX11" s="2"/>
      <c r="IXY11" s="2"/>
      <c r="IXZ11" s="2"/>
      <c r="IYA11" s="2"/>
      <c r="IYB11" s="2"/>
      <c r="IYC11" s="2"/>
      <c r="IYD11" s="2"/>
      <c r="IYE11" s="2"/>
      <c r="IYF11" s="2"/>
      <c r="IYG11" s="2"/>
      <c r="IYH11" s="2"/>
      <c r="IYI11" s="2"/>
      <c r="IYJ11" s="2"/>
      <c r="IYK11" s="2"/>
      <c r="IYL11" s="2"/>
      <c r="IYM11" s="2"/>
      <c r="IYN11" s="2"/>
      <c r="IYO11" s="2"/>
      <c r="IYP11" s="2"/>
      <c r="IYQ11" s="2"/>
      <c r="IYR11" s="2"/>
      <c r="IYS11" s="2"/>
      <c r="IYT11" s="2"/>
      <c r="IYU11" s="2"/>
      <c r="IYV11" s="2"/>
      <c r="IYW11" s="2"/>
      <c r="IYX11" s="2"/>
      <c r="IYY11" s="2"/>
      <c r="IYZ11" s="2"/>
      <c r="IZA11" s="2"/>
      <c r="IZB11" s="2"/>
      <c r="IZC11" s="2"/>
      <c r="IZD11" s="2"/>
      <c r="IZE11" s="2"/>
      <c r="IZF11" s="2"/>
      <c r="IZG11" s="2"/>
      <c r="IZH11" s="2"/>
      <c r="IZI11" s="2"/>
      <c r="IZJ11" s="2"/>
      <c r="IZK11" s="2"/>
      <c r="IZL11" s="2"/>
      <c r="IZM11" s="2"/>
      <c r="IZN11" s="2"/>
      <c r="IZO11" s="2"/>
      <c r="IZP11" s="2"/>
      <c r="IZQ11" s="2"/>
      <c r="IZR11" s="2"/>
      <c r="IZS11" s="2"/>
      <c r="IZT11" s="2"/>
      <c r="IZU11" s="2"/>
      <c r="IZV11" s="2"/>
      <c r="IZW11" s="2"/>
      <c r="IZX11" s="2"/>
      <c r="IZY11" s="2"/>
      <c r="IZZ11" s="2"/>
      <c r="JAA11" s="2"/>
      <c r="JAB11" s="2"/>
      <c r="JAC11" s="2"/>
      <c r="JAD11" s="2"/>
      <c r="JAE11" s="2"/>
      <c r="JAF11" s="2"/>
      <c r="JAG11" s="2"/>
      <c r="JAH11" s="2"/>
      <c r="JAI11" s="2"/>
      <c r="JAJ11" s="2"/>
      <c r="JAK11" s="2"/>
      <c r="JAL11" s="2"/>
      <c r="JAM11" s="2"/>
      <c r="JAN11" s="2"/>
      <c r="JAO11" s="2"/>
      <c r="JAP11" s="2"/>
      <c r="JAQ11" s="2"/>
      <c r="JAR11" s="2"/>
      <c r="JAS11" s="2"/>
      <c r="JAT11" s="2"/>
      <c r="JAU11" s="2"/>
      <c r="JAV11" s="2"/>
      <c r="JAW11" s="2"/>
      <c r="JAX11" s="2"/>
      <c r="JAY11" s="2"/>
      <c r="JAZ11" s="2"/>
      <c r="JBA11" s="2"/>
      <c r="JBB11" s="2"/>
      <c r="JBC11" s="2"/>
      <c r="JBD11" s="2"/>
      <c r="JBE11" s="2"/>
      <c r="JBF11" s="2"/>
      <c r="JBG11" s="2"/>
      <c r="JBH11" s="2"/>
      <c r="JBI11" s="2"/>
      <c r="JBJ11" s="2"/>
      <c r="JBK11" s="2"/>
      <c r="JBL11" s="2"/>
      <c r="JBM11" s="2"/>
      <c r="JBN11" s="2"/>
      <c r="JBO11" s="2"/>
      <c r="JBP11" s="2"/>
      <c r="JBQ11" s="2"/>
      <c r="JBR11" s="2"/>
      <c r="JBS11" s="2"/>
      <c r="JBT11" s="2"/>
      <c r="JBU11" s="2"/>
      <c r="JBV11" s="2"/>
      <c r="JBW11" s="2"/>
      <c r="JBX11" s="2"/>
      <c r="JBY11" s="2"/>
      <c r="JBZ11" s="2"/>
      <c r="JCA11" s="2"/>
      <c r="JCB11" s="2"/>
      <c r="JCC11" s="2"/>
      <c r="JCD11" s="2"/>
      <c r="JCE11" s="2"/>
      <c r="JCF11" s="2"/>
      <c r="JCG11" s="2"/>
      <c r="JCH11" s="2"/>
      <c r="JCI11" s="2"/>
      <c r="JCJ11" s="2"/>
      <c r="JCK11" s="2"/>
      <c r="JCL11" s="2"/>
      <c r="JCM11" s="2"/>
      <c r="JCN11" s="2"/>
      <c r="JCO11" s="2"/>
      <c r="JCP11" s="2"/>
      <c r="JCQ11" s="2"/>
      <c r="JCR11" s="2"/>
      <c r="JCS11" s="2"/>
      <c r="JCT11" s="2"/>
      <c r="JCU11" s="2"/>
      <c r="JCV11" s="2"/>
      <c r="JCW11" s="2"/>
      <c r="JCX11" s="2"/>
      <c r="JCY11" s="2"/>
      <c r="JCZ11" s="2"/>
      <c r="JDA11" s="2"/>
      <c r="JDB11" s="2"/>
      <c r="JDC11" s="2"/>
      <c r="JDD11" s="2"/>
      <c r="JDE11" s="2"/>
      <c r="JDF11" s="2"/>
      <c r="JDG11" s="2"/>
      <c r="JDH11" s="2"/>
      <c r="JDI11" s="2"/>
      <c r="JDJ11" s="2"/>
      <c r="JDK11" s="2"/>
      <c r="JDL11" s="2"/>
      <c r="JDM11" s="2"/>
      <c r="JDN11" s="2"/>
      <c r="JDO11" s="2"/>
      <c r="JDP11" s="2"/>
      <c r="JDQ11" s="2"/>
      <c r="JDR11" s="2"/>
      <c r="JDS11" s="2"/>
      <c r="JDT11" s="2"/>
      <c r="JDU11" s="2"/>
      <c r="JDV11" s="2"/>
      <c r="JDW11" s="2"/>
      <c r="JDX11" s="2"/>
      <c r="JDY11" s="2"/>
      <c r="JDZ11" s="2"/>
      <c r="JEA11" s="2"/>
      <c r="JEB11" s="2"/>
      <c r="JEC11" s="2"/>
      <c r="JED11" s="2"/>
      <c r="JEE11" s="2"/>
      <c r="JEF11" s="2"/>
      <c r="JEG11" s="2"/>
      <c r="JEH11" s="2"/>
      <c r="JEI11" s="2"/>
      <c r="JEJ11" s="2"/>
      <c r="JEK11" s="2"/>
      <c r="JEL11" s="2"/>
      <c r="JEM11" s="2"/>
      <c r="JEN11" s="2"/>
      <c r="JEO11" s="2"/>
      <c r="JEP11" s="2"/>
      <c r="JEQ11" s="2"/>
      <c r="JER11" s="2"/>
      <c r="JES11" s="2"/>
      <c r="JET11" s="2"/>
      <c r="JEU11" s="2"/>
      <c r="JEV11" s="2"/>
      <c r="JEW11" s="2"/>
      <c r="JEX11" s="2"/>
      <c r="JEY11" s="2"/>
      <c r="JEZ11" s="2"/>
      <c r="JFA11" s="2"/>
      <c r="JFB11" s="2"/>
      <c r="JFC11" s="2"/>
      <c r="JFD11" s="2"/>
      <c r="JFE11" s="2"/>
      <c r="JFF11" s="2"/>
      <c r="JFG11" s="2"/>
      <c r="JFH11" s="2"/>
      <c r="JFI11" s="2"/>
      <c r="JFJ11" s="2"/>
      <c r="JFK11" s="2"/>
      <c r="JFL11" s="2"/>
      <c r="JFM11" s="2"/>
      <c r="JFN11" s="2"/>
      <c r="JFO11" s="2"/>
      <c r="JFP11" s="2"/>
      <c r="JFQ11" s="2"/>
      <c r="JFR11" s="2"/>
      <c r="JFS11" s="2"/>
      <c r="JFT11" s="2"/>
      <c r="JFU11" s="2"/>
      <c r="JFV11" s="2"/>
      <c r="JFW11" s="2"/>
      <c r="JFX11" s="2"/>
      <c r="JFY11" s="2"/>
      <c r="JFZ11" s="2"/>
      <c r="JGA11" s="2"/>
      <c r="JGB11" s="2"/>
      <c r="JGC11" s="2"/>
      <c r="JGD11" s="2"/>
      <c r="JGE11" s="2"/>
      <c r="JGF11" s="2"/>
      <c r="JGG11" s="2"/>
      <c r="JGH11" s="2"/>
      <c r="JGI11" s="2"/>
      <c r="JGJ11" s="2"/>
      <c r="JGK11" s="2"/>
      <c r="JGL11" s="2"/>
      <c r="JGM11" s="2"/>
      <c r="JGN11" s="2"/>
      <c r="JGO11" s="2"/>
      <c r="JGP11" s="2"/>
      <c r="JGQ11" s="2"/>
      <c r="JGR11" s="2"/>
      <c r="JGS11" s="2"/>
      <c r="JGT11" s="2"/>
      <c r="JGU11" s="2"/>
      <c r="JGV11" s="2"/>
      <c r="JGW11" s="2"/>
      <c r="JGX11" s="2"/>
      <c r="JGY11" s="2"/>
      <c r="JGZ11" s="2"/>
      <c r="JHA11" s="2"/>
      <c r="JHB11" s="2"/>
      <c r="JHC11" s="2"/>
      <c r="JHD11" s="2"/>
      <c r="JHE11" s="2"/>
      <c r="JHF11" s="2"/>
      <c r="JHG11" s="2"/>
      <c r="JHH11" s="2"/>
      <c r="JHI11" s="2"/>
      <c r="JHJ11" s="2"/>
      <c r="JHK11" s="2"/>
      <c r="JHL11" s="2"/>
      <c r="JHM11" s="2"/>
      <c r="JHN11" s="2"/>
      <c r="JHO11" s="2"/>
      <c r="JHP11" s="2"/>
      <c r="JHQ11" s="2"/>
      <c r="JHR11" s="2"/>
      <c r="JHS11" s="2"/>
      <c r="JHT11" s="2"/>
      <c r="JHU11" s="2"/>
      <c r="JHV11" s="2"/>
      <c r="JHW11" s="2"/>
      <c r="JHX11" s="2"/>
      <c r="JHY11" s="2"/>
      <c r="JHZ11" s="2"/>
      <c r="JIA11" s="2"/>
      <c r="JIB11" s="2"/>
      <c r="JIC11" s="2"/>
      <c r="JID11" s="2"/>
      <c r="JIE11" s="2"/>
      <c r="JIF11" s="2"/>
      <c r="JIG11" s="2"/>
      <c r="JIH11" s="2"/>
      <c r="JII11" s="2"/>
      <c r="JIJ11" s="2"/>
      <c r="JIK11" s="2"/>
      <c r="JIL11" s="2"/>
      <c r="JIM11" s="2"/>
      <c r="JIN11" s="2"/>
      <c r="JIO11" s="2"/>
      <c r="JIP11" s="2"/>
      <c r="JIQ11" s="2"/>
      <c r="JIR11" s="2"/>
      <c r="JIS11" s="2"/>
      <c r="JIT11" s="2"/>
      <c r="JIU11" s="2"/>
      <c r="JIV11" s="2"/>
      <c r="JIW11" s="2"/>
      <c r="JIX11" s="2"/>
      <c r="JIY11" s="2"/>
      <c r="JIZ11" s="2"/>
      <c r="JJA11" s="2"/>
      <c r="JJB11" s="2"/>
      <c r="JJC11" s="2"/>
      <c r="JJD11" s="2"/>
      <c r="JJE11" s="2"/>
      <c r="JJF11" s="2"/>
      <c r="JJG11" s="2"/>
      <c r="JJH11" s="2"/>
      <c r="JJI11" s="2"/>
      <c r="JJJ11" s="2"/>
      <c r="JJK11" s="2"/>
      <c r="JJL11" s="2"/>
      <c r="JJM11" s="2"/>
      <c r="JJN11" s="2"/>
      <c r="JJO11" s="2"/>
      <c r="JJP11" s="2"/>
      <c r="JJQ11" s="2"/>
      <c r="JJR11" s="2"/>
      <c r="JJS11" s="2"/>
      <c r="JJT11" s="2"/>
      <c r="JJU11" s="2"/>
      <c r="JJV11" s="2"/>
      <c r="JJW11" s="2"/>
      <c r="JJX11" s="2"/>
      <c r="JJY11" s="2"/>
      <c r="JJZ11" s="2"/>
      <c r="JKA11" s="2"/>
      <c r="JKB11" s="2"/>
      <c r="JKC11" s="2"/>
      <c r="JKD11" s="2"/>
      <c r="JKE11" s="2"/>
      <c r="JKF11" s="2"/>
      <c r="JKG11" s="2"/>
      <c r="JKH11" s="2"/>
      <c r="JKI11" s="2"/>
      <c r="JKJ11" s="2"/>
      <c r="JKK11" s="2"/>
      <c r="JKL11" s="2"/>
      <c r="JKM11" s="2"/>
      <c r="JKN11" s="2"/>
      <c r="JKO11" s="2"/>
      <c r="JKP11" s="2"/>
      <c r="JKQ11" s="2"/>
      <c r="JKR11" s="2"/>
      <c r="JKS11" s="2"/>
      <c r="JKT11" s="2"/>
      <c r="JKU11" s="2"/>
      <c r="JKV11" s="2"/>
      <c r="JKW11" s="2"/>
      <c r="JKX11" s="2"/>
      <c r="JKY11" s="2"/>
      <c r="JKZ11" s="2"/>
      <c r="JLA11" s="2"/>
      <c r="JLB11" s="2"/>
      <c r="JLC11" s="2"/>
      <c r="JLD11" s="2"/>
      <c r="JLE11" s="2"/>
      <c r="JLF11" s="2"/>
      <c r="JLG11" s="2"/>
      <c r="JLH11" s="2"/>
      <c r="JLI11" s="2"/>
      <c r="JLJ11" s="2"/>
      <c r="JLK11" s="2"/>
      <c r="JLL11" s="2"/>
      <c r="JLM11" s="2"/>
      <c r="JLN11" s="2"/>
      <c r="JLO11" s="2"/>
      <c r="JLP11" s="2"/>
      <c r="JLQ11" s="2"/>
      <c r="JLR11" s="2"/>
      <c r="JLS11" s="2"/>
      <c r="JLT11" s="2"/>
      <c r="JLU11" s="2"/>
      <c r="JLV11" s="2"/>
      <c r="JLW11" s="2"/>
      <c r="JLX11" s="2"/>
      <c r="JLY11" s="2"/>
      <c r="JLZ11" s="2"/>
      <c r="JMA11" s="2"/>
      <c r="JMB11" s="2"/>
      <c r="JMC11" s="2"/>
      <c r="JMD11" s="2"/>
      <c r="JME11" s="2"/>
      <c r="JMF11" s="2"/>
      <c r="JMG11" s="2"/>
      <c r="JMH11" s="2"/>
      <c r="JMI11" s="2"/>
      <c r="JMJ11" s="2"/>
      <c r="JMK11" s="2"/>
      <c r="JML11" s="2"/>
      <c r="JMM11" s="2"/>
      <c r="JMN11" s="2"/>
      <c r="JMO11" s="2"/>
      <c r="JMP11" s="2"/>
      <c r="JMQ11" s="2"/>
      <c r="JMR11" s="2"/>
      <c r="JMS11" s="2"/>
      <c r="JMT11" s="2"/>
      <c r="JMU11" s="2"/>
      <c r="JMV11" s="2"/>
      <c r="JMW11" s="2"/>
      <c r="JMX11" s="2"/>
      <c r="JMY11" s="2"/>
      <c r="JMZ11" s="2"/>
      <c r="JNA11" s="2"/>
      <c r="JNB11" s="2"/>
      <c r="JNC11" s="2"/>
      <c r="JND11" s="2"/>
      <c r="JNE11" s="2"/>
      <c r="JNF11" s="2"/>
      <c r="JNG11" s="2"/>
      <c r="JNH11" s="2"/>
      <c r="JNI11" s="2"/>
      <c r="JNJ11" s="2"/>
      <c r="JNK11" s="2"/>
      <c r="JNL11" s="2"/>
      <c r="JNM11" s="2"/>
      <c r="JNN11" s="2"/>
      <c r="JNO11" s="2"/>
      <c r="JNP11" s="2"/>
      <c r="JNQ11" s="2"/>
      <c r="JNR11" s="2"/>
      <c r="JNS11" s="2"/>
      <c r="JNT11" s="2"/>
      <c r="JNU11" s="2"/>
      <c r="JNV11" s="2"/>
      <c r="JNW11" s="2"/>
      <c r="JNX11" s="2"/>
      <c r="JNY11" s="2"/>
      <c r="JNZ11" s="2"/>
      <c r="JOA11" s="2"/>
      <c r="JOB11" s="2"/>
      <c r="JOC11" s="2"/>
      <c r="JOD11" s="2"/>
      <c r="JOE11" s="2"/>
      <c r="JOF11" s="2"/>
      <c r="JOG11" s="2"/>
      <c r="JOH11" s="2"/>
      <c r="JOI11" s="2"/>
      <c r="JOJ11" s="2"/>
      <c r="JOK11" s="2"/>
      <c r="JOL11" s="2"/>
      <c r="JOM11" s="2"/>
      <c r="JON11" s="2"/>
      <c r="JOO11" s="2"/>
      <c r="JOP11" s="2"/>
      <c r="JOQ11" s="2"/>
      <c r="JOR11" s="2"/>
      <c r="JOS11" s="2"/>
      <c r="JOT11" s="2"/>
      <c r="JOU11" s="2"/>
      <c r="JOV11" s="2"/>
      <c r="JOW11" s="2"/>
      <c r="JOX11" s="2"/>
      <c r="JOY11" s="2"/>
      <c r="JOZ11" s="2"/>
      <c r="JPA11" s="2"/>
      <c r="JPB11" s="2"/>
      <c r="JPC11" s="2"/>
      <c r="JPD11" s="2"/>
      <c r="JPE11" s="2"/>
      <c r="JPF11" s="2"/>
      <c r="JPG11" s="2"/>
      <c r="JPH11" s="2"/>
      <c r="JPI11" s="2"/>
      <c r="JPJ11" s="2"/>
      <c r="JPK11" s="2"/>
      <c r="JPL11" s="2"/>
      <c r="JPM11" s="2"/>
      <c r="JPN11" s="2"/>
      <c r="JPO11" s="2"/>
      <c r="JPP11" s="2"/>
      <c r="JPQ11" s="2"/>
      <c r="JPR11" s="2"/>
      <c r="JPS11" s="2"/>
      <c r="JPT11" s="2"/>
      <c r="JPU11" s="2"/>
      <c r="JPV11" s="2"/>
      <c r="JPW11" s="2"/>
      <c r="JPX11" s="2"/>
      <c r="JPY11" s="2"/>
      <c r="JPZ11" s="2"/>
      <c r="JQA11" s="2"/>
      <c r="JQB11" s="2"/>
      <c r="JQC11" s="2"/>
      <c r="JQD11" s="2"/>
      <c r="JQE11" s="2"/>
      <c r="JQF11" s="2"/>
      <c r="JQG11" s="2"/>
      <c r="JQH11" s="2"/>
      <c r="JQI11" s="2"/>
      <c r="JQJ11" s="2"/>
      <c r="JQK11" s="2"/>
      <c r="JQL11" s="2"/>
      <c r="JQM11" s="2"/>
      <c r="JQN11" s="2"/>
      <c r="JQO11" s="2"/>
      <c r="JQP11" s="2"/>
      <c r="JQQ11" s="2"/>
      <c r="JQR11" s="2"/>
      <c r="JQS11" s="2"/>
      <c r="JQT11" s="2"/>
      <c r="JQU11" s="2"/>
      <c r="JQV11" s="2"/>
      <c r="JQW11" s="2"/>
      <c r="JQX11" s="2"/>
      <c r="JQY11" s="2"/>
      <c r="JQZ11" s="2"/>
      <c r="JRA11" s="2"/>
      <c r="JRB11" s="2"/>
      <c r="JRC11" s="2"/>
      <c r="JRD11" s="2"/>
      <c r="JRE11" s="2"/>
      <c r="JRF11" s="2"/>
      <c r="JRG11" s="2"/>
      <c r="JRH11" s="2"/>
      <c r="JRI11" s="2"/>
      <c r="JRJ11" s="2"/>
      <c r="JRK11" s="2"/>
      <c r="JRL11" s="2"/>
      <c r="JRM11" s="2"/>
      <c r="JRN11" s="2"/>
      <c r="JRO11" s="2"/>
      <c r="JRP11" s="2"/>
      <c r="JRQ11" s="2"/>
      <c r="JRR11" s="2"/>
      <c r="JRS11" s="2"/>
      <c r="JRT11" s="2"/>
      <c r="JRU11" s="2"/>
      <c r="JRV11" s="2"/>
      <c r="JRW11" s="2"/>
      <c r="JRX11" s="2"/>
      <c r="JRY11" s="2"/>
      <c r="JRZ11" s="2"/>
      <c r="JSA11" s="2"/>
      <c r="JSB11" s="2"/>
      <c r="JSC11" s="2"/>
      <c r="JSD11" s="2"/>
      <c r="JSE11" s="2"/>
      <c r="JSF11" s="2"/>
      <c r="JSG11" s="2"/>
      <c r="JSH11" s="2"/>
      <c r="JSI11" s="2"/>
      <c r="JSJ11" s="2"/>
      <c r="JSK11" s="2"/>
      <c r="JSL11" s="2"/>
      <c r="JSM11" s="2"/>
      <c r="JSN11" s="2"/>
      <c r="JSO11" s="2"/>
      <c r="JSP11" s="2"/>
      <c r="JSQ11" s="2"/>
      <c r="JSR11" s="2"/>
      <c r="JSS11" s="2"/>
      <c r="JST11" s="2"/>
      <c r="JSU11" s="2"/>
      <c r="JSV11" s="2"/>
      <c r="JSW11" s="2"/>
      <c r="JSX11" s="2"/>
      <c r="JSY11" s="2"/>
      <c r="JSZ11" s="2"/>
      <c r="JTA11" s="2"/>
      <c r="JTB11" s="2"/>
      <c r="JTC11" s="2"/>
      <c r="JTD11" s="2"/>
      <c r="JTE11" s="2"/>
      <c r="JTF11" s="2"/>
      <c r="JTG11" s="2"/>
      <c r="JTH11" s="2"/>
      <c r="JTI11" s="2"/>
      <c r="JTJ11" s="2"/>
      <c r="JTK11" s="2"/>
      <c r="JTL11" s="2"/>
      <c r="JTM11" s="2"/>
      <c r="JTN11" s="2"/>
      <c r="JTO11" s="2"/>
      <c r="JTP11" s="2"/>
      <c r="JTQ11" s="2"/>
      <c r="JTR11" s="2"/>
      <c r="JTS11" s="2"/>
      <c r="JTT11" s="2"/>
      <c r="JTU11" s="2"/>
      <c r="JTV11" s="2"/>
      <c r="JTW11" s="2"/>
      <c r="JTX11" s="2"/>
      <c r="JTY11" s="2"/>
      <c r="JTZ11" s="2"/>
      <c r="JUA11" s="2"/>
      <c r="JUB11" s="2"/>
      <c r="JUC11" s="2"/>
      <c r="JUD11" s="2"/>
      <c r="JUE11" s="2"/>
      <c r="JUF11" s="2"/>
      <c r="JUG11" s="2"/>
      <c r="JUH11" s="2"/>
      <c r="JUI11" s="2"/>
      <c r="JUJ11" s="2"/>
      <c r="JUK11" s="2"/>
      <c r="JUL11" s="2"/>
      <c r="JUM11" s="2"/>
      <c r="JUN11" s="2"/>
      <c r="JUO11" s="2"/>
      <c r="JUP11" s="2"/>
      <c r="JUQ11" s="2"/>
      <c r="JUR11" s="2"/>
      <c r="JUS11" s="2"/>
      <c r="JUT11" s="2"/>
      <c r="JUU11" s="2"/>
      <c r="JUV11" s="2"/>
      <c r="JUW11" s="2"/>
      <c r="JUX11" s="2"/>
      <c r="JUY11" s="2"/>
      <c r="JUZ11" s="2"/>
      <c r="JVA11" s="2"/>
      <c r="JVB11" s="2"/>
      <c r="JVC11" s="2"/>
      <c r="JVD11" s="2"/>
      <c r="JVE11" s="2"/>
      <c r="JVF11" s="2"/>
      <c r="JVG11" s="2"/>
      <c r="JVH11" s="2"/>
      <c r="JVI11" s="2"/>
      <c r="JVJ11" s="2"/>
      <c r="JVK11" s="2"/>
      <c r="JVL11" s="2"/>
      <c r="JVM11" s="2"/>
      <c r="JVN11" s="2"/>
      <c r="JVO11" s="2"/>
      <c r="JVP11" s="2"/>
      <c r="JVQ11" s="2"/>
      <c r="JVR11" s="2"/>
      <c r="JVS11" s="2"/>
      <c r="JVT11" s="2"/>
      <c r="JVU11" s="2"/>
      <c r="JVV11" s="2"/>
      <c r="JVW11" s="2"/>
      <c r="JVX11" s="2"/>
      <c r="JVY11" s="2"/>
      <c r="JVZ11" s="2"/>
      <c r="JWA11" s="2"/>
      <c r="JWB11" s="2"/>
      <c r="JWC11" s="2"/>
      <c r="JWD11" s="2"/>
      <c r="JWE11" s="2"/>
      <c r="JWF11" s="2"/>
      <c r="JWG11" s="2"/>
      <c r="JWH11" s="2"/>
      <c r="JWI11" s="2"/>
      <c r="JWJ11" s="2"/>
      <c r="JWK11" s="2"/>
      <c r="JWL11" s="2"/>
      <c r="JWM11" s="2"/>
      <c r="JWN11" s="2"/>
      <c r="JWO11" s="2"/>
      <c r="JWP11" s="2"/>
      <c r="JWQ11" s="2"/>
      <c r="JWR11" s="2"/>
      <c r="JWS11" s="2"/>
      <c r="JWT11" s="2"/>
      <c r="JWU11" s="2"/>
      <c r="JWV11" s="2"/>
      <c r="JWW11" s="2"/>
      <c r="JWX11" s="2"/>
      <c r="JWY11" s="2"/>
      <c r="JWZ11" s="2"/>
      <c r="JXA11" s="2"/>
      <c r="JXB11" s="2"/>
      <c r="JXC11" s="2"/>
      <c r="JXD11" s="2"/>
      <c r="JXE11" s="2"/>
      <c r="JXF11" s="2"/>
      <c r="JXG11" s="2"/>
      <c r="JXH11" s="2"/>
      <c r="JXI11" s="2"/>
      <c r="JXJ11" s="2"/>
      <c r="JXK11" s="2"/>
      <c r="JXL11" s="2"/>
      <c r="JXM11" s="2"/>
      <c r="JXN11" s="2"/>
      <c r="JXO11" s="2"/>
      <c r="JXP11" s="2"/>
      <c r="JXQ11" s="2"/>
      <c r="JXR11" s="2"/>
      <c r="JXS11" s="2"/>
      <c r="JXT11" s="2"/>
      <c r="JXU11" s="2"/>
      <c r="JXV11" s="2"/>
      <c r="JXW11" s="2"/>
      <c r="JXX11" s="2"/>
      <c r="JXY11" s="2"/>
      <c r="JXZ11" s="2"/>
      <c r="JYA11" s="2"/>
      <c r="JYB11" s="2"/>
      <c r="JYC11" s="2"/>
      <c r="JYD11" s="2"/>
      <c r="JYE11" s="2"/>
      <c r="JYF11" s="2"/>
      <c r="JYG11" s="2"/>
      <c r="JYH11" s="2"/>
      <c r="JYI11" s="2"/>
      <c r="JYJ11" s="2"/>
      <c r="JYK11" s="2"/>
      <c r="JYL11" s="2"/>
      <c r="JYM11" s="2"/>
      <c r="JYN11" s="2"/>
      <c r="JYO11" s="2"/>
      <c r="JYP11" s="2"/>
      <c r="JYQ11" s="2"/>
      <c r="JYR11" s="2"/>
      <c r="JYS11" s="2"/>
      <c r="JYT11" s="2"/>
      <c r="JYU11" s="2"/>
      <c r="JYV11" s="2"/>
      <c r="JYW11" s="2"/>
      <c r="JYX11" s="2"/>
      <c r="JYY11" s="2"/>
      <c r="JYZ11" s="2"/>
      <c r="JZA11" s="2"/>
      <c r="JZB11" s="2"/>
      <c r="JZC11" s="2"/>
      <c r="JZD11" s="2"/>
      <c r="JZE11" s="2"/>
      <c r="JZF11" s="2"/>
      <c r="JZG11" s="2"/>
      <c r="JZH11" s="2"/>
      <c r="JZI11" s="2"/>
      <c r="JZJ11" s="2"/>
      <c r="JZK11" s="2"/>
      <c r="JZL11" s="2"/>
      <c r="JZM11" s="2"/>
      <c r="JZN11" s="2"/>
      <c r="JZO11" s="2"/>
      <c r="JZP11" s="2"/>
      <c r="JZQ11" s="2"/>
      <c r="JZR11" s="2"/>
      <c r="JZS11" s="2"/>
      <c r="JZT11" s="2"/>
      <c r="JZU11" s="2"/>
      <c r="JZV11" s="2"/>
      <c r="JZW11" s="2"/>
      <c r="JZX11" s="2"/>
      <c r="JZY11" s="2"/>
      <c r="JZZ11" s="2"/>
      <c r="KAA11" s="2"/>
      <c r="KAB11" s="2"/>
      <c r="KAC11" s="2"/>
      <c r="KAD11" s="2"/>
      <c r="KAE11" s="2"/>
      <c r="KAF11" s="2"/>
      <c r="KAG11" s="2"/>
      <c r="KAH11" s="2"/>
      <c r="KAI11" s="2"/>
      <c r="KAJ11" s="2"/>
      <c r="KAK11" s="2"/>
      <c r="KAL11" s="2"/>
      <c r="KAM11" s="2"/>
      <c r="KAN11" s="2"/>
      <c r="KAO11" s="2"/>
      <c r="KAP11" s="2"/>
      <c r="KAQ11" s="2"/>
      <c r="KAR11" s="2"/>
      <c r="KAS11" s="2"/>
      <c r="KAT11" s="2"/>
      <c r="KAU11" s="2"/>
      <c r="KAV11" s="2"/>
      <c r="KAW11" s="2"/>
      <c r="KAX11" s="2"/>
      <c r="KAY11" s="2"/>
      <c r="KAZ11" s="2"/>
      <c r="KBA11" s="2"/>
      <c r="KBB11" s="2"/>
      <c r="KBC11" s="2"/>
      <c r="KBD11" s="2"/>
      <c r="KBE11" s="2"/>
      <c r="KBF11" s="2"/>
      <c r="KBG11" s="2"/>
      <c r="KBH11" s="2"/>
      <c r="KBI11" s="2"/>
      <c r="KBJ11" s="2"/>
      <c r="KBK11" s="2"/>
      <c r="KBL11" s="2"/>
      <c r="KBM11" s="2"/>
      <c r="KBN11" s="2"/>
      <c r="KBO11" s="2"/>
      <c r="KBP11" s="2"/>
      <c r="KBQ11" s="2"/>
      <c r="KBR11" s="2"/>
      <c r="KBS11" s="2"/>
      <c r="KBT11" s="2"/>
      <c r="KBU11" s="2"/>
      <c r="KBV11" s="2"/>
      <c r="KBW11" s="2"/>
      <c r="KBX11" s="2"/>
      <c r="KBY11" s="2"/>
      <c r="KBZ11" s="2"/>
      <c r="KCA11" s="2"/>
      <c r="KCB11" s="2"/>
      <c r="KCC11" s="2"/>
      <c r="KCD11" s="2"/>
      <c r="KCE11" s="2"/>
      <c r="KCF11" s="2"/>
      <c r="KCG11" s="2"/>
      <c r="KCH11" s="2"/>
      <c r="KCI11" s="2"/>
      <c r="KCJ11" s="2"/>
      <c r="KCK11" s="2"/>
      <c r="KCL11" s="2"/>
      <c r="KCM11" s="2"/>
      <c r="KCN11" s="2"/>
      <c r="KCO11" s="2"/>
      <c r="KCP11" s="2"/>
      <c r="KCQ11" s="2"/>
      <c r="KCR11" s="2"/>
      <c r="KCS11" s="2"/>
      <c r="KCT11" s="2"/>
      <c r="KCU11" s="2"/>
      <c r="KCV11" s="2"/>
      <c r="KCW11" s="2"/>
      <c r="KCX11" s="2"/>
      <c r="KCY11" s="2"/>
      <c r="KCZ11" s="2"/>
      <c r="KDA11" s="2"/>
      <c r="KDB11" s="2"/>
      <c r="KDC11" s="2"/>
      <c r="KDD11" s="2"/>
      <c r="KDE11" s="2"/>
      <c r="KDF11" s="2"/>
      <c r="KDG11" s="2"/>
      <c r="KDH11" s="2"/>
      <c r="KDI11" s="2"/>
      <c r="KDJ11" s="2"/>
      <c r="KDK11" s="2"/>
      <c r="KDL11" s="2"/>
      <c r="KDM11" s="2"/>
      <c r="KDN11" s="2"/>
      <c r="KDO11" s="2"/>
      <c r="KDP11" s="2"/>
      <c r="KDQ11" s="2"/>
      <c r="KDR11" s="2"/>
      <c r="KDS11" s="2"/>
      <c r="KDT11" s="2"/>
      <c r="KDU11" s="2"/>
      <c r="KDV11" s="2"/>
      <c r="KDW11" s="2"/>
      <c r="KDX11" s="2"/>
      <c r="KDY11" s="2"/>
      <c r="KDZ11" s="2"/>
      <c r="KEA11" s="2"/>
      <c r="KEB11" s="2"/>
      <c r="KEC11" s="2"/>
      <c r="KED11" s="2"/>
      <c r="KEE11" s="2"/>
      <c r="KEF11" s="2"/>
      <c r="KEG11" s="2"/>
      <c r="KEH11" s="2"/>
      <c r="KEI11" s="2"/>
      <c r="KEJ11" s="2"/>
      <c r="KEK11" s="2"/>
      <c r="KEL11" s="2"/>
      <c r="KEM11" s="2"/>
      <c r="KEN11" s="2"/>
      <c r="KEO11" s="2"/>
      <c r="KEP11" s="2"/>
      <c r="KEQ11" s="2"/>
      <c r="KER11" s="2"/>
      <c r="KES11" s="2"/>
      <c r="KET11" s="2"/>
      <c r="KEU11" s="2"/>
      <c r="KEV11" s="2"/>
      <c r="KEW11" s="2"/>
      <c r="KEX11" s="2"/>
      <c r="KEY11" s="2"/>
      <c r="KEZ11" s="2"/>
      <c r="KFA11" s="2"/>
      <c r="KFB11" s="2"/>
      <c r="KFC11" s="2"/>
      <c r="KFD11" s="2"/>
      <c r="KFE11" s="2"/>
      <c r="KFF11" s="2"/>
      <c r="KFG11" s="2"/>
      <c r="KFH11" s="2"/>
      <c r="KFI11" s="2"/>
      <c r="KFJ11" s="2"/>
      <c r="KFK11" s="2"/>
      <c r="KFL11" s="2"/>
      <c r="KFM11" s="2"/>
      <c r="KFN11" s="2"/>
      <c r="KFO11" s="2"/>
      <c r="KFP11" s="2"/>
      <c r="KFQ11" s="2"/>
      <c r="KFR11" s="2"/>
      <c r="KFS11" s="2"/>
      <c r="KFT11" s="2"/>
      <c r="KFU11" s="2"/>
      <c r="KFV11" s="2"/>
      <c r="KFW11" s="2"/>
      <c r="KFX11" s="2"/>
      <c r="KFY11" s="2"/>
      <c r="KFZ11" s="2"/>
      <c r="KGA11" s="2"/>
      <c r="KGB11" s="2"/>
      <c r="KGC11" s="2"/>
      <c r="KGD11" s="2"/>
      <c r="KGE11" s="2"/>
      <c r="KGF11" s="2"/>
      <c r="KGG11" s="2"/>
      <c r="KGH11" s="2"/>
      <c r="KGI11" s="2"/>
      <c r="KGJ11" s="2"/>
      <c r="KGK11" s="2"/>
      <c r="KGL11" s="2"/>
      <c r="KGM11" s="2"/>
      <c r="KGN11" s="2"/>
      <c r="KGO11" s="2"/>
      <c r="KGP11" s="2"/>
      <c r="KGQ11" s="2"/>
      <c r="KGR11" s="2"/>
      <c r="KGS11" s="2"/>
      <c r="KGT11" s="2"/>
      <c r="KGU11" s="2"/>
      <c r="KGV11" s="2"/>
      <c r="KGW11" s="2"/>
      <c r="KGX11" s="2"/>
      <c r="KGY11" s="2"/>
      <c r="KGZ11" s="2"/>
      <c r="KHA11" s="2"/>
      <c r="KHB11" s="2"/>
      <c r="KHC11" s="2"/>
      <c r="KHD11" s="2"/>
      <c r="KHE11" s="2"/>
      <c r="KHF11" s="2"/>
      <c r="KHG11" s="2"/>
      <c r="KHH11" s="2"/>
      <c r="KHI11" s="2"/>
      <c r="KHJ11" s="2"/>
      <c r="KHK11" s="2"/>
      <c r="KHL11" s="2"/>
      <c r="KHM11" s="2"/>
      <c r="KHN11" s="2"/>
      <c r="KHO11" s="2"/>
      <c r="KHP11" s="2"/>
      <c r="KHQ11" s="2"/>
      <c r="KHR11" s="2"/>
      <c r="KHS11" s="2"/>
      <c r="KHT11" s="2"/>
      <c r="KHU11" s="2"/>
      <c r="KHV11" s="2"/>
      <c r="KHW11" s="2"/>
      <c r="KHX11" s="2"/>
      <c r="KHY11" s="2"/>
      <c r="KHZ11" s="2"/>
      <c r="KIA11" s="2"/>
      <c r="KIB11" s="2"/>
      <c r="KIC11" s="2"/>
      <c r="KID11" s="2"/>
      <c r="KIE11" s="2"/>
      <c r="KIF11" s="2"/>
      <c r="KIG11" s="2"/>
      <c r="KIH11" s="2"/>
      <c r="KII11" s="2"/>
      <c r="KIJ11" s="2"/>
      <c r="KIK11" s="2"/>
      <c r="KIL11" s="2"/>
      <c r="KIM11" s="2"/>
      <c r="KIN11" s="2"/>
      <c r="KIO11" s="2"/>
      <c r="KIP11" s="2"/>
      <c r="KIQ11" s="2"/>
      <c r="KIR11" s="2"/>
      <c r="KIS11" s="2"/>
      <c r="KIT11" s="2"/>
      <c r="KIU11" s="2"/>
      <c r="KIV11" s="2"/>
      <c r="KIW11" s="2"/>
      <c r="KIX11" s="2"/>
      <c r="KIY11" s="2"/>
      <c r="KIZ11" s="2"/>
      <c r="KJA11" s="2"/>
      <c r="KJB11" s="2"/>
      <c r="KJC11" s="2"/>
      <c r="KJD11" s="2"/>
      <c r="KJE11" s="2"/>
      <c r="KJF11" s="2"/>
      <c r="KJG11" s="2"/>
      <c r="KJH11" s="2"/>
      <c r="KJI11" s="2"/>
      <c r="KJJ11" s="2"/>
      <c r="KJK11" s="2"/>
      <c r="KJL11" s="2"/>
      <c r="KJM11" s="2"/>
      <c r="KJN11" s="2"/>
      <c r="KJO11" s="2"/>
      <c r="KJP11" s="2"/>
      <c r="KJQ11" s="2"/>
      <c r="KJR11" s="2"/>
      <c r="KJS11" s="2"/>
      <c r="KJT11" s="2"/>
      <c r="KJU11" s="2"/>
      <c r="KJV11" s="2"/>
      <c r="KJW11" s="2"/>
      <c r="KJX11" s="2"/>
      <c r="KJY11" s="2"/>
      <c r="KJZ11" s="2"/>
      <c r="KKA11" s="2"/>
      <c r="KKB11" s="2"/>
      <c r="KKC11" s="2"/>
      <c r="KKD11" s="2"/>
      <c r="KKE11" s="2"/>
      <c r="KKF11" s="2"/>
      <c r="KKG11" s="2"/>
      <c r="KKH11" s="2"/>
      <c r="KKI11" s="2"/>
      <c r="KKJ11" s="2"/>
      <c r="KKK11" s="2"/>
      <c r="KKL11" s="2"/>
      <c r="KKM11" s="2"/>
      <c r="KKN11" s="2"/>
      <c r="KKO11" s="2"/>
      <c r="KKP11" s="2"/>
      <c r="KKQ11" s="2"/>
      <c r="KKR11" s="2"/>
      <c r="KKS11" s="2"/>
      <c r="KKT11" s="2"/>
      <c r="KKU11" s="2"/>
      <c r="KKV11" s="2"/>
      <c r="KKW11" s="2"/>
      <c r="KKX11" s="2"/>
      <c r="KKY11" s="2"/>
      <c r="KKZ11" s="2"/>
      <c r="KLA11" s="2"/>
      <c r="KLB11" s="2"/>
      <c r="KLC11" s="2"/>
      <c r="KLD11" s="2"/>
      <c r="KLE11" s="2"/>
      <c r="KLF11" s="2"/>
      <c r="KLG11" s="2"/>
      <c r="KLH11" s="2"/>
      <c r="KLI11" s="2"/>
      <c r="KLJ11" s="2"/>
      <c r="KLK11" s="2"/>
      <c r="KLL11" s="2"/>
      <c r="KLM11" s="2"/>
      <c r="KLN11" s="2"/>
      <c r="KLO11" s="2"/>
      <c r="KLP11" s="2"/>
      <c r="KLQ11" s="2"/>
      <c r="KLR11" s="2"/>
      <c r="KLS11" s="2"/>
      <c r="KLT11" s="2"/>
      <c r="KLU11" s="2"/>
      <c r="KLV11" s="2"/>
      <c r="KLW11" s="2"/>
      <c r="KLX11" s="2"/>
      <c r="KLY11" s="2"/>
      <c r="KLZ11" s="2"/>
      <c r="KMA11" s="2"/>
      <c r="KMB11" s="2"/>
      <c r="KMC11" s="2"/>
      <c r="KMD11" s="2"/>
      <c r="KME11" s="2"/>
      <c r="KMF11" s="2"/>
      <c r="KMG11" s="2"/>
      <c r="KMH11" s="2"/>
      <c r="KMI11" s="2"/>
      <c r="KMJ11" s="2"/>
      <c r="KMK11" s="2"/>
      <c r="KML11" s="2"/>
      <c r="KMM11" s="2"/>
      <c r="KMN11" s="2"/>
      <c r="KMO11" s="2"/>
      <c r="KMP11" s="2"/>
      <c r="KMQ11" s="2"/>
      <c r="KMR11" s="2"/>
      <c r="KMS11" s="2"/>
      <c r="KMT11" s="2"/>
      <c r="KMU11" s="2"/>
      <c r="KMV11" s="2"/>
      <c r="KMW11" s="2"/>
      <c r="KMX11" s="2"/>
      <c r="KMY11" s="2"/>
      <c r="KMZ11" s="2"/>
      <c r="KNA11" s="2"/>
      <c r="KNB11" s="2"/>
      <c r="KNC11" s="2"/>
      <c r="KND11" s="2"/>
      <c r="KNE11" s="2"/>
      <c r="KNF11" s="2"/>
      <c r="KNG11" s="2"/>
      <c r="KNH11" s="2"/>
      <c r="KNI11" s="2"/>
      <c r="KNJ11" s="2"/>
      <c r="KNK11" s="2"/>
      <c r="KNL11" s="2"/>
      <c r="KNM11" s="2"/>
      <c r="KNN11" s="2"/>
      <c r="KNO11" s="2"/>
      <c r="KNP11" s="2"/>
      <c r="KNQ11" s="2"/>
      <c r="KNR11" s="2"/>
      <c r="KNS11" s="2"/>
      <c r="KNT11" s="2"/>
      <c r="KNU11" s="2"/>
      <c r="KNV11" s="2"/>
      <c r="KNW11" s="2"/>
      <c r="KNX11" s="2"/>
      <c r="KNY11" s="2"/>
      <c r="KNZ11" s="2"/>
      <c r="KOA11" s="2"/>
      <c r="KOB11" s="2"/>
      <c r="KOC11" s="2"/>
      <c r="KOD11" s="2"/>
      <c r="KOE11" s="2"/>
      <c r="KOF11" s="2"/>
      <c r="KOG11" s="2"/>
      <c r="KOH11" s="2"/>
      <c r="KOI11" s="2"/>
      <c r="KOJ11" s="2"/>
      <c r="KOK11" s="2"/>
      <c r="KOL11" s="2"/>
      <c r="KOM11" s="2"/>
      <c r="KON11" s="2"/>
      <c r="KOO11" s="2"/>
      <c r="KOP11" s="2"/>
      <c r="KOQ11" s="2"/>
      <c r="KOR11" s="2"/>
      <c r="KOS11" s="2"/>
      <c r="KOT11" s="2"/>
      <c r="KOU11" s="2"/>
      <c r="KOV11" s="2"/>
      <c r="KOW11" s="2"/>
      <c r="KOX11" s="2"/>
      <c r="KOY11" s="2"/>
      <c r="KOZ11" s="2"/>
      <c r="KPA11" s="2"/>
      <c r="KPB11" s="2"/>
      <c r="KPC11" s="2"/>
      <c r="KPD11" s="2"/>
      <c r="KPE11" s="2"/>
      <c r="KPF11" s="2"/>
      <c r="KPG11" s="2"/>
      <c r="KPH11" s="2"/>
      <c r="KPI11" s="2"/>
      <c r="KPJ11" s="2"/>
      <c r="KPK11" s="2"/>
      <c r="KPL11" s="2"/>
      <c r="KPM11" s="2"/>
      <c r="KPN11" s="2"/>
      <c r="KPO11" s="2"/>
      <c r="KPP11" s="2"/>
      <c r="KPQ11" s="2"/>
      <c r="KPR11" s="2"/>
      <c r="KPS11" s="2"/>
      <c r="KPT11" s="2"/>
      <c r="KPU11" s="2"/>
      <c r="KPV11" s="2"/>
      <c r="KPW11" s="2"/>
      <c r="KPX11" s="2"/>
      <c r="KPY11" s="2"/>
      <c r="KPZ11" s="2"/>
      <c r="KQA11" s="2"/>
      <c r="KQB11" s="2"/>
      <c r="KQC11" s="2"/>
      <c r="KQD11" s="2"/>
      <c r="KQE11" s="2"/>
      <c r="KQF11" s="2"/>
      <c r="KQG11" s="2"/>
      <c r="KQH11" s="2"/>
      <c r="KQI11" s="2"/>
      <c r="KQJ11" s="2"/>
      <c r="KQK11" s="2"/>
      <c r="KQL11" s="2"/>
      <c r="KQM11" s="2"/>
      <c r="KQN11" s="2"/>
      <c r="KQO11" s="2"/>
      <c r="KQP11" s="2"/>
      <c r="KQQ11" s="2"/>
      <c r="KQR11" s="2"/>
      <c r="KQS11" s="2"/>
      <c r="KQT11" s="2"/>
      <c r="KQU11" s="2"/>
      <c r="KQV11" s="2"/>
      <c r="KQW11" s="2"/>
      <c r="KQX11" s="2"/>
      <c r="KQY11" s="2"/>
      <c r="KQZ11" s="2"/>
      <c r="KRA11" s="2"/>
      <c r="KRB11" s="2"/>
      <c r="KRC11" s="2"/>
      <c r="KRD11" s="2"/>
      <c r="KRE11" s="2"/>
      <c r="KRF11" s="2"/>
      <c r="KRG11" s="2"/>
      <c r="KRH11" s="2"/>
      <c r="KRI11" s="2"/>
      <c r="KRJ11" s="2"/>
      <c r="KRK11" s="2"/>
      <c r="KRL11" s="2"/>
      <c r="KRM11" s="2"/>
      <c r="KRN11" s="2"/>
      <c r="KRO11" s="2"/>
      <c r="KRP11" s="2"/>
      <c r="KRQ11" s="2"/>
      <c r="KRR11" s="2"/>
      <c r="KRS11" s="2"/>
      <c r="KRT11" s="2"/>
      <c r="KRU11" s="2"/>
      <c r="KRV11" s="2"/>
      <c r="KRW11" s="2"/>
      <c r="KRX11" s="2"/>
      <c r="KRY11" s="2"/>
      <c r="KRZ11" s="2"/>
      <c r="KSA11" s="2"/>
      <c r="KSB11" s="2"/>
      <c r="KSC11" s="2"/>
      <c r="KSD11" s="2"/>
      <c r="KSE11" s="2"/>
      <c r="KSF11" s="2"/>
      <c r="KSG11" s="2"/>
      <c r="KSH11" s="2"/>
      <c r="KSI11" s="2"/>
      <c r="KSJ11" s="2"/>
      <c r="KSK11" s="2"/>
      <c r="KSL11" s="2"/>
      <c r="KSM11" s="2"/>
      <c r="KSN11" s="2"/>
      <c r="KSO11" s="2"/>
      <c r="KSP11" s="2"/>
      <c r="KSQ11" s="2"/>
      <c r="KSR11" s="2"/>
      <c r="KSS11" s="2"/>
      <c r="KST11" s="2"/>
      <c r="KSU11" s="2"/>
      <c r="KSV11" s="2"/>
      <c r="KSW11" s="2"/>
      <c r="KSX11" s="2"/>
      <c r="KSY11" s="2"/>
      <c r="KSZ11" s="2"/>
      <c r="KTA11" s="2"/>
      <c r="KTB11" s="2"/>
      <c r="KTC11" s="2"/>
      <c r="KTD11" s="2"/>
      <c r="KTE11" s="2"/>
      <c r="KTF11" s="2"/>
      <c r="KTG11" s="2"/>
      <c r="KTH11" s="2"/>
      <c r="KTI11" s="2"/>
      <c r="KTJ11" s="2"/>
      <c r="KTK11" s="2"/>
      <c r="KTL11" s="2"/>
      <c r="KTM11" s="2"/>
      <c r="KTN11" s="2"/>
      <c r="KTO11" s="2"/>
      <c r="KTP11" s="2"/>
      <c r="KTQ11" s="2"/>
      <c r="KTR11" s="2"/>
      <c r="KTS11" s="2"/>
      <c r="KTT11" s="2"/>
      <c r="KTU11" s="2"/>
      <c r="KTV11" s="2"/>
      <c r="KTW11" s="2"/>
      <c r="KTX11" s="2"/>
      <c r="KTY11" s="2"/>
      <c r="KTZ11" s="2"/>
      <c r="KUA11" s="2"/>
      <c r="KUB11" s="2"/>
      <c r="KUC11" s="2"/>
      <c r="KUD11" s="2"/>
      <c r="KUE11" s="2"/>
      <c r="KUF11" s="2"/>
      <c r="KUG11" s="2"/>
      <c r="KUH11" s="2"/>
      <c r="KUI11" s="2"/>
      <c r="KUJ11" s="2"/>
      <c r="KUK11" s="2"/>
      <c r="KUL11" s="2"/>
      <c r="KUM11" s="2"/>
      <c r="KUN11" s="2"/>
      <c r="KUO11" s="2"/>
      <c r="KUP11" s="2"/>
      <c r="KUQ11" s="2"/>
      <c r="KUR11" s="2"/>
      <c r="KUS11" s="2"/>
      <c r="KUT11" s="2"/>
      <c r="KUU11" s="2"/>
      <c r="KUV11" s="2"/>
      <c r="KUW11" s="2"/>
      <c r="KUX11" s="2"/>
      <c r="KUY11" s="2"/>
      <c r="KUZ11" s="2"/>
      <c r="KVA11" s="2"/>
      <c r="KVB11" s="2"/>
      <c r="KVC11" s="2"/>
      <c r="KVD11" s="2"/>
      <c r="KVE11" s="2"/>
      <c r="KVF11" s="2"/>
      <c r="KVG11" s="2"/>
      <c r="KVH11" s="2"/>
      <c r="KVI11" s="2"/>
      <c r="KVJ11" s="2"/>
      <c r="KVK11" s="2"/>
      <c r="KVL11" s="2"/>
      <c r="KVM11" s="2"/>
      <c r="KVN11" s="2"/>
      <c r="KVO11" s="2"/>
      <c r="KVP11" s="2"/>
      <c r="KVQ11" s="2"/>
      <c r="KVR11" s="2"/>
      <c r="KVS11" s="2"/>
      <c r="KVT11" s="2"/>
      <c r="KVU11" s="2"/>
      <c r="KVV11" s="2"/>
      <c r="KVW11" s="2"/>
      <c r="KVX11" s="2"/>
      <c r="KVY11" s="2"/>
      <c r="KVZ11" s="2"/>
      <c r="KWA11" s="2"/>
      <c r="KWB11" s="2"/>
      <c r="KWC11" s="2"/>
      <c r="KWD11" s="2"/>
      <c r="KWE11" s="2"/>
      <c r="KWF11" s="2"/>
      <c r="KWG11" s="2"/>
      <c r="KWH11" s="2"/>
      <c r="KWI11" s="2"/>
      <c r="KWJ11" s="2"/>
      <c r="KWK11" s="2"/>
      <c r="KWL11" s="2"/>
      <c r="KWM11" s="2"/>
      <c r="KWN11" s="2"/>
      <c r="KWO11" s="2"/>
      <c r="KWP11" s="2"/>
      <c r="KWQ11" s="2"/>
      <c r="KWR11" s="2"/>
      <c r="KWS11" s="2"/>
      <c r="KWT11" s="2"/>
      <c r="KWU11" s="2"/>
      <c r="KWV11" s="2"/>
      <c r="KWW11" s="2"/>
      <c r="KWX11" s="2"/>
      <c r="KWY11" s="2"/>
      <c r="KWZ11" s="2"/>
      <c r="KXA11" s="2"/>
      <c r="KXB11" s="2"/>
      <c r="KXC11" s="2"/>
      <c r="KXD11" s="2"/>
      <c r="KXE11" s="2"/>
      <c r="KXF11" s="2"/>
      <c r="KXG11" s="2"/>
      <c r="KXH11" s="2"/>
      <c r="KXI11" s="2"/>
      <c r="KXJ11" s="2"/>
      <c r="KXK11" s="2"/>
      <c r="KXL11" s="2"/>
      <c r="KXM11" s="2"/>
      <c r="KXN11" s="2"/>
      <c r="KXO11" s="2"/>
      <c r="KXP11" s="2"/>
      <c r="KXQ11" s="2"/>
      <c r="KXR11" s="2"/>
      <c r="KXS11" s="2"/>
      <c r="KXT11" s="2"/>
      <c r="KXU11" s="2"/>
      <c r="KXV11" s="2"/>
      <c r="KXW11" s="2"/>
      <c r="KXX11" s="2"/>
      <c r="KXY11" s="2"/>
      <c r="KXZ11" s="2"/>
      <c r="KYA11" s="2"/>
      <c r="KYB11" s="2"/>
      <c r="KYC11" s="2"/>
      <c r="KYD11" s="2"/>
      <c r="KYE11" s="2"/>
      <c r="KYF11" s="2"/>
      <c r="KYG11" s="2"/>
      <c r="KYH11" s="2"/>
      <c r="KYI11" s="2"/>
      <c r="KYJ11" s="2"/>
      <c r="KYK11" s="2"/>
      <c r="KYL11" s="2"/>
      <c r="KYM11" s="2"/>
      <c r="KYN11" s="2"/>
      <c r="KYO11" s="2"/>
      <c r="KYP11" s="2"/>
      <c r="KYQ11" s="2"/>
      <c r="KYR11" s="2"/>
      <c r="KYS11" s="2"/>
      <c r="KYT11" s="2"/>
      <c r="KYU11" s="2"/>
      <c r="KYV11" s="2"/>
      <c r="KYW11" s="2"/>
      <c r="KYX11" s="2"/>
      <c r="KYY11" s="2"/>
      <c r="KYZ11" s="2"/>
      <c r="KZA11" s="2"/>
      <c r="KZB11" s="2"/>
      <c r="KZC11" s="2"/>
      <c r="KZD11" s="2"/>
      <c r="KZE11" s="2"/>
      <c r="KZF11" s="2"/>
      <c r="KZG11" s="2"/>
      <c r="KZH11" s="2"/>
      <c r="KZI11" s="2"/>
      <c r="KZJ11" s="2"/>
      <c r="KZK11" s="2"/>
      <c r="KZL11" s="2"/>
      <c r="KZM11" s="2"/>
      <c r="KZN11" s="2"/>
      <c r="KZO11" s="2"/>
      <c r="KZP11" s="2"/>
      <c r="KZQ11" s="2"/>
      <c r="KZR11" s="2"/>
      <c r="KZS11" s="2"/>
      <c r="KZT11" s="2"/>
      <c r="KZU11" s="2"/>
      <c r="KZV11" s="2"/>
      <c r="KZW11" s="2"/>
      <c r="KZX11" s="2"/>
      <c r="KZY11" s="2"/>
      <c r="KZZ11" s="2"/>
      <c r="LAA11" s="2"/>
      <c r="LAB11" s="2"/>
      <c r="LAC11" s="2"/>
      <c r="LAD11" s="2"/>
      <c r="LAE11" s="2"/>
      <c r="LAF11" s="2"/>
      <c r="LAG11" s="2"/>
      <c r="LAH11" s="2"/>
      <c r="LAI11" s="2"/>
      <c r="LAJ11" s="2"/>
      <c r="LAK11" s="2"/>
      <c r="LAL11" s="2"/>
      <c r="LAM11" s="2"/>
      <c r="LAN11" s="2"/>
      <c r="LAO11" s="2"/>
      <c r="LAP11" s="2"/>
      <c r="LAQ11" s="2"/>
      <c r="LAR11" s="2"/>
      <c r="LAS11" s="2"/>
      <c r="LAT11" s="2"/>
      <c r="LAU11" s="2"/>
      <c r="LAV11" s="2"/>
      <c r="LAW11" s="2"/>
      <c r="LAX11" s="2"/>
      <c r="LAY11" s="2"/>
      <c r="LAZ11" s="2"/>
      <c r="LBA11" s="2"/>
      <c r="LBB11" s="2"/>
      <c r="LBC11" s="2"/>
      <c r="LBD11" s="2"/>
      <c r="LBE11" s="2"/>
      <c r="LBF11" s="2"/>
      <c r="LBG11" s="2"/>
      <c r="LBH11" s="2"/>
      <c r="LBI11" s="2"/>
      <c r="LBJ11" s="2"/>
      <c r="LBK11" s="2"/>
      <c r="LBL11" s="2"/>
      <c r="LBM11" s="2"/>
      <c r="LBN11" s="2"/>
      <c r="LBO11" s="2"/>
      <c r="LBP11" s="2"/>
      <c r="LBQ11" s="2"/>
      <c r="LBR11" s="2"/>
      <c r="LBS11" s="2"/>
      <c r="LBT11" s="2"/>
      <c r="LBU11" s="2"/>
      <c r="LBV11" s="2"/>
      <c r="LBW11" s="2"/>
      <c r="LBX11" s="2"/>
      <c r="LBY11" s="2"/>
      <c r="LBZ11" s="2"/>
      <c r="LCA11" s="2"/>
      <c r="LCB11" s="2"/>
      <c r="LCC11" s="2"/>
      <c r="LCD11" s="2"/>
      <c r="LCE11" s="2"/>
      <c r="LCF11" s="2"/>
      <c r="LCG11" s="2"/>
      <c r="LCH11" s="2"/>
      <c r="LCI11" s="2"/>
      <c r="LCJ11" s="2"/>
      <c r="LCK11" s="2"/>
      <c r="LCL11" s="2"/>
      <c r="LCM11" s="2"/>
      <c r="LCN11" s="2"/>
      <c r="LCO11" s="2"/>
      <c r="LCP11" s="2"/>
      <c r="LCQ11" s="2"/>
      <c r="LCR11" s="2"/>
      <c r="LCS11" s="2"/>
      <c r="LCT11" s="2"/>
      <c r="LCU11" s="2"/>
      <c r="LCV11" s="2"/>
      <c r="LCW11" s="2"/>
      <c r="LCX11" s="2"/>
      <c r="LCY11" s="2"/>
      <c r="LCZ11" s="2"/>
      <c r="LDA11" s="2"/>
      <c r="LDB11" s="2"/>
      <c r="LDC11" s="2"/>
      <c r="LDD11" s="2"/>
      <c r="LDE11" s="2"/>
      <c r="LDF11" s="2"/>
      <c r="LDG11" s="2"/>
      <c r="LDH11" s="2"/>
      <c r="LDI11" s="2"/>
      <c r="LDJ11" s="2"/>
      <c r="LDK11" s="2"/>
      <c r="LDL11" s="2"/>
      <c r="LDM11" s="2"/>
      <c r="LDN11" s="2"/>
      <c r="LDO11" s="2"/>
      <c r="LDP11" s="2"/>
      <c r="LDQ11" s="2"/>
      <c r="LDR11" s="2"/>
      <c r="LDS11" s="2"/>
      <c r="LDT11" s="2"/>
      <c r="LDU11" s="2"/>
      <c r="LDV11" s="2"/>
      <c r="LDW11" s="2"/>
      <c r="LDX11" s="2"/>
      <c r="LDY11" s="2"/>
      <c r="LDZ11" s="2"/>
      <c r="LEA11" s="2"/>
      <c r="LEB11" s="2"/>
      <c r="LEC11" s="2"/>
      <c r="LED11" s="2"/>
      <c r="LEE11" s="2"/>
      <c r="LEF11" s="2"/>
      <c r="LEG11" s="2"/>
      <c r="LEH11" s="2"/>
      <c r="LEI11" s="2"/>
      <c r="LEJ11" s="2"/>
      <c r="LEK11" s="2"/>
      <c r="LEL11" s="2"/>
      <c r="LEM11" s="2"/>
      <c r="LEN11" s="2"/>
      <c r="LEO11" s="2"/>
      <c r="LEP11" s="2"/>
      <c r="LEQ11" s="2"/>
      <c r="LER11" s="2"/>
      <c r="LES11" s="2"/>
      <c r="LET11" s="2"/>
      <c r="LEU11" s="2"/>
      <c r="LEV11" s="2"/>
      <c r="LEW11" s="2"/>
      <c r="LEX11" s="2"/>
      <c r="LEY11" s="2"/>
      <c r="LEZ11" s="2"/>
      <c r="LFA11" s="2"/>
      <c r="LFB11" s="2"/>
      <c r="LFC11" s="2"/>
      <c r="LFD11" s="2"/>
      <c r="LFE11" s="2"/>
      <c r="LFF11" s="2"/>
      <c r="LFG11" s="2"/>
      <c r="LFH11" s="2"/>
      <c r="LFI11" s="2"/>
      <c r="LFJ11" s="2"/>
      <c r="LFK11" s="2"/>
      <c r="LFL11" s="2"/>
      <c r="LFM11" s="2"/>
      <c r="LFN11" s="2"/>
      <c r="LFO11" s="2"/>
      <c r="LFP11" s="2"/>
      <c r="LFQ11" s="2"/>
      <c r="LFR11" s="2"/>
      <c r="LFS11" s="2"/>
      <c r="LFT11" s="2"/>
      <c r="LFU11" s="2"/>
      <c r="LFV11" s="2"/>
      <c r="LFW11" s="2"/>
      <c r="LFX11" s="2"/>
      <c r="LFY11" s="2"/>
      <c r="LFZ11" s="2"/>
      <c r="LGA11" s="2"/>
      <c r="LGB11" s="2"/>
      <c r="LGC11" s="2"/>
      <c r="LGD11" s="2"/>
      <c r="LGE11" s="2"/>
      <c r="LGF11" s="2"/>
      <c r="LGG11" s="2"/>
      <c r="LGH11" s="2"/>
      <c r="LGI11" s="2"/>
      <c r="LGJ11" s="2"/>
      <c r="LGK11" s="2"/>
      <c r="LGL11" s="2"/>
      <c r="LGM11" s="2"/>
      <c r="LGN11" s="2"/>
      <c r="LGO11" s="2"/>
      <c r="LGP11" s="2"/>
      <c r="LGQ11" s="2"/>
      <c r="LGR11" s="2"/>
      <c r="LGS11" s="2"/>
      <c r="LGT11" s="2"/>
      <c r="LGU11" s="2"/>
      <c r="LGV11" s="2"/>
      <c r="LGW11" s="2"/>
      <c r="LGX11" s="2"/>
      <c r="LGY11" s="2"/>
      <c r="LGZ11" s="2"/>
      <c r="LHA11" s="2"/>
      <c r="LHB11" s="2"/>
      <c r="LHC11" s="2"/>
      <c r="LHD11" s="2"/>
      <c r="LHE11" s="2"/>
      <c r="LHF11" s="2"/>
      <c r="LHG11" s="2"/>
      <c r="LHH11" s="2"/>
      <c r="LHI11" s="2"/>
      <c r="LHJ11" s="2"/>
      <c r="LHK11" s="2"/>
      <c r="LHL11" s="2"/>
      <c r="LHM11" s="2"/>
      <c r="LHN11" s="2"/>
      <c r="LHO11" s="2"/>
      <c r="LHP11" s="2"/>
      <c r="LHQ11" s="2"/>
      <c r="LHR11" s="2"/>
      <c r="LHS11" s="2"/>
      <c r="LHT11" s="2"/>
      <c r="LHU11" s="2"/>
      <c r="LHV11" s="2"/>
      <c r="LHW11" s="2"/>
      <c r="LHX11" s="2"/>
      <c r="LHY11" s="2"/>
      <c r="LHZ11" s="2"/>
      <c r="LIA11" s="2"/>
      <c r="LIB11" s="2"/>
      <c r="LIC11" s="2"/>
      <c r="LID11" s="2"/>
      <c r="LIE11" s="2"/>
      <c r="LIF11" s="2"/>
      <c r="LIG11" s="2"/>
      <c r="LIH11" s="2"/>
      <c r="LII11" s="2"/>
      <c r="LIJ11" s="2"/>
      <c r="LIK11" s="2"/>
      <c r="LIL11" s="2"/>
      <c r="LIM11" s="2"/>
      <c r="LIN11" s="2"/>
      <c r="LIO11" s="2"/>
      <c r="LIP11" s="2"/>
      <c r="LIQ11" s="2"/>
      <c r="LIR11" s="2"/>
      <c r="LIS11" s="2"/>
      <c r="LIT11" s="2"/>
      <c r="LIU11" s="2"/>
      <c r="LIV11" s="2"/>
      <c r="LIW11" s="2"/>
      <c r="LIX11" s="2"/>
      <c r="LIY11" s="2"/>
      <c r="LIZ11" s="2"/>
      <c r="LJA11" s="2"/>
      <c r="LJB11" s="2"/>
      <c r="LJC11" s="2"/>
      <c r="LJD11" s="2"/>
      <c r="LJE11" s="2"/>
      <c r="LJF11" s="2"/>
      <c r="LJG11" s="2"/>
      <c r="LJH11" s="2"/>
      <c r="LJI11" s="2"/>
      <c r="LJJ11" s="2"/>
      <c r="LJK11" s="2"/>
      <c r="LJL11" s="2"/>
      <c r="LJM11" s="2"/>
      <c r="LJN11" s="2"/>
      <c r="LJO11" s="2"/>
      <c r="LJP11" s="2"/>
      <c r="LJQ11" s="2"/>
      <c r="LJR11" s="2"/>
      <c r="LJS11" s="2"/>
      <c r="LJT11" s="2"/>
      <c r="LJU11" s="2"/>
      <c r="LJV11" s="2"/>
      <c r="LJW11" s="2"/>
      <c r="LJX11" s="2"/>
      <c r="LJY11" s="2"/>
      <c r="LJZ11" s="2"/>
      <c r="LKA11" s="2"/>
      <c r="LKB11" s="2"/>
      <c r="LKC11" s="2"/>
      <c r="LKD11" s="2"/>
      <c r="LKE11" s="2"/>
      <c r="LKF11" s="2"/>
      <c r="LKG11" s="2"/>
      <c r="LKH11" s="2"/>
      <c r="LKI11" s="2"/>
      <c r="LKJ11" s="2"/>
      <c r="LKK11" s="2"/>
      <c r="LKL11" s="2"/>
      <c r="LKM11" s="2"/>
      <c r="LKN11" s="2"/>
      <c r="LKO11" s="2"/>
      <c r="LKP11" s="2"/>
      <c r="LKQ11" s="2"/>
      <c r="LKR11" s="2"/>
      <c r="LKS11" s="2"/>
      <c r="LKT11" s="2"/>
      <c r="LKU11" s="2"/>
      <c r="LKV11" s="2"/>
      <c r="LKW11" s="2"/>
      <c r="LKX11" s="2"/>
      <c r="LKY11" s="2"/>
      <c r="LKZ11" s="2"/>
      <c r="LLA11" s="2"/>
      <c r="LLB11" s="2"/>
      <c r="LLC11" s="2"/>
      <c r="LLD11" s="2"/>
      <c r="LLE11" s="2"/>
      <c r="LLF11" s="2"/>
      <c r="LLG11" s="2"/>
      <c r="LLH11" s="2"/>
      <c r="LLI11" s="2"/>
      <c r="LLJ11" s="2"/>
      <c r="LLK11" s="2"/>
      <c r="LLL11" s="2"/>
      <c r="LLM11" s="2"/>
      <c r="LLN11" s="2"/>
      <c r="LLO11" s="2"/>
      <c r="LLP11" s="2"/>
      <c r="LLQ11" s="2"/>
      <c r="LLR11" s="2"/>
      <c r="LLS11" s="2"/>
      <c r="LLT11" s="2"/>
      <c r="LLU11" s="2"/>
      <c r="LLV11" s="2"/>
      <c r="LLW11" s="2"/>
      <c r="LLX11" s="2"/>
      <c r="LLY11" s="2"/>
      <c r="LLZ11" s="2"/>
      <c r="LMA11" s="2"/>
      <c r="LMB11" s="2"/>
      <c r="LMC11" s="2"/>
      <c r="LMD11" s="2"/>
      <c r="LME11" s="2"/>
      <c r="LMF11" s="2"/>
      <c r="LMG11" s="2"/>
      <c r="LMH11" s="2"/>
      <c r="LMI11" s="2"/>
      <c r="LMJ11" s="2"/>
      <c r="LMK11" s="2"/>
      <c r="LML11" s="2"/>
      <c r="LMM11" s="2"/>
      <c r="LMN11" s="2"/>
      <c r="LMO11" s="2"/>
      <c r="LMP11" s="2"/>
      <c r="LMQ11" s="2"/>
      <c r="LMR11" s="2"/>
      <c r="LMS11" s="2"/>
      <c r="LMT11" s="2"/>
      <c r="LMU11" s="2"/>
      <c r="LMV11" s="2"/>
      <c r="LMW11" s="2"/>
      <c r="LMX11" s="2"/>
      <c r="LMY11" s="2"/>
      <c r="LMZ11" s="2"/>
      <c r="LNA11" s="2"/>
      <c r="LNB11" s="2"/>
      <c r="LNC11" s="2"/>
      <c r="LND11" s="2"/>
      <c r="LNE11" s="2"/>
      <c r="LNF11" s="2"/>
      <c r="LNG11" s="2"/>
      <c r="LNH11" s="2"/>
      <c r="LNI11" s="2"/>
      <c r="LNJ11" s="2"/>
      <c r="LNK11" s="2"/>
      <c r="LNL11" s="2"/>
      <c r="LNM11" s="2"/>
      <c r="LNN11" s="2"/>
      <c r="LNO11" s="2"/>
      <c r="LNP11" s="2"/>
      <c r="LNQ11" s="2"/>
      <c r="LNR11" s="2"/>
      <c r="LNS11" s="2"/>
      <c r="LNT11" s="2"/>
      <c r="LNU11" s="2"/>
      <c r="LNV11" s="2"/>
      <c r="LNW11" s="2"/>
      <c r="LNX11" s="2"/>
      <c r="LNY11" s="2"/>
      <c r="LNZ11" s="2"/>
      <c r="LOA11" s="2"/>
      <c r="LOB11" s="2"/>
      <c r="LOC11" s="2"/>
      <c r="LOD11" s="2"/>
      <c r="LOE11" s="2"/>
      <c r="LOF11" s="2"/>
      <c r="LOG11" s="2"/>
      <c r="LOH11" s="2"/>
      <c r="LOI11" s="2"/>
      <c r="LOJ11" s="2"/>
      <c r="LOK11" s="2"/>
      <c r="LOL11" s="2"/>
      <c r="LOM11" s="2"/>
      <c r="LON11" s="2"/>
      <c r="LOO11" s="2"/>
      <c r="LOP11" s="2"/>
      <c r="LOQ11" s="2"/>
      <c r="LOR11" s="2"/>
      <c r="LOS11" s="2"/>
      <c r="LOT11" s="2"/>
      <c r="LOU11" s="2"/>
      <c r="LOV11" s="2"/>
      <c r="LOW11" s="2"/>
      <c r="LOX11" s="2"/>
      <c r="LOY11" s="2"/>
      <c r="LOZ11" s="2"/>
      <c r="LPA11" s="2"/>
      <c r="LPB11" s="2"/>
      <c r="LPC11" s="2"/>
      <c r="LPD11" s="2"/>
      <c r="LPE11" s="2"/>
      <c r="LPF11" s="2"/>
      <c r="LPG11" s="2"/>
      <c r="LPH11" s="2"/>
      <c r="LPI11" s="2"/>
      <c r="LPJ11" s="2"/>
      <c r="LPK11" s="2"/>
      <c r="LPL11" s="2"/>
      <c r="LPM11" s="2"/>
      <c r="LPN11" s="2"/>
      <c r="LPO11" s="2"/>
      <c r="LPP11" s="2"/>
      <c r="LPQ11" s="2"/>
      <c r="LPR11" s="2"/>
      <c r="LPS11" s="2"/>
      <c r="LPT11" s="2"/>
      <c r="LPU11" s="2"/>
      <c r="LPV11" s="2"/>
      <c r="LPW11" s="2"/>
      <c r="LPX11" s="2"/>
      <c r="LPY11" s="2"/>
      <c r="LPZ11" s="2"/>
      <c r="LQA11" s="2"/>
      <c r="LQB11" s="2"/>
      <c r="LQC11" s="2"/>
      <c r="LQD11" s="2"/>
      <c r="LQE11" s="2"/>
      <c r="LQF11" s="2"/>
      <c r="LQG11" s="2"/>
      <c r="LQH11" s="2"/>
      <c r="LQI11" s="2"/>
      <c r="LQJ11" s="2"/>
      <c r="LQK11" s="2"/>
      <c r="LQL11" s="2"/>
      <c r="LQM11" s="2"/>
      <c r="LQN11" s="2"/>
      <c r="LQO11" s="2"/>
      <c r="LQP11" s="2"/>
      <c r="LQQ11" s="2"/>
      <c r="LQR11" s="2"/>
      <c r="LQS11" s="2"/>
      <c r="LQT11" s="2"/>
      <c r="LQU11" s="2"/>
      <c r="LQV11" s="2"/>
      <c r="LQW11" s="2"/>
      <c r="LQX11" s="2"/>
      <c r="LQY11" s="2"/>
      <c r="LQZ11" s="2"/>
      <c r="LRA11" s="2"/>
      <c r="LRB11" s="2"/>
      <c r="LRC11" s="2"/>
      <c r="LRD11" s="2"/>
      <c r="LRE11" s="2"/>
      <c r="LRF11" s="2"/>
      <c r="LRG11" s="2"/>
      <c r="LRH11" s="2"/>
      <c r="LRI11" s="2"/>
      <c r="LRJ11" s="2"/>
      <c r="LRK11" s="2"/>
      <c r="LRL11" s="2"/>
      <c r="LRM11" s="2"/>
      <c r="LRN11" s="2"/>
      <c r="LRO11" s="2"/>
      <c r="LRP11" s="2"/>
      <c r="LRQ11" s="2"/>
      <c r="LRR11" s="2"/>
      <c r="LRS11" s="2"/>
      <c r="LRT11" s="2"/>
      <c r="LRU11" s="2"/>
      <c r="LRV11" s="2"/>
      <c r="LRW11" s="2"/>
      <c r="LRX11" s="2"/>
      <c r="LRY11" s="2"/>
      <c r="LRZ11" s="2"/>
      <c r="LSA11" s="2"/>
      <c r="LSB11" s="2"/>
      <c r="LSC11" s="2"/>
      <c r="LSD11" s="2"/>
      <c r="LSE11" s="2"/>
      <c r="LSF11" s="2"/>
      <c r="LSG11" s="2"/>
      <c r="LSH11" s="2"/>
      <c r="LSI11" s="2"/>
      <c r="LSJ11" s="2"/>
      <c r="LSK11" s="2"/>
      <c r="LSL11" s="2"/>
      <c r="LSM11" s="2"/>
      <c r="LSN11" s="2"/>
      <c r="LSO11" s="2"/>
      <c r="LSP11" s="2"/>
      <c r="LSQ11" s="2"/>
      <c r="LSR11" s="2"/>
      <c r="LSS11" s="2"/>
      <c r="LST11" s="2"/>
      <c r="LSU11" s="2"/>
      <c r="LSV11" s="2"/>
      <c r="LSW11" s="2"/>
      <c r="LSX11" s="2"/>
      <c r="LSY11" s="2"/>
      <c r="LSZ11" s="2"/>
      <c r="LTA11" s="2"/>
      <c r="LTB11" s="2"/>
      <c r="LTC11" s="2"/>
      <c r="LTD11" s="2"/>
      <c r="LTE11" s="2"/>
      <c r="LTF11" s="2"/>
      <c r="LTG11" s="2"/>
      <c r="LTH11" s="2"/>
      <c r="LTI11" s="2"/>
      <c r="LTJ11" s="2"/>
      <c r="LTK11" s="2"/>
      <c r="LTL11" s="2"/>
      <c r="LTM11" s="2"/>
      <c r="LTN11" s="2"/>
      <c r="LTO11" s="2"/>
      <c r="LTP11" s="2"/>
      <c r="LTQ11" s="2"/>
      <c r="LTR11" s="2"/>
      <c r="LTS11" s="2"/>
      <c r="LTT11" s="2"/>
      <c r="LTU11" s="2"/>
      <c r="LTV11" s="2"/>
      <c r="LTW11" s="2"/>
      <c r="LTX11" s="2"/>
      <c r="LTY11" s="2"/>
      <c r="LTZ11" s="2"/>
      <c r="LUA11" s="2"/>
      <c r="LUB11" s="2"/>
      <c r="LUC11" s="2"/>
      <c r="LUD11" s="2"/>
      <c r="LUE11" s="2"/>
      <c r="LUF11" s="2"/>
      <c r="LUG11" s="2"/>
      <c r="LUH11" s="2"/>
      <c r="LUI11" s="2"/>
      <c r="LUJ11" s="2"/>
      <c r="LUK11" s="2"/>
      <c r="LUL11" s="2"/>
      <c r="LUM11" s="2"/>
      <c r="LUN11" s="2"/>
      <c r="LUO11" s="2"/>
      <c r="LUP11" s="2"/>
      <c r="LUQ11" s="2"/>
      <c r="LUR11" s="2"/>
      <c r="LUS11" s="2"/>
      <c r="LUT11" s="2"/>
      <c r="LUU11" s="2"/>
      <c r="LUV11" s="2"/>
      <c r="LUW11" s="2"/>
      <c r="LUX11" s="2"/>
      <c r="LUY11" s="2"/>
      <c r="LUZ11" s="2"/>
      <c r="LVA11" s="2"/>
      <c r="LVB11" s="2"/>
      <c r="LVC11" s="2"/>
      <c r="LVD11" s="2"/>
      <c r="LVE11" s="2"/>
      <c r="LVF11" s="2"/>
      <c r="LVG11" s="2"/>
      <c r="LVH11" s="2"/>
      <c r="LVI11" s="2"/>
      <c r="LVJ11" s="2"/>
      <c r="LVK11" s="2"/>
      <c r="LVL11" s="2"/>
      <c r="LVM11" s="2"/>
      <c r="LVN11" s="2"/>
      <c r="LVO11" s="2"/>
      <c r="LVP11" s="2"/>
      <c r="LVQ11" s="2"/>
      <c r="LVR11" s="2"/>
      <c r="LVS11" s="2"/>
      <c r="LVT11" s="2"/>
      <c r="LVU11" s="2"/>
      <c r="LVV11" s="2"/>
      <c r="LVW11" s="2"/>
      <c r="LVX11" s="2"/>
      <c r="LVY11" s="2"/>
      <c r="LVZ11" s="2"/>
      <c r="LWA11" s="2"/>
      <c r="LWB11" s="2"/>
      <c r="LWC11" s="2"/>
      <c r="LWD11" s="2"/>
      <c r="LWE11" s="2"/>
      <c r="LWF11" s="2"/>
      <c r="LWG11" s="2"/>
      <c r="LWH11" s="2"/>
      <c r="LWI11" s="2"/>
      <c r="LWJ11" s="2"/>
      <c r="LWK11" s="2"/>
      <c r="LWL11" s="2"/>
      <c r="LWM11" s="2"/>
      <c r="LWN11" s="2"/>
      <c r="LWO11" s="2"/>
      <c r="LWP11" s="2"/>
      <c r="LWQ11" s="2"/>
      <c r="LWR11" s="2"/>
      <c r="LWS11" s="2"/>
      <c r="LWT11" s="2"/>
      <c r="LWU11" s="2"/>
      <c r="LWV11" s="2"/>
      <c r="LWW11" s="2"/>
      <c r="LWX11" s="2"/>
      <c r="LWY11" s="2"/>
      <c r="LWZ11" s="2"/>
      <c r="LXA11" s="2"/>
      <c r="LXB11" s="2"/>
      <c r="LXC11" s="2"/>
      <c r="LXD11" s="2"/>
      <c r="LXE11" s="2"/>
      <c r="LXF11" s="2"/>
      <c r="LXG11" s="2"/>
      <c r="LXH11" s="2"/>
      <c r="LXI11" s="2"/>
      <c r="LXJ11" s="2"/>
      <c r="LXK11" s="2"/>
      <c r="LXL11" s="2"/>
      <c r="LXM11" s="2"/>
      <c r="LXN11" s="2"/>
      <c r="LXO11" s="2"/>
      <c r="LXP11" s="2"/>
      <c r="LXQ11" s="2"/>
      <c r="LXR11" s="2"/>
      <c r="LXS11" s="2"/>
      <c r="LXT11" s="2"/>
      <c r="LXU11" s="2"/>
      <c r="LXV11" s="2"/>
      <c r="LXW11" s="2"/>
      <c r="LXX11" s="2"/>
      <c r="LXY11" s="2"/>
      <c r="LXZ11" s="2"/>
      <c r="LYA11" s="2"/>
      <c r="LYB11" s="2"/>
      <c r="LYC11" s="2"/>
      <c r="LYD11" s="2"/>
      <c r="LYE11" s="2"/>
      <c r="LYF11" s="2"/>
      <c r="LYG11" s="2"/>
      <c r="LYH11" s="2"/>
      <c r="LYI11" s="2"/>
      <c r="LYJ11" s="2"/>
      <c r="LYK11" s="2"/>
      <c r="LYL11" s="2"/>
      <c r="LYM11" s="2"/>
      <c r="LYN11" s="2"/>
      <c r="LYO11" s="2"/>
      <c r="LYP11" s="2"/>
      <c r="LYQ11" s="2"/>
      <c r="LYR11" s="2"/>
      <c r="LYS11" s="2"/>
      <c r="LYT11" s="2"/>
      <c r="LYU11" s="2"/>
      <c r="LYV11" s="2"/>
      <c r="LYW11" s="2"/>
      <c r="LYX11" s="2"/>
      <c r="LYY11" s="2"/>
      <c r="LYZ11" s="2"/>
      <c r="LZA11" s="2"/>
      <c r="LZB11" s="2"/>
      <c r="LZC11" s="2"/>
      <c r="LZD11" s="2"/>
      <c r="LZE11" s="2"/>
      <c r="LZF11" s="2"/>
      <c r="LZG11" s="2"/>
      <c r="LZH11" s="2"/>
      <c r="LZI11" s="2"/>
      <c r="LZJ11" s="2"/>
      <c r="LZK11" s="2"/>
      <c r="LZL11" s="2"/>
      <c r="LZM11" s="2"/>
      <c r="LZN11" s="2"/>
      <c r="LZO11" s="2"/>
      <c r="LZP11" s="2"/>
      <c r="LZQ11" s="2"/>
      <c r="LZR11" s="2"/>
      <c r="LZS11" s="2"/>
      <c r="LZT11" s="2"/>
      <c r="LZU11" s="2"/>
      <c r="LZV11" s="2"/>
      <c r="LZW11" s="2"/>
      <c r="LZX11" s="2"/>
      <c r="LZY11" s="2"/>
      <c r="LZZ11" s="2"/>
      <c r="MAA11" s="2"/>
      <c r="MAB11" s="2"/>
      <c r="MAC11" s="2"/>
      <c r="MAD11" s="2"/>
      <c r="MAE11" s="2"/>
      <c r="MAF11" s="2"/>
      <c r="MAG11" s="2"/>
      <c r="MAH11" s="2"/>
      <c r="MAI11" s="2"/>
      <c r="MAJ11" s="2"/>
      <c r="MAK11" s="2"/>
      <c r="MAL11" s="2"/>
      <c r="MAM11" s="2"/>
      <c r="MAN11" s="2"/>
      <c r="MAO11" s="2"/>
      <c r="MAP11" s="2"/>
      <c r="MAQ11" s="2"/>
      <c r="MAR11" s="2"/>
      <c r="MAS11" s="2"/>
      <c r="MAT11" s="2"/>
      <c r="MAU11" s="2"/>
      <c r="MAV11" s="2"/>
      <c r="MAW11" s="2"/>
      <c r="MAX11" s="2"/>
      <c r="MAY11" s="2"/>
      <c r="MAZ11" s="2"/>
      <c r="MBA11" s="2"/>
      <c r="MBB11" s="2"/>
      <c r="MBC11" s="2"/>
      <c r="MBD11" s="2"/>
      <c r="MBE11" s="2"/>
      <c r="MBF11" s="2"/>
      <c r="MBG11" s="2"/>
      <c r="MBH11" s="2"/>
      <c r="MBI11" s="2"/>
      <c r="MBJ11" s="2"/>
      <c r="MBK11" s="2"/>
      <c r="MBL11" s="2"/>
      <c r="MBM11" s="2"/>
      <c r="MBN11" s="2"/>
      <c r="MBO11" s="2"/>
      <c r="MBP11" s="2"/>
      <c r="MBQ11" s="2"/>
      <c r="MBR11" s="2"/>
      <c r="MBS11" s="2"/>
      <c r="MBT11" s="2"/>
      <c r="MBU11" s="2"/>
      <c r="MBV11" s="2"/>
      <c r="MBW11" s="2"/>
      <c r="MBX11" s="2"/>
      <c r="MBY11" s="2"/>
      <c r="MBZ11" s="2"/>
      <c r="MCA11" s="2"/>
      <c r="MCB11" s="2"/>
      <c r="MCC11" s="2"/>
      <c r="MCD11" s="2"/>
      <c r="MCE11" s="2"/>
      <c r="MCF11" s="2"/>
      <c r="MCG11" s="2"/>
      <c r="MCH11" s="2"/>
      <c r="MCI11" s="2"/>
      <c r="MCJ11" s="2"/>
      <c r="MCK11" s="2"/>
      <c r="MCL11" s="2"/>
      <c r="MCM11" s="2"/>
      <c r="MCN11" s="2"/>
      <c r="MCO11" s="2"/>
      <c r="MCP11" s="2"/>
      <c r="MCQ11" s="2"/>
      <c r="MCR11" s="2"/>
      <c r="MCS11" s="2"/>
      <c r="MCT11" s="2"/>
      <c r="MCU11" s="2"/>
      <c r="MCV11" s="2"/>
      <c r="MCW11" s="2"/>
      <c r="MCX11" s="2"/>
      <c r="MCY11" s="2"/>
      <c r="MCZ11" s="2"/>
      <c r="MDA11" s="2"/>
      <c r="MDB11" s="2"/>
      <c r="MDC11" s="2"/>
      <c r="MDD11" s="2"/>
      <c r="MDE11" s="2"/>
      <c r="MDF11" s="2"/>
      <c r="MDG11" s="2"/>
      <c r="MDH11" s="2"/>
      <c r="MDI11" s="2"/>
      <c r="MDJ11" s="2"/>
      <c r="MDK11" s="2"/>
      <c r="MDL11" s="2"/>
      <c r="MDM11" s="2"/>
      <c r="MDN11" s="2"/>
      <c r="MDO11" s="2"/>
      <c r="MDP11" s="2"/>
      <c r="MDQ11" s="2"/>
      <c r="MDR11" s="2"/>
      <c r="MDS11" s="2"/>
      <c r="MDT11" s="2"/>
      <c r="MDU11" s="2"/>
      <c r="MDV11" s="2"/>
      <c r="MDW11" s="2"/>
      <c r="MDX11" s="2"/>
      <c r="MDY11" s="2"/>
      <c r="MDZ11" s="2"/>
      <c r="MEA11" s="2"/>
      <c r="MEB11" s="2"/>
      <c r="MEC11" s="2"/>
      <c r="MED11" s="2"/>
      <c r="MEE11" s="2"/>
      <c r="MEF11" s="2"/>
      <c r="MEG11" s="2"/>
      <c r="MEH11" s="2"/>
      <c r="MEI11" s="2"/>
      <c r="MEJ11" s="2"/>
      <c r="MEK11" s="2"/>
      <c r="MEL11" s="2"/>
      <c r="MEM11" s="2"/>
      <c r="MEN11" s="2"/>
      <c r="MEO11" s="2"/>
      <c r="MEP11" s="2"/>
      <c r="MEQ11" s="2"/>
      <c r="MER11" s="2"/>
      <c r="MES11" s="2"/>
      <c r="MET11" s="2"/>
      <c r="MEU11" s="2"/>
      <c r="MEV11" s="2"/>
      <c r="MEW11" s="2"/>
      <c r="MEX11" s="2"/>
      <c r="MEY11" s="2"/>
      <c r="MEZ11" s="2"/>
      <c r="MFA11" s="2"/>
      <c r="MFB11" s="2"/>
      <c r="MFC11" s="2"/>
      <c r="MFD11" s="2"/>
      <c r="MFE11" s="2"/>
      <c r="MFF11" s="2"/>
      <c r="MFG11" s="2"/>
      <c r="MFH11" s="2"/>
      <c r="MFI11" s="2"/>
      <c r="MFJ11" s="2"/>
      <c r="MFK11" s="2"/>
      <c r="MFL11" s="2"/>
      <c r="MFM11" s="2"/>
      <c r="MFN11" s="2"/>
      <c r="MFO11" s="2"/>
      <c r="MFP11" s="2"/>
      <c r="MFQ11" s="2"/>
      <c r="MFR11" s="2"/>
      <c r="MFS11" s="2"/>
      <c r="MFT11" s="2"/>
      <c r="MFU11" s="2"/>
      <c r="MFV11" s="2"/>
      <c r="MFW11" s="2"/>
      <c r="MFX11" s="2"/>
      <c r="MFY11" s="2"/>
      <c r="MFZ11" s="2"/>
      <c r="MGA11" s="2"/>
      <c r="MGB11" s="2"/>
      <c r="MGC11" s="2"/>
      <c r="MGD11" s="2"/>
      <c r="MGE11" s="2"/>
      <c r="MGF11" s="2"/>
      <c r="MGG11" s="2"/>
      <c r="MGH11" s="2"/>
      <c r="MGI11" s="2"/>
      <c r="MGJ11" s="2"/>
      <c r="MGK11" s="2"/>
      <c r="MGL11" s="2"/>
      <c r="MGM11" s="2"/>
      <c r="MGN11" s="2"/>
      <c r="MGO11" s="2"/>
      <c r="MGP11" s="2"/>
      <c r="MGQ11" s="2"/>
      <c r="MGR11" s="2"/>
      <c r="MGS11" s="2"/>
      <c r="MGT11" s="2"/>
      <c r="MGU11" s="2"/>
      <c r="MGV11" s="2"/>
      <c r="MGW11" s="2"/>
      <c r="MGX11" s="2"/>
      <c r="MGY11" s="2"/>
      <c r="MGZ11" s="2"/>
      <c r="MHA11" s="2"/>
      <c r="MHB11" s="2"/>
      <c r="MHC11" s="2"/>
      <c r="MHD11" s="2"/>
      <c r="MHE11" s="2"/>
      <c r="MHF11" s="2"/>
      <c r="MHG11" s="2"/>
      <c r="MHH11" s="2"/>
      <c r="MHI11" s="2"/>
      <c r="MHJ11" s="2"/>
      <c r="MHK11" s="2"/>
      <c r="MHL11" s="2"/>
      <c r="MHM11" s="2"/>
      <c r="MHN11" s="2"/>
      <c r="MHO11" s="2"/>
      <c r="MHP11" s="2"/>
      <c r="MHQ11" s="2"/>
      <c r="MHR11" s="2"/>
      <c r="MHS11" s="2"/>
      <c r="MHT11" s="2"/>
      <c r="MHU11" s="2"/>
      <c r="MHV11" s="2"/>
      <c r="MHW11" s="2"/>
      <c r="MHX11" s="2"/>
      <c r="MHY11" s="2"/>
      <c r="MHZ11" s="2"/>
      <c r="MIA11" s="2"/>
      <c r="MIB11" s="2"/>
      <c r="MIC11" s="2"/>
      <c r="MID11" s="2"/>
      <c r="MIE11" s="2"/>
      <c r="MIF11" s="2"/>
      <c r="MIG11" s="2"/>
      <c r="MIH11" s="2"/>
      <c r="MII11" s="2"/>
      <c r="MIJ11" s="2"/>
      <c r="MIK11" s="2"/>
      <c r="MIL11" s="2"/>
      <c r="MIM11" s="2"/>
      <c r="MIN11" s="2"/>
      <c r="MIO11" s="2"/>
      <c r="MIP11" s="2"/>
      <c r="MIQ11" s="2"/>
      <c r="MIR11" s="2"/>
      <c r="MIS11" s="2"/>
      <c r="MIT11" s="2"/>
      <c r="MIU11" s="2"/>
      <c r="MIV11" s="2"/>
      <c r="MIW11" s="2"/>
      <c r="MIX11" s="2"/>
      <c r="MIY11" s="2"/>
      <c r="MIZ11" s="2"/>
      <c r="MJA11" s="2"/>
      <c r="MJB11" s="2"/>
      <c r="MJC11" s="2"/>
      <c r="MJD11" s="2"/>
      <c r="MJE11" s="2"/>
      <c r="MJF11" s="2"/>
      <c r="MJG11" s="2"/>
      <c r="MJH11" s="2"/>
      <c r="MJI11" s="2"/>
      <c r="MJJ11" s="2"/>
      <c r="MJK11" s="2"/>
      <c r="MJL11" s="2"/>
      <c r="MJM11" s="2"/>
      <c r="MJN11" s="2"/>
      <c r="MJO11" s="2"/>
      <c r="MJP11" s="2"/>
      <c r="MJQ11" s="2"/>
      <c r="MJR11" s="2"/>
      <c r="MJS11" s="2"/>
      <c r="MJT11" s="2"/>
      <c r="MJU11" s="2"/>
      <c r="MJV11" s="2"/>
      <c r="MJW11" s="2"/>
      <c r="MJX11" s="2"/>
      <c r="MJY11" s="2"/>
      <c r="MJZ11" s="2"/>
      <c r="MKA11" s="2"/>
      <c r="MKB11" s="2"/>
      <c r="MKC11" s="2"/>
      <c r="MKD11" s="2"/>
      <c r="MKE11" s="2"/>
      <c r="MKF11" s="2"/>
      <c r="MKG11" s="2"/>
      <c r="MKH11" s="2"/>
      <c r="MKI11" s="2"/>
      <c r="MKJ11" s="2"/>
      <c r="MKK11" s="2"/>
      <c r="MKL11" s="2"/>
      <c r="MKM11" s="2"/>
      <c r="MKN11" s="2"/>
      <c r="MKO11" s="2"/>
      <c r="MKP11" s="2"/>
      <c r="MKQ11" s="2"/>
      <c r="MKR11" s="2"/>
      <c r="MKS11" s="2"/>
      <c r="MKT11" s="2"/>
      <c r="MKU11" s="2"/>
      <c r="MKV11" s="2"/>
      <c r="MKW11" s="2"/>
      <c r="MKX11" s="2"/>
      <c r="MKY11" s="2"/>
      <c r="MKZ11" s="2"/>
      <c r="MLA11" s="2"/>
      <c r="MLB11" s="2"/>
      <c r="MLC11" s="2"/>
      <c r="MLD11" s="2"/>
      <c r="MLE11" s="2"/>
      <c r="MLF11" s="2"/>
      <c r="MLG11" s="2"/>
      <c r="MLH11" s="2"/>
      <c r="MLI11" s="2"/>
      <c r="MLJ11" s="2"/>
      <c r="MLK11" s="2"/>
      <c r="MLL11" s="2"/>
      <c r="MLM11" s="2"/>
      <c r="MLN11" s="2"/>
      <c r="MLO11" s="2"/>
      <c r="MLP11" s="2"/>
      <c r="MLQ11" s="2"/>
      <c r="MLR11" s="2"/>
      <c r="MLS11" s="2"/>
      <c r="MLT11" s="2"/>
      <c r="MLU11" s="2"/>
      <c r="MLV11" s="2"/>
      <c r="MLW11" s="2"/>
      <c r="MLX11" s="2"/>
      <c r="MLY11" s="2"/>
      <c r="MLZ11" s="2"/>
      <c r="MMA11" s="2"/>
      <c r="MMB11" s="2"/>
      <c r="MMC11" s="2"/>
      <c r="MMD11" s="2"/>
      <c r="MME11" s="2"/>
      <c r="MMF11" s="2"/>
      <c r="MMG11" s="2"/>
      <c r="MMH11" s="2"/>
      <c r="MMI11" s="2"/>
      <c r="MMJ11" s="2"/>
      <c r="MMK11" s="2"/>
      <c r="MML11" s="2"/>
      <c r="MMM11" s="2"/>
      <c r="MMN11" s="2"/>
      <c r="MMO11" s="2"/>
      <c r="MMP11" s="2"/>
      <c r="MMQ11" s="2"/>
      <c r="MMR11" s="2"/>
      <c r="MMS11" s="2"/>
      <c r="MMT11" s="2"/>
      <c r="MMU11" s="2"/>
      <c r="MMV11" s="2"/>
      <c r="MMW11" s="2"/>
      <c r="MMX11" s="2"/>
      <c r="MMY11" s="2"/>
      <c r="MMZ11" s="2"/>
      <c r="MNA11" s="2"/>
      <c r="MNB11" s="2"/>
      <c r="MNC11" s="2"/>
      <c r="MND11" s="2"/>
      <c r="MNE11" s="2"/>
      <c r="MNF11" s="2"/>
      <c r="MNG11" s="2"/>
      <c r="MNH11" s="2"/>
      <c r="MNI11" s="2"/>
      <c r="MNJ11" s="2"/>
      <c r="MNK11" s="2"/>
      <c r="MNL11" s="2"/>
      <c r="MNM11" s="2"/>
      <c r="MNN11" s="2"/>
      <c r="MNO11" s="2"/>
      <c r="MNP11" s="2"/>
      <c r="MNQ11" s="2"/>
      <c r="MNR11" s="2"/>
      <c r="MNS11" s="2"/>
      <c r="MNT11" s="2"/>
      <c r="MNU11" s="2"/>
      <c r="MNV11" s="2"/>
      <c r="MNW11" s="2"/>
      <c r="MNX11" s="2"/>
      <c r="MNY11" s="2"/>
      <c r="MNZ11" s="2"/>
      <c r="MOA11" s="2"/>
      <c r="MOB11" s="2"/>
      <c r="MOC11" s="2"/>
      <c r="MOD11" s="2"/>
      <c r="MOE11" s="2"/>
      <c r="MOF11" s="2"/>
      <c r="MOG11" s="2"/>
      <c r="MOH11" s="2"/>
      <c r="MOI11" s="2"/>
      <c r="MOJ11" s="2"/>
      <c r="MOK11" s="2"/>
      <c r="MOL11" s="2"/>
      <c r="MOM11" s="2"/>
      <c r="MON11" s="2"/>
      <c r="MOO11" s="2"/>
      <c r="MOP11" s="2"/>
      <c r="MOQ11" s="2"/>
      <c r="MOR11" s="2"/>
      <c r="MOS11" s="2"/>
      <c r="MOT11" s="2"/>
      <c r="MOU11" s="2"/>
      <c r="MOV11" s="2"/>
      <c r="MOW11" s="2"/>
      <c r="MOX11" s="2"/>
      <c r="MOY11" s="2"/>
      <c r="MOZ11" s="2"/>
      <c r="MPA11" s="2"/>
      <c r="MPB11" s="2"/>
      <c r="MPC11" s="2"/>
      <c r="MPD11" s="2"/>
      <c r="MPE11" s="2"/>
      <c r="MPF11" s="2"/>
      <c r="MPG11" s="2"/>
      <c r="MPH11" s="2"/>
      <c r="MPI11" s="2"/>
      <c r="MPJ11" s="2"/>
      <c r="MPK11" s="2"/>
      <c r="MPL11" s="2"/>
      <c r="MPM11" s="2"/>
      <c r="MPN11" s="2"/>
      <c r="MPO11" s="2"/>
      <c r="MPP11" s="2"/>
      <c r="MPQ11" s="2"/>
      <c r="MPR11" s="2"/>
      <c r="MPS11" s="2"/>
      <c r="MPT11" s="2"/>
      <c r="MPU11" s="2"/>
      <c r="MPV11" s="2"/>
      <c r="MPW11" s="2"/>
      <c r="MPX11" s="2"/>
      <c r="MPY11" s="2"/>
      <c r="MPZ11" s="2"/>
      <c r="MQA11" s="2"/>
      <c r="MQB11" s="2"/>
      <c r="MQC11" s="2"/>
      <c r="MQD11" s="2"/>
      <c r="MQE11" s="2"/>
      <c r="MQF11" s="2"/>
      <c r="MQG11" s="2"/>
      <c r="MQH11" s="2"/>
      <c r="MQI11" s="2"/>
      <c r="MQJ11" s="2"/>
      <c r="MQK11" s="2"/>
      <c r="MQL11" s="2"/>
      <c r="MQM11" s="2"/>
      <c r="MQN11" s="2"/>
      <c r="MQO11" s="2"/>
      <c r="MQP11" s="2"/>
      <c r="MQQ11" s="2"/>
      <c r="MQR11" s="2"/>
      <c r="MQS11" s="2"/>
      <c r="MQT11" s="2"/>
      <c r="MQU11" s="2"/>
      <c r="MQV11" s="2"/>
      <c r="MQW11" s="2"/>
      <c r="MQX11" s="2"/>
      <c r="MQY11" s="2"/>
      <c r="MQZ11" s="2"/>
      <c r="MRA11" s="2"/>
      <c r="MRB11" s="2"/>
      <c r="MRC11" s="2"/>
      <c r="MRD11" s="2"/>
      <c r="MRE11" s="2"/>
      <c r="MRF11" s="2"/>
      <c r="MRG11" s="2"/>
      <c r="MRH11" s="2"/>
      <c r="MRI11" s="2"/>
      <c r="MRJ11" s="2"/>
      <c r="MRK11" s="2"/>
      <c r="MRL11" s="2"/>
      <c r="MRM11" s="2"/>
      <c r="MRN11" s="2"/>
      <c r="MRO11" s="2"/>
      <c r="MRP11" s="2"/>
      <c r="MRQ11" s="2"/>
      <c r="MRR11" s="2"/>
      <c r="MRS11" s="2"/>
      <c r="MRT11" s="2"/>
      <c r="MRU11" s="2"/>
      <c r="MRV11" s="2"/>
      <c r="MRW11" s="2"/>
      <c r="MRX11" s="2"/>
      <c r="MRY11" s="2"/>
      <c r="MRZ11" s="2"/>
      <c r="MSA11" s="2"/>
      <c r="MSB11" s="2"/>
      <c r="MSC11" s="2"/>
      <c r="MSD11" s="2"/>
      <c r="MSE11" s="2"/>
      <c r="MSF11" s="2"/>
      <c r="MSG11" s="2"/>
      <c r="MSH11" s="2"/>
      <c r="MSI11" s="2"/>
      <c r="MSJ11" s="2"/>
      <c r="MSK11" s="2"/>
      <c r="MSL11" s="2"/>
      <c r="MSM11" s="2"/>
      <c r="MSN11" s="2"/>
      <c r="MSO11" s="2"/>
      <c r="MSP11" s="2"/>
      <c r="MSQ11" s="2"/>
      <c r="MSR11" s="2"/>
      <c r="MSS11" s="2"/>
      <c r="MST11" s="2"/>
      <c r="MSU11" s="2"/>
      <c r="MSV11" s="2"/>
      <c r="MSW11" s="2"/>
      <c r="MSX11" s="2"/>
      <c r="MSY11" s="2"/>
      <c r="MSZ11" s="2"/>
      <c r="MTA11" s="2"/>
      <c r="MTB11" s="2"/>
      <c r="MTC11" s="2"/>
      <c r="MTD11" s="2"/>
      <c r="MTE11" s="2"/>
      <c r="MTF11" s="2"/>
      <c r="MTG11" s="2"/>
      <c r="MTH11" s="2"/>
      <c r="MTI11" s="2"/>
      <c r="MTJ11" s="2"/>
      <c r="MTK11" s="2"/>
      <c r="MTL11" s="2"/>
      <c r="MTM11" s="2"/>
      <c r="MTN11" s="2"/>
      <c r="MTO11" s="2"/>
      <c r="MTP11" s="2"/>
      <c r="MTQ11" s="2"/>
      <c r="MTR11" s="2"/>
      <c r="MTS11" s="2"/>
      <c r="MTT11" s="2"/>
      <c r="MTU11" s="2"/>
      <c r="MTV11" s="2"/>
      <c r="MTW11" s="2"/>
      <c r="MTX11" s="2"/>
      <c r="MTY11" s="2"/>
      <c r="MTZ11" s="2"/>
      <c r="MUA11" s="2"/>
      <c r="MUB11" s="2"/>
      <c r="MUC11" s="2"/>
      <c r="MUD11" s="2"/>
      <c r="MUE11" s="2"/>
      <c r="MUF11" s="2"/>
      <c r="MUG11" s="2"/>
      <c r="MUH11" s="2"/>
      <c r="MUI11" s="2"/>
      <c r="MUJ11" s="2"/>
      <c r="MUK11" s="2"/>
      <c r="MUL11" s="2"/>
      <c r="MUM11" s="2"/>
      <c r="MUN11" s="2"/>
      <c r="MUO11" s="2"/>
      <c r="MUP11" s="2"/>
      <c r="MUQ11" s="2"/>
      <c r="MUR11" s="2"/>
      <c r="MUS11" s="2"/>
      <c r="MUT11" s="2"/>
      <c r="MUU11" s="2"/>
      <c r="MUV11" s="2"/>
      <c r="MUW11" s="2"/>
      <c r="MUX11" s="2"/>
      <c r="MUY11" s="2"/>
      <c r="MUZ11" s="2"/>
      <c r="MVA11" s="2"/>
      <c r="MVB11" s="2"/>
      <c r="MVC11" s="2"/>
      <c r="MVD11" s="2"/>
      <c r="MVE11" s="2"/>
      <c r="MVF11" s="2"/>
      <c r="MVG11" s="2"/>
      <c r="MVH11" s="2"/>
      <c r="MVI11" s="2"/>
      <c r="MVJ11" s="2"/>
      <c r="MVK11" s="2"/>
      <c r="MVL11" s="2"/>
      <c r="MVM11" s="2"/>
      <c r="MVN11" s="2"/>
      <c r="MVO11" s="2"/>
      <c r="MVP11" s="2"/>
      <c r="MVQ11" s="2"/>
      <c r="MVR11" s="2"/>
      <c r="MVS11" s="2"/>
      <c r="MVT11" s="2"/>
      <c r="MVU11" s="2"/>
      <c r="MVV11" s="2"/>
      <c r="MVW11" s="2"/>
      <c r="MVX11" s="2"/>
      <c r="MVY11" s="2"/>
      <c r="MVZ11" s="2"/>
      <c r="MWA11" s="2"/>
      <c r="MWB11" s="2"/>
      <c r="MWC11" s="2"/>
      <c r="MWD11" s="2"/>
      <c r="MWE11" s="2"/>
      <c r="MWF11" s="2"/>
      <c r="MWG11" s="2"/>
      <c r="MWH11" s="2"/>
      <c r="MWI11" s="2"/>
      <c r="MWJ11" s="2"/>
      <c r="MWK11" s="2"/>
      <c r="MWL11" s="2"/>
      <c r="MWM11" s="2"/>
      <c r="MWN11" s="2"/>
      <c r="MWO11" s="2"/>
      <c r="MWP11" s="2"/>
      <c r="MWQ11" s="2"/>
      <c r="MWR11" s="2"/>
      <c r="MWS11" s="2"/>
      <c r="MWT11" s="2"/>
      <c r="MWU11" s="2"/>
      <c r="MWV11" s="2"/>
      <c r="MWW11" s="2"/>
      <c r="MWX11" s="2"/>
      <c r="MWY11" s="2"/>
      <c r="MWZ11" s="2"/>
      <c r="MXA11" s="2"/>
      <c r="MXB11" s="2"/>
      <c r="MXC11" s="2"/>
      <c r="MXD11" s="2"/>
      <c r="MXE11" s="2"/>
      <c r="MXF11" s="2"/>
      <c r="MXG11" s="2"/>
      <c r="MXH11" s="2"/>
      <c r="MXI11" s="2"/>
      <c r="MXJ11" s="2"/>
      <c r="MXK11" s="2"/>
      <c r="MXL11" s="2"/>
      <c r="MXM11" s="2"/>
      <c r="MXN11" s="2"/>
      <c r="MXO11" s="2"/>
      <c r="MXP11" s="2"/>
      <c r="MXQ11" s="2"/>
      <c r="MXR11" s="2"/>
      <c r="MXS11" s="2"/>
      <c r="MXT11" s="2"/>
      <c r="MXU11" s="2"/>
      <c r="MXV11" s="2"/>
      <c r="MXW11" s="2"/>
      <c r="MXX11" s="2"/>
      <c r="MXY11" s="2"/>
      <c r="MXZ11" s="2"/>
      <c r="MYA11" s="2"/>
      <c r="MYB11" s="2"/>
      <c r="MYC11" s="2"/>
      <c r="MYD11" s="2"/>
      <c r="MYE11" s="2"/>
      <c r="MYF11" s="2"/>
      <c r="MYG11" s="2"/>
      <c r="MYH11" s="2"/>
      <c r="MYI11" s="2"/>
      <c r="MYJ11" s="2"/>
      <c r="MYK11" s="2"/>
      <c r="MYL11" s="2"/>
      <c r="MYM11" s="2"/>
      <c r="MYN11" s="2"/>
      <c r="MYO11" s="2"/>
      <c r="MYP11" s="2"/>
      <c r="MYQ11" s="2"/>
      <c r="MYR11" s="2"/>
      <c r="MYS11" s="2"/>
      <c r="MYT11" s="2"/>
      <c r="MYU11" s="2"/>
      <c r="MYV11" s="2"/>
      <c r="MYW11" s="2"/>
      <c r="MYX11" s="2"/>
      <c r="MYY11" s="2"/>
      <c r="MYZ11" s="2"/>
      <c r="MZA11" s="2"/>
      <c r="MZB11" s="2"/>
      <c r="MZC11" s="2"/>
      <c r="MZD11" s="2"/>
      <c r="MZE11" s="2"/>
      <c r="MZF11" s="2"/>
      <c r="MZG11" s="2"/>
      <c r="MZH11" s="2"/>
      <c r="MZI11" s="2"/>
      <c r="MZJ11" s="2"/>
      <c r="MZK11" s="2"/>
      <c r="MZL11" s="2"/>
      <c r="MZM11" s="2"/>
      <c r="MZN11" s="2"/>
      <c r="MZO11" s="2"/>
      <c r="MZP11" s="2"/>
      <c r="MZQ11" s="2"/>
      <c r="MZR11" s="2"/>
      <c r="MZS11" s="2"/>
      <c r="MZT11" s="2"/>
      <c r="MZU11" s="2"/>
      <c r="MZV11" s="2"/>
      <c r="MZW11" s="2"/>
      <c r="MZX11" s="2"/>
      <c r="MZY11" s="2"/>
      <c r="MZZ11" s="2"/>
      <c r="NAA11" s="2"/>
      <c r="NAB11" s="2"/>
      <c r="NAC11" s="2"/>
      <c r="NAD11" s="2"/>
      <c r="NAE11" s="2"/>
      <c r="NAF11" s="2"/>
      <c r="NAG11" s="2"/>
      <c r="NAH11" s="2"/>
      <c r="NAI11" s="2"/>
      <c r="NAJ11" s="2"/>
      <c r="NAK11" s="2"/>
      <c r="NAL11" s="2"/>
      <c r="NAM11" s="2"/>
      <c r="NAN11" s="2"/>
      <c r="NAO11" s="2"/>
      <c r="NAP11" s="2"/>
      <c r="NAQ11" s="2"/>
      <c r="NAR11" s="2"/>
      <c r="NAS11" s="2"/>
      <c r="NAT11" s="2"/>
      <c r="NAU11" s="2"/>
      <c r="NAV11" s="2"/>
      <c r="NAW11" s="2"/>
      <c r="NAX11" s="2"/>
      <c r="NAY11" s="2"/>
      <c r="NAZ11" s="2"/>
      <c r="NBA11" s="2"/>
      <c r="NBB11" s="2"/>
      <c r="NBC11" s="2"/>
      <c r="NBD11" s="2"/>
      <c r="NBE11" s="2"/>
      <c r="NBF11" s="2"/>
      <c r="NBG11" s="2"/>
      <c r="NBH11" s="2"/>
      <c r="NBI11" s="2"/>
      <c r="NBJ11" s="2"/>
      <c r="NBK11" s="2"/>
      <c r="NBL11" s="2"/>
      <c r="NBM11" s="2"/>
      <c r="NBN11" s="2"/>
      <c r="NBO11" s="2"/>
      <c r="NBP11" s="2"/>
      <c r="NBQ11" s="2"/>
      <c r="NBR11" s="2"/>
      <c r="NBS11" s="2"/>
      <c r="NBT11" s="2"/>
      <c r="NBU11" s="2"/>
      <c r="NBV11" s="2"/>
      <c r="NBW11" s="2"/>
      <c r="NBX11" s="2"/>
      <c r="NBY11" s="2"/>
      <c r="NBZ11" s="2"/>
      <c r="NCA11" s="2"/>
      <c r="NCB11" s="2"/>
      <c r="NCC11" s="2"/>
      <c r="NCD11" s="2"/>
      <c r="NCE11" s="2"/>
      <c r="NCF11" s="2"/>
      <c r="NCG11" s="2"/>
      <c r="NCH11" s="2"/>
      <c r="NCI11" s="2"/>
      <c r="NCJ11" s="2"/>
      <c r="NCK11" s="2"/>
      <c r="NCL11" s="2"/>
      <c r="NCM11" s="2"/>
      <c r="NCN11" s="2"/>
      <c r="NCO11" s="2"/>
      <c r="NCP11" s="2"/>
      <c r="NCQ11" s="2"/>
      <c r="NCR11" s="2"/>
      <c r="NCS11" s="2"/>
      <c r="NCT11" s="2"/>
      <c r="NCU11" s="2"/>
      <c r="NCV11" s="2"/>
      <c r="NCW11" s="2"/>
      <c r="NCX11" s="2"/>
      <c r="NCY11" s="2"/>
      <c r="NCZ11" s="2"/>
      <c r="NDA11" s="2"/>
      <c r="NDB11" s="2"/>
      <c r="NDC11" s="2"/>
      <c r="NDD11" s="2"/>
      <c r="NDE11" s="2"/>
      <c r="NDF11" s="2"/>
      <c r="NDG11" s="2"/>
      <c r="NDH11" s="2"/>
      <c r="NDI11" s="2"/>
      <c r="NDJ11" s="2"/>
      <c r="NDK11" s="2"/>
      <c r="NDL11" s="2"/>
      <c r="NDM11" s="2"/>
      <c r="NDN11" s="2"/>
      <c r="NDO11" s="2"/>
      <c r="NDP11" s="2"/>
      <c r="NDQ11" s="2"/>
      <c r="NDR11" s="2"/>
      <c r="NDS11" s="2"/>
      <c r="NDT11" s="2"/>
      <c r="NDU11" s="2"/>
      <c r="NDV11" s="2"/>
      <c r="NDW11" s="2"/>
      <c r="NDX11" s="2"/>
      <c r="NDY11" s="2"/>
      <c r="NDZ11" s="2"/>
      <c r="NEA11" s="2"/>
      <c r="NEB11" s="2"/>
      <c r="NEC11" s="2"/>
      <c r="NED11" s="2"/>
      <c r="NEE11" s="2"/>
      <c r="NEF11" s="2"/>
      <c r="NEG11" s="2"/>
      <c r="NEH11" s="2"/>
      <c r="NEI11" s="2"/>
      <c r="NEJ11" s="2"/>
      <c r="NEK11" s="2"/>
      <c r="NEL11" s="2"/>
      <c r="NEM11" s="2"/>
      <c r="NEN11" s="2"/>
      <c r="NEO11" s="2"/>
      <c r="NEP11" s="2"/>
      <c r="NEQ11" s="2"/>
      <c r="NER11" s="2"/>
      <c r="NES11" s="2"/>
      <c r="NET11" s="2"/>
      <c r="NEU11" s="2"/>
      <c r="NEV11" s="2"/>
      <c r="NEW11" s="2"/>
      <c r="NEX11" s="2"/>
      <c r="NEY11" s="2"/>
      <c r="NEZ11" s="2"/>
      <c r="NFA11" s="2"/>
      <c r="NFB11" s="2"/>
      <c r="NFC11" s="2"/>
      <c r="NFD11" s="2"/>
      <c r="NFE11" s="2"/>
      <c r="NFF11" s="2"/>
      <c r="NFG11" s="2"/>
      <c r="NFH11" s="2"/>
      <c r="NFI11" s="2"/>
      <c r="NFJ11" s="2"/>
      <c r="NFK11" s="2"/>
      <c r="NFL11" s="2"/>
      <c r="NFM11" s="2"/>
      <c r="NFN11" s="2"/>
      <c r="NFO11" s="2"/>
      <c r="NFP11" s="2"/>
      <c r="NFQ11" s="2"/>
      <c r="NFR11" s="2"/>
      <c r="NFS11" s="2"/>
      <c r="NFT11" s="2"/>
      <c r="NFU11" s="2"/>
      <c r="NFV11" s="2"/>
      <c r="NFW11" s="2"/>
      <c r="NFX11" s="2"/>
      <c r="NFY11" s="2"/>
      <c r="NFZ11" s="2"/>
      <c r="NGA11" s="2"/>
      <c r="NGB11" s="2"/>
      <c r="NGC11" s="2"/>
      <c r="NGD11" s="2"/>
      <c r="NGE11" s="2"/>
      <c r="NGF11" s="2"/>
      <c r="NGG11" s="2"/>
      <c r="NGH11" s="2"/>
      <c r="NGI11" s="2"/>
      <c r="NGJ11" s="2"/>
      <c r="NGK11" s="2"/>
      <c r="NGL11" s="2"/>
      <c r="NGM11" s="2"/>
      <c r="NGN11" s="2"/>
      <c r="NGO11" s="2"/>
      <c r="NGP11" s="2"/>
      <c r="NGQ11" s="2"/>
      <c r="NGR11" s="2"/>
      <c r="NGS11" s="2"/>
      <c r="NGT11" s="2"/>
      <c r="NGU11" s="2"/>
      <c r="NGV11" s="2"/>
      <c r="NGW11" s="2"/>
      <c r="NGX11" s="2"/>
      <c r="NGY11" s="2"/>
      <c r="NGZ11" s="2"/>
      <c r="NHA11" s="2"/>
      <c r="NHB11" s="2"/>
      <c r="NHC11" s="2"/>
      <c r="NHD11" s="2"/>
      <c r="NHE11" s="2"/>
      <c r="NHF11" s="2"/>
      <c r="NHG11" s="2"/>
      <c r="NHH11" s="2"/>
      <c r="NHI11" s="2"/>
      <c r="NHJ11" s="2"/>
      <c r="NHK11" s="2"/>
      <c r="NHL11" s="2"/>
      <c r="NHM11" s="2"/>
      <c r="NHN11" s="2"/>
      <c r="NHO11" s="2"/>
      <c r="NHP11" s="2"/>
      <c r="NHQ11" s="2"/>
      <c r="NHR11" s="2"/>
      <c r="NHS11" s="2"/>
      <c r="NHT11" s="2"/>
      <c r="NHU11" s="2"/>
      <c r="NHV11" s="2"/>
      <c r="NHW11" s="2"/>
      <c r="NHX11" s="2"/>
      <c r="NHY11" s="2"/>
      <c r="NHZ11" s="2"/>
      <c r="NIA11" s="2"/>
      <c r="NIB11" s="2"/>
      <c r="NIC11" s="2"/>
      <c r="NID11" s="2"/>
      <c r="NIE11" s="2"/>
      <c r="NIF11" s="2"/>
      <c r="NIG11" s="2"/>
      <c r="NIH11" s="2"/>
      <c r="NII11" s="2"/>
      <c r="NIJ11" s="2"/>
      <c r="NIK11" s="2"/>
      <c r="NIL11" s="2"/>
      <c r="NIM11" s="2"/>
      <c r="NIN11" s="2"/>
      <c r="NIO11" s="2"/>
      <c r="NIP11" s="2"/>
      <c r="NIQ11" s="2"/>
      <c r="NIR11" s="2"/>
      <c r="NIS11" s="2"/>
      <c r="NIT11" s="2"/>
      <c r="NIU11" s="2"/>
      <c r="NIV11" s="2"/>
      <c r="NIW11" s="2"/>
      <c r="NIX11" s="2"/>
      <c r="NIY11" s="2"/>
      <c r="NIZ11" s="2"/>
      <c r="NJA11" s="2"/>
      <c r="NJB11" s="2"/>
      <c r="NJC11" s="2"/>
      <c r="NJD11" s="2"/>
      <c r="NJE11" s="2"/>
      <c r="NJF11" s="2"/>
      <c r="NJG11" s="2"/>
      <c r="NJH11" s="2"/>
      <c r="NJI11" s="2"/>
      <c r="NJJ11" s="2"/>
      <c r="NJK11" s="2"/>
      <c r="NJL11" s="2"/>
      <c r="NJM11" s="2"/>
      <c r="NJN11" s="2"/>
      <c r="NJO11" s="2"/>
      <c r="NJP11" s="2"/>
      <c r="NJQ11" s="2"/>
      <c r="NJR11" s="2"/>
      <c r="NJS11" s="2"/>
      <c r="NJT11" s="2"/>
      <c r="NJU11" s="2"/>
      <c r="NJV11" s="2"/>
      <c r="NJW11" s="2"/>
      <c r="NJX11" s="2"/>
      <c r="NJY11" s="2"/>
      <c r="NJZ11" s="2"/>
      <c r="NKA11" s="2"/>
      <c r="NKB11" s="2"/>
      <c r="NKC11" s="2"/>
      <c r="NKD11" s="2"/>
      <c r="NKE11" s="2"/>
      <c r="NKF11" s="2"/>
      <c r="NKG11" s="2"/>
      <c r="NKH11" s="2"/>
      <c r="NKI11" s="2"/>
      <c r="NKJ11" s="2"/>
      <c r="NKK11" s="2"/>
      <c r="NKL11" s="2"/>
      <c r="NKM11" s="2"/>
      <c r="NKN11" s="2"/>
      <c r="NKO11" s="2"/>
      <c r="NKP11" s="2"/>
      <c r="NKQ11" s="2"/>
      <c r="NKR11" s="2"/>
      <c r="NKS11" s="2"/>
      <c r="NKT11" s="2"/>
      <c r="NKU11" s="2"/>
      <c r="NKV11" s="2"/>
      <c r="NKW11" s="2"/>
      <c r="NKX11" s="2"/>
      <c r="NKY11" s="2"/>
      <c r="NKZ11" s="2"/>
      <c r="NLA11" s="2"/>
      <c r="NLB11" s="2"/>
      <c r="NLC11" s="2"/>
      <c r="NLD11" s="2"/>
      <c r="NLE11" s="2"/>
      <c r="NLF11" s="2"/>
      <c r="NLG11" s="2"/>
      <c r="NLH11" s="2"/>
      <c r="NLI11" s="2"/>
      <c r="NLJ11" s="2"/>
      <c r="NLK11" s="2"/>
      <c r="NLL11" s="2"/>
      <c r="NLM11" s="2"/>
      <c r="NLN11" s="2"/>
      <c r="NLO11" s="2"/>
      <c r="NLP11" s="2"/>
      <c r="NLQ11" s="2"/>
      <c r="NLR11" s="2"/>
      <c r="NLS11" s="2"/>
      <c r="NLT11" s="2"/>
      <c r="NLU11" s="2"/>
      <c r="NLV11" s="2"/>
      <c r="NLW11" s="2"/>
      <c r="NLX11" s="2"/>
      <c r="NLY11" s="2"/>
      <c r="NLZ11" s="2"/>
      <c r="NMA11" s="2"/>
      <c r="NMB11" s="2"/>
      <c r="NMC11" s="2"/>
      <c r="NMD11" s="2"/>
      <c r="NME11" s="2"/>
      <c r="NMF11" s="2"/>
      <c r="NMG11" s="2"/>
      <c r="NMH11" s="2"/>
      <c r="NMI11" s="2"/>
      <c r="NMJ11" s="2"/>
      <c r="NMK11" s="2"/>
      <c r="NML11" s="2"/>
      <c r="NMM11" s="2"/>
      <c r="NMN11" s="2"/>
      <c r="NMO11" s="2"/>
      <c r="NMP11" s="2"/>
      <c r="NMQ11" s="2"/>
      <c r="NMR11" s="2"/>
      <c r="NMS11" s="2"/>
      <c r="NMT11" s="2"/>
      <c r="NMU11" s="2"/>
      <c r="NMV11" s="2"/>
      <c r="NMW11" s="2"/>
      <c r="NMX11" s="2"/>
      <c r="NMY11" s="2"/>
      <c r="NMZ11" s="2"/>
      <c r="NNA11" s="2"/>
      <c r="NNB11" s="2"/>
      <c r="NNC11" s="2"/>
      <c r="NND11" s="2"/>
      <c r="NNE11" s="2"/>
      <c r="NNF11" s="2"/>
      <c r="NNG11" s="2"/>
      <c r="NNH11" s="2"/>
      <c r="NNI11" s="2"/>
      <c r="NNJ11" s="2"/>
      <c r="NNK11" s="2"/>
      <c r="NNL11" s="2"/>
      <c r="NNM11" s="2"/>
      <c r="NNN11" s="2"/>
      <c r="NNO11" s="2"/>
      <c r="NNP11" s="2"/>
      <c r="NNQ11" s="2"/>
      <c r="NNR11" s="2"/>
      <c r="NNS11" s="2"/>
      <c r="NNT11" s="2"/>
      <c r="NNU11" s="2"/>
      <c r="NNV11" s="2"/>
      <c r="NNW11" s="2"/>
      <c r="NNX11" s="2"/>
      <c r="NNY11" s="2"/>
      <c r="NNZ11" s="2"/>
      <c r="NOA11" s="2"/>
      <c r="NOB11" s="2"/>
      <c r="NOC11" s="2"/>
      <c r="NOD11" s="2"/>
      <c r="NOE11" s="2"/>
      <c r="NOF11" s="2"/>
      <c r="NOG11" s="2"/>
      <c r="NOH11" s="2"/>
      <c r="NOI11" s="2"/>
      <c r="NOJ11" s="2"/>
      <c r="NOK11" s="2"/>
      <c r="NOL11" s="2"/>
      <c r="NOM11" s="2"/>
      <c r="NON11" s="2"/>
      <c r="NOO11" s="2"/>
      <c r="NOP11" s="2"/>
      <c r="NOQ11" s="2"/>
      <c r="NOR11" s="2"/>
      <c r="NOS11" s="2"/>
      <c r="NOT11" s="2"/>
      <c r="NOU11" s="2"/>
      <c r="NOV11" s="2"/>
      <c r="NOW11" s="2"/>
      <c r="NOX11" s="2"/>
      <c r="NOY11" s="2"/>
      <c r="NOZ11" s="2"/>
      <c r="NPA11" s="2"/>
      <c r="NPB11" s="2"/>
      <c r="NPC11" s="2"/>
      <c r="NPD11" s="2"/>
      <c r="NPE11" s="2"/>
      <c r="NPF11" s="2"/>
      <c r="NPG11" s="2"/>
      <c r="NPH11" s="2"/>
      <c r="NPI11" s="2"/>
      <c r="NPJ11" s="2"/>
      <c r="NPK11" s="2"/>
      <c r="NPL11" s="2"/>
      <c r="NPM11" s="2"/>
      <c r="NPN11" s="2"/>
      <c r="NPO11" s="2"/>
      <c r="NPP11" s="2"/>
      <c r="NPQ11" s="2"/>
      <c r="NPR11" s="2"/>
      <c r="NPS11" s="2"/>
      <c r="NPT11" s="2"/>
      <c r="NPU11" s="2"/>
      <c r="NPV11" s="2"/>
      <c r="NPW11" s="2"/>
      <c r="NPX11" s="2"/>
      <c r="NPY11" s="2"/>
      <c r="NPZ11" s="2"/>
      <c r="NQA11" s="2"/>
      <c r="NQB11" s="2"/>
      <c r="NQC11" s="2"/>
      <c r="NQD11" s="2"/>
      <c r="NQE11" s="2"/>
      <c r="NQF11" s="2"/>
      <c r="NQG11" s="2"/>
      <c r="NQH11" s="2"/>
      <c r="NQI11" s="2"/>
      <c r="NQJ11" s="2"/>
      <c r="NQK11" s="2"/>
      <c r="NQL11" s="2"/>
      <c r="NQM11" s="2"/>
      <c r="NQN11" s="2"/>
      <c r="NQO11" s="2"/>
      <c r="NQP11" s="2"/>
      <c r="NQQ11" s="2"/>
      <c r="NQR11" s="2"/>
      <c r="NQS11" s="2"/>
      <c r="NQT11" s="2"/>
      <c r="NQU11" s="2"/>
      <c r="NQV11" s="2"/>
      <c r="NQW11" s="2"/>
      <c r="NQX11" s="2"/>
      <c r="NQY11" s="2"/>
      <c r="NQZ11" s="2"/>
      <c r="NRA11" s="2"/>
      <c r="NRB11" s="2"/>
      <c r="NRC11" s="2"/>
      <c r="NRD11" s="2"/>
      <c r="NRE11" s="2"/>
      <c r="NRF11" s="2"/>
      <c r="NRG11" s="2"/>
      <c r="NRH11" s="2"/>
      <c r="NRI11" s="2"/>
      <c r="NRJ11" s="2"/>
      <c r="NRK11" s="2"/>
      <c r="NRL11" s="2"/>
      <c r="NRM11" s="2"/>
      <c r="NRN11" s="2"/>
      <c r="NRO11" s="2"/>
      <c r="NRP11" s="2"/>
      <c r="NRQ11" s="2"/>
      <c r="NRR11" s="2"/>
      <c r="NRS11" s="2"/>
      <c r="NRT11" s="2"/>
      <c r="NRU11" s="2"/>
      <c r="NRV11" s="2"/>
      <c r="NRW11" s="2"/>
      <c r="NRX11" s="2"/>
      <c r="NRY11" s="2"/>
      <c r="NRZ11" s="2"/>
      <c r="NSA11" s="2"/>
      <c r="NSB11" s="2"/>
      <c r="NSC11" s="2"/>
      <c r="NSD11" s="2"/>
      <c r="NSE11" s="2"/>
      <c r="NSF11" s="2"/>
      <c r="NSG11" s="2"/>
      <c r="NSH11" s="2"/>
      <c r="NSI11" s="2"/>
      <c r="NSJ11" s="2"/>
      <c r="NSK11" s="2"/>
      <c r="NSL11" s="2"/>
      <c r="NSM11" s="2"/>
      <c r="NSN11" s="2"/>
      <c r="NSO11" s="2"/>
      <c r="NSP11" s="2"/>
      <c r="NSQ11" s="2"/>
      <c r="NSR11" s="2"/>
      <c r="NSS11" s="2"/>
      <c r="NST11" s="2"/>
      <c r="NSU11" s="2"/>
      <c r="NSV11" s="2"/>
      <c r="NSW11" s="2"/>
      <c r="NSX11" s="2"/>
      <c r="NSY11" s="2"/>
      <c r="NSZ11" s="2"/>
      <c r="NTA11" s="2"/>
      <c r="NTB11" s="2"/>
      <c r="NTC11" s="2"/>
      <c r="NTD11" s="2"/>
      <c r="NTE11" s="2"/>
      <c r="NTF11" s="2"/>
      <c r="NTG11" s="2"/>
      <c r="NTH11" s="2"/>
      <c r="NTI11" s="2"/>
      <c r="NTJ11" s="2"/>
      <c r="NTK11" s="2"/>
      <c r="NTL11" s="2"/>
      <c r="NTM11" s="2"/>
      <c r="NTN11" s="2"/>
      <c r="NTO11" s="2"/>
      <c r="NTP11" s="2"/>
      <c r="NTQ11" s="2"/>
      <c r="NTR11" s="2"/>
      <c r="NTS11" s="2"/>
      <c r="NTT11" s="2"/>
      <c r="NTU11" s="2"/>
      <c r="NTV11" s="2"/>
      <c r="NTW11" s="2"/>
      <c r="NTX11" s="2"/>
      <c r="NTY11" s="2"/>
      <c r="NTZ11" s="2"/>
      <c r="NUA11" s="2"/>
      <c r="NUB11" s="2"/>
      <c r="NUC11" s="2"/>
      <c r="NUD11" s="2"/>
      <c r="NUE11" s="2"/>
      <c r="NUF11" s="2"/>
      <c r="NUG11" s="2"/>
      <c r="NUH11" s="2"/>
      <c r="NUI11" s="2"/>
      <c r="NUJ11" s="2"/>
      <c r="NUK11" s="2"/>
      <c r="NUL11" s="2"/>
      <c r="NUM11" s="2"/>
      <c r="NUN11" s="2"/>
      <c r="NUO11" s="2"/>
      <c r="NUP11" s="2"/>
      <c r="NUQ11" s="2"/>
      <c r="NUR11" s="2"/>
      <c r="NUS11" s="2"/>
      <c r="NUT11" s="2"/>
      <c r="NUU11" s="2"/>
      <c r="NUV11" s="2"/>
      <c r="NUW11" s="2"/>
      <c r="NUX11" s="2"/>
      <c r="NUY11" s="2"/>
      <c r="NUZ11" s="2"/>
      <c r="NVA11" s="2"/>
      <c r="NVB11" s="2"/>
      <c r="NVC11" s="2"/>
      <c r="NVD11" s="2"/>
      <c r="NVE11" s="2"/>
      <c r="NVF11" s="2"/>
      <c r="NVG11" s="2"/>
      <c r="NVH11" s="2"/>
      <c r="NVI11" s="2"/>
      <c r="NVJ11" s="2"/>
      <c r="NVK11" s="2"/>
      <c r="NVL11" s="2"/>
      <c r="NVM11" s="2"/>
      <c r="NVN11" s="2"/>
      <c r="NVO11" s="2"/>
      <c r="NVP11" s="2"/>
      <c r="NVQ11" s="2"/>
      <c r="NVR11" s="2"/>
      <c r="NVS11" s="2"/>
      <c r="NVT11" s="2"/>
      <c r="NVU11" s="2"/>
      <c r="NVV11" s="2"/>
      <c r="NVW11" s="2"/>
      <c r="NVX11" s="2"/>
      <c r="NVY11" s="2"/>
      <c r="NVZ11" s="2"/>
      <c r="NWA11" s="2"/>
      <c r="NWB11" s="2"/>
      <c r="NWC11" s="2"/>
      <c r="NWD11" s="2"/>
      <c r="NWE11" s="2"/>
      <c r="NWF11" s="2"/>
      <c r="NWG11" s="2"/>
      <c r="NWH11" s="2"/>
      <c r="NWI11" s="2"/>
      <c r="NWJ11" s="2"/>
      <c r="NWK11" s="2"/>
      <c r="NWL11" s="2"/>
      <c r="NWM11" s="2"/>
      <c r="NWN11" s="2"/>
      <c r="NWO11" s="2"/>
      <c r="NWP11" s="2"/>
      <c r="NWQ11" s="2"/>
      <c r="NWR11" s="2"/>
      <c r="NWS11" s="2"/>
      <c r="NWT11" s="2"/>
      <c r="NWU11" s="2"/>
      <c r="NWV11" s="2"/>
      <c r="NWW11" s="2"/>
      <c r="NWX11" s="2"/>
      <c r="NWY11" s="2"/>
      <c r="NWZ11" s="2"/>
      <c r="NXA11" s="2"/>
      <c r="NXB11" s="2"/>
      <c r="NXC11" s="2"/>
      <c r="NXD11" s="2"/>
      <c r="NXE11" s="2"/>
      <c r="NXF11" s="2"/>
      <c r="NXG11" s="2"/>
      <c r="NXH11" s="2"/>
      <c r="NXI11" s="2"/>
      <c r="NXJ11" s="2"/>
      <c r="NXK11" s="2"/>
      <c r="NXL11" s="2"/>
      <c r="NXM11" s="2"/>
      <c r="NXN11" s="2"/>
      <c r="NXO11" s="2"/>
      <c r="NXP11" s="2"/>
      <c r="NXQ11" s="2"/>
      <c r="NXR11" s="2"/>
      <c r="NXS11" s="2"/>
      <c r="NXT11" s="2"/>
      <c r="NXU11" s="2"/>
      <c r="NXV11" s="2"/>
      <c r="NXW11" s="2"/>
      <c r="NXX11" s="2"/>
      <c r="NXY11" s="2"/>
      <c r="NXZ11" s="2"/>
      <c r="NYA11" s="2"/>
      <c r="NYB11" s="2"/>
      <c r="NYC11" s="2"/>
      <c r="NYD11" s="2"/>
      <c r="NYE11" s="2"/>
      <c r="NYF11" s="2"/>
      <c r="NYG11" s="2"/>
      <c r="NYH11" s="2"/>
      <c r="NYI11" s="2"/>
      <c r="NYJ11" s="2"/>
      <c r="NYK11" s="2"/>
      <c r="NYL11" s="2"/>
      <c r="NYM11" s="2"/>
      <c r="NYN11" s="2"/>
      <c r="NYO11" s="2"/>
      <c r="NYP11" s="2"/>
      <c r="NYQ11" s="2"/>
      <c r="NYR11" s="2"/>
      <c r="NYS11" s="2"/>
      <c r="NYT11" s="2"/>
      <c r="NYU11" s="2"/>
      <c r="NYV11" s="2"/>
      <c r="NYW11" s="2"/>
      <c r="NYX11" s="2"/>
      <c r="NYY11" s="2"/>
      <c r="NYZ11" s="2"/>
      <c r="NZA11" s="2"/>
      <c r="NZB11" s="2"/>
      <c r="NZC11" s="2"/>
      <c r="NZD11" s="2"/>
      <c r="NZE11" s="2"/>
      <c r="NZF11" s="2"/>
      <c r="NZG11" s="2"/>
      <c r="NZH11" s="2"/>
      <c r="NZI11" s="2"/>
      <c r="NZJ11" s="2"/>
      <c r="NZK11" s="2"/>
      <c r="NZL11" s="2"/>
      <c r="NZM11" s="2"/>
      <c r="NZN11" s="2"/>
      <c r="NZO11" s="2"/>
      <c r="NZP11" s="2"/>
      <c r="NZQ11" s="2"/>
      <c r="NZR11" s="2"/>
      <c r="NZS11" s="2"/>
      <c r="NZT11" s="2"/>
      <c r="NZU11" s="2"/>
      <c r="NZV11" s="2"/>
      <c r="NZW11" s="2"/>
      <c r="NZX11" s="2"/>
      <c r="NZY11" s="2"/>
      <c r="NZZ11" s="2"/>
      <c r="OAA11" s="2"/>
      <c r="OAB11" s="2"/>
      <c r="OAC11" s="2"/>
      <c r="OAD11" s="2"/>
      <c r="OAE11" s="2"/>
      <c r="OAF11" s="2"/>
      <c r="OAG11" s="2"/>
      <c r="OAH11" s="2"/>
      <c r="OAI11" s="2"/>
      <c r="OAJ11" s="2"/>
      <c r="OAK11" s="2"/>
      <c r="OAL11" s="2"/>
      <c r="OAM11" s="2"/>
      <c r="OAN11" s="2"/>
      <c r="OAO11" s="2"/>
      <c r="OAP11" s="2"/>
      <c r="OAQ11" s="2"/>
      <c r="OAR11" s="2"/>
      <c r="OAS11" s="2"/>
      <c r="OAT11" s="2"/>
      <c r="OAU11" s="2"/>
      <c r="OAV11" s="2"/>
      <c r="OAW11" s="2"/>
      <c r="OAX11" s="2"/>
      <c r="OAY11" s="2"/>
      <c r="OAZ11" s="2"/>
      <c r="OBA11" s="2"/>
      <c r="OBB11" s="2"/>
      <c r="OBC11" s="2"/>
      <c r="OBD11" s="2"/>
      <c r="OBE11" s="2"/>
      <c r="OBF11" s="2"/>
      <c r="OBG11" s="2"/>
      <c r="OBH11" s="2"/>
      <c r="OBI11" s="2"/>
      <c r="OBJ11" s="2"/>
      <c r="OBK11" s="2"/>
      <c r="OBL11" s="2"/>
      <c r="OBM11" s="2"/>
      <c r="OBN11" s="2"/>
      <c r="OBO11" s="2"/>
      <c r="OBP11" s="2"/>
      <c r="OBQ11" s="2"/>
      <c r="OBR11" s="2"/>
      <c r="OBS11" s="2"/>
      <c r="OBT11" s="2"/>
      <c r="OBU11" s="2"/>
      <c r="OBV11" s="2"/>
      <c r="OBW11" s="2"/>
      <c r="OBX11" s="2"/>
      <c r="OBY11" s="2"/>
      <c r="OBZ11" s="2"/>
      <c r="OCA11" s="2"/>
      <c r="OCB11" s="2"/>
      <c r="OCC11" s="2"/>
      <c r="OCD11" s="2"/>
      <c r="OCE11" s="2"/>
      <c r="OCF11" s="2"/>
      <c r="OCG11" s="2"/>
      <c r="OCH11" s="2"/>
      <c r="OCI11" s="2"/>
      <c r="OCJ11" s="2"/>
      <c r="OCK11" s="2"/>
      <c r="OCL11" s="2"/>
      <c r="OCM11" s="2"/>
      <c r="OCN11" s="2"/>
      <c r="OCO11" s="2"/>
      <c r="OCP11" s="2"/>
      <c r="OCQ11" s="2"/>
      <c r="OCR11" s="2"/>
      <c r="OCS11" s="2"/>
      <c r="OCT11" s="2"/>
      <c r="OCU11" s="2"/>
      <c r="OCV11" s="2"/>
      <c r="OCW11" s="2"/>
      <c r="OCX11" s="2"/>
      <c r="OCY11" s="2"/>
      <c r="OCZ11" s="2"/>
      <c r="ODA11" s="2"/>
      <c r="ODB11" s="2"/>
      <c r="ODC11" s="2"/>
      <c r="ODD11" s="2"/>
      <c r="ODE11" s="2"/>
      <c r="ODF11" s="2"/>
      <c r="ODG11" s="2"/>
      <c r="ODH11" s="2"/>
      <c r="ODI11" s="2"/>
      <c r="ODJ11" s="2"/>
      <c r="ODK11" s="2"/>
      <c r="ODL11" s="2"/>
      <c r="ODM11" s="2"/>
      <c r="ODN11" s="2"/>
      <c r="ODO11" s="2"/>
      <c r="ODP11" s="2"/>
      <c r="ODQ11" s="2"/>
      <c r="ODR11" s="2"/>
      <c r="ODS11" s="2"/>
      <c r="ODT11" s="2"/>
      <c r="ODU11" s="2"/>
      <c r="ODV11" s="2"/>
      <c r="ODW11" s="2"/>
      <c r="ODX11" s="2"/>
      <c r="ODY11" s="2"/>
      <c r="ODZ11" s="2"/>
      <c r="OEA11" s="2"/>
      <c r="OEB11" s="2"/>
      <c r="OEC11" s="2"/>
      <c r="OED11" s="2"/>
      <c r="OEE11" s="2"/>
      <c r="OEF11" s="2"/>
      <c r="OEG11" s="2"/>
      <c r="OEH11" s="2"/>
      <c r="OEI11" s="2"/>
      <c r="OEJ11" s="2"/>
      <c r="OEK11" s="2"/>
      <c r="OEL11" s="2"/>
      <c r="OEM11" s="2"/>
      <c r="OEN11" s="2"/>
      <c r="OEO11" s="2"/>
      <c r="OEP11" s="2"/>
      <c r="OEQ11" s="2"/>
      <c r="OER11" s="2"/>
      <c r="OES11" s="2"/>
      <c r="OET11" s="2"/>
      <c r="OEU11" s="2"/>
      <c r="OEV11" s="2"/>
      <c r="OEW11" s="2"/>
      <c r="OEX11" s="2"/>
      <c r="OEY11" s="2"/>
      <c r="OEZ11" s="2"/>
      <c r="OFA11" s="2"/>
      <c r="OFB11" s="2"/>
      <c r="OFC11" s="2"/>
      <c r="OFD11" s="2"/>
      <c r="OFE11" s="2"/>
      <c r="OFF11" s="2"/>
      <c r="OFG11" s="2"/>
      <c r="OFH11" s="2"/>
      <c r="OFI11" s="2"/>
      <c r="OFJ11" s="2"/>
      <c r="OFK11" s="2"/>
      <c r="OFL11" s="2"/>
      <c r="OFM11" s="2"/>
      <c r="OFN11" s="2"/>
      <c r="OFO11" s="2"/>
      <c r="OFP11" s="2"/>
      <c r="OFQ11" s="2"/>
      <c r="OFR11" s="2"/>
      <c r="OFS11" s="2"/>
      <c r="OFT11" s="2"/>
      <c r="OFU11" s="2"/>
      <c r="OFV11" s="2"/>
      <c r="OFW11" s="2"/>
      <c r="OFX11" s="2"/>
      <c r="OFY11" s="2"/>
      <c r="OFZ11" s="2"/>
      <c r="OGA11" s="2"/>
      <c r="OGB11" s="2"/>
      <c r="OGC11" s="2"/>
      <c r="OGD11" s="2"/>
      <c r="OGE11" s="2"/>
      <c r="OGF11" s="2"/>
      <c r="OGG11" s="2"/>
      <c r="OGH11" s="2"/>
      <c r="OGI11" s="2"/>
      <c r="OGJ11" s="2"/>
      <c r="OGK11" s="2"/>
      <c r="OGL11" s="2"/>
      <c r="OGM11" s="2"/>
      <c r="OGN11" s="2"/>
      <c r="OGO11" s="2"/>
      <c r="OGP11" s="2"/>
      <c r="OGQ11" s="2"/>
      <c r="OGR11" s="2"/>
      <c r="OGS11" s="2"/>
      <c r="OGT11" s="2"/>
      <c r="OGU11" s="2"/>
      <c r="OGV11" s="2"/>
      <c r="OGW11" s="2"/>
      <c r="OGX11" s="2"/>
      <c r="OGY11" s="2"/>
      <c r="OGZ11" s="2"/>
      <c r="OHA11" s="2"/>
      <c r="OHB11" s="2"/>
      <c r="OHC11" s="2"/>
      <c r="OHD11" s="2"/>
      <c r="OHE11" s="2"/>
      <c r="OHF11" s="2"/>
      <c r="OHG11" s="2"/>
      <c r="OHH11" s="2"/>
      <c r="OHI11" s="2"/>
      <c r="OHJ11" s="2"/>
      <c r="OHK11" s="2"/>
      <c r="OHL11" s="2"/>
      <c r="OHM11" s="2"/>
      <c r="OHN11" s="2"/>
      <c r="OHO11" s="2"/>
      <c r="OHP11" s="2"/>
      <c r="OHQ11" s="2"/>
      <c r="OHR11" s="2"/>
      <c r="OHS11" s="2"/>
      <c r="OHT11" s="2"/>
      <c r="OHU11" s="2"/>
      <c r="OHV11" s="2"/>
      <c r="OHW11" s="2"/>
      <c r="OHX11" s="2"/>
      <c r="OHY11" s="2"/>
      <c r="OHZ11" s="2"/>
      <c r="OIA11" s="2"/>
      <c r="OIB11" s="2"/>
      <c r="OIC11" s="2"/>
      <c r="OID11" s="2"/>
      <c r="OIE11" s="2"/>
      <c r="OIF11" s="2"/>
      <c r="OIG11" s="2"/>
      <c r="OIH11" s="2"/>
      <c r="OII11" s="2"/>
      <c r="OIJ11" s="2"/>
      <c r="OIK11" s="2"/>
      <c r="OIL11" s="2"/>
      <c r="OIM11" s="2"/>
      <c r="OIN11" s="2"/>
      <c r="OIO11" s="2"/>
      <c r="OIP11" s="2"/>
      <c r="OIQ11" s="2"/>
      <c r="OIR11" s="2"/>
      <c r="OIS11" s="2"/>
      <c r="OIT11" s="2"/>
      <c r="OIU11" s="2"/>
      <c r="OIV11" s="2"/>
      <c r="OIW11" s="2"/>
      <c r="OIX11" s="2"/>
      <c r="OIY11" s="2"/>
      <c r="OIZ11" s="2"/>
      <c r="OJA11" s="2"/>
      <c r="OJB11" s="2"/>
      <c r="OJC11" s="2"/>
      <c r="OJD11" s="2"/>
      <c r="OJE11" s="2"/>
      <c r="OJF11" s="2"/>
      <c r="OJG11" s="2"/>
      <c r="OJH11" s="2"/>
      <c r="OJI11" s="2"/>
      <c r="OJJ11" s="2"/>
      <c r="OJK11" s="2"/>
      <c r="OJL11" s="2"/>
      <c r="OJM11" s="2"/>
      <c r="OJN11" s="2"/>
      <c r="OJO11" s="2"/>
      <c r="OJP11" s="2"/>
      <c r="OJQ11" s="2"/>
      <c r="OJR11" s="2"/>
      <c r="OJS11" s="2"/>
      <c r="OJT11" s="2"/>
      <c r="OJU11" s="2"/>
      <c r="OJV11" s="2"/>
      <c r="OJW11" s="2"/>
      <c r="OJX11" s="2"/>
      <c r="OJY11" s="2"/>
      <c r="OJZ11" s="2"/>
      <c r="OKA11" s="2"/>
      <c r="OKB11" s="2"/>
      <c r="OKC11" s="2"/>
      <c r="OKD11" s="2"/>
      <c r="OKE11" s="2"/>
      <c r="OKF11" s="2"/>
      <c r="OKG11" s="2"/>
      <c r="OKH11" s="2"/>
      <c r="OKI11" s="2"/>
      <c r="OKJ11" s="2"/>
      <c r="OKK11" s="2"/>
      <c r="OKL11" s="2"/>
      <c r="OKM11" s="2"/>
      <c r="OKN11" s="2"/>
      <c r="OKO11" s="2"/>
      <c r="OKP11" s="2"/>
      <c r="OKQ11" s="2"/>
      <c r="OKR11" s="2"/>
      <c r="OKS11" s="2"/>
      <c r="OKT11" s="2"/>
      <c r="OKU11" s="2"/>
      <c r="OKV11" s="2"/>
      <c r="OKW11" s="2"/>
      <c r="OKX11" s="2"/>
      <c r="OKY11" s="2"/>
      <c r="OKZ11" s="2"/>
      <c r="OLA11" s="2"/>
      <c r="OLB11" s="2"/>
      <c r="OLC11" s="2"/>
      <c r="OLD11" s="2"/>
      <c r="OLE11" s="2"/>
      <c r="OLF11" s="2"/>
      <c r="OLG11" s="2"/>
      <c r="OLH11" s="2"/>
      <c r="OLI11" s="2"/>
      <c r="OLJ11" s="2"/>
      <c r="OLK11" s="2"/>
      <c r="OLL11" s="2"/>
      <c r="OLM11" s="2"/>
      <c r="OLN11" s="2"/>
      <c r="OLO11" s="2"/>
      <c r="OLP11" s="2"/>
      <c r="OLQ11" s="2"/>
      <c r="OLR11" s="2"/>
      <c r="OLS11" s="2"/>
      <c r="OLT11" s="2"/>
      <c r="OLU11" s="2"/>
      <c r="OLV11" s="2"/>
      <c r="OLW11" s="2"/>
      <c r="OLX11" s="2"/>
      <c r="OLY11" s="2"/>
      <c r="OLZ11" s="2"/>
      <c r="OMA11" s="2"/>
      <c r="OMB11" s="2"/>
      <c r="OMC11" s="2"/>
      <c r="OMD11" s="2"/>
      <c r="OME11" s="2"/>
      <c r="OMF11" s="2"/>
      <c r="OMG11" s="2"/>
      <c r="OMH11" s="2"/>
      <c r="OMI11" s="2"/>
      <c r="OMJ11" s="2"/>
      <c r="OMK11" s="2"/>
      <c r="OML11" s="2"/>
      <c r="OMM11" s="2"/>
      <c r="OMN11" s="2"/>
      <c r="OMO11" s="2"/>
      <c r="OMP11" s="2"/>
      <c r="OMQ11" s="2"/>
      <c r="OMR11" s="2"/>
      <c r="OMS11" s="2"/>
      <c r="OMT11" s="2"/>
      <c r="OMU11" s="2"/>
      <c r="OMV11" s="2"/>
      <c r="OMW11" s="2"/>
      <c r="OMX11" s="2"/>
      <c r="OMY11" s="2"/>
      <c r="OMZ11" s="2"/>
      <c r="ONA11" s="2"/>
      <c r="ONB11" s="2"/>
      <c r="ONC11" s="2"/>
      <c r="OND11" s="2"/>
      <c r="ONE11" s="2"/>
      <c r="ONF11" s="2"/>
      <c r="ONG11" s="2"/>
      <c r="ONH11" s="2"/>
      <c r="ONI11" s="2"/>
      <c r="ONJ11" s="2"/>
      <c r="ONK11" s="2"/>
      <c r="ONL11" s="2"/>
      <c r="ONM11" s="2"/>
      <c r="ONN11" s="2"/>
      <c r="ONO11" s="2"/>
      <c r="ONP11" s="2"/>
      <c r="ONQ11" s="2"/>
      <c r="ONR11" s="2"/>
      <c r="ONS11" s="2"/>
      <c r="ONT11" s="2"/>
      <c r="ONU11" s="2"/>
      <c r="ONV11" s="2"/>
      <c r="ONW11" s="2"/>
      <c r="ONX11" s="2"/>
      <c r="ONY11" s="2"/>
      <c r="ONZ11" s="2"/>
      <c r="OOA11" s="2"/>
      <c r="OOB11" s="2"/>
      <c r="OOC11" s="2"/>
      <c r="OOD11" s="2"/>
      <c r="OOE11" s="2"/>
      <c r="OOF11" s="2"/>
      <c r="OOG11" s="2"/>
      <c r="OOH11" s="2"/>
      <c r="OOI11" s="2"/>
      <c r="OOJ11" s="2"/>
      <c r="OOK11" s="2"/>
      <c r="OOL11" s="2"/>
      <c r="OOM11" s="2"/>
      <c r="OON11" s="2"/>
      <c r="OOO11" s="2"/>
      <c r="OOP11" s="2"/>
      <c r="OOQ11" s="2"/>
      <c r="OOR11" s="2"/>
      <c r="OOS11" s="2"/>
      <c r="OOT11" s="2"/>
      <c r="OOU11" s="2"/>
      <c r="OOV11" s="2"/>
      <c r="OOW11" s="2"/>
      <c r="OOX11" s="2"/>
      <c r="OOY11" s="2"/>
      <c r="OOZ11" s="2"/>
      <c r="OPA11" s="2"/>
      <c r="OPB11" s="2"/>
      <c r="OPC11" s="2"/>
      <c r="OPD11" s="2"/>
      <c r="OPE11" s="2"/>
      <c r="OPF11" s="2"/>
      <c r="OPG11" s="2"/>
      <c r="OPH11" s="2"/>
      <c r="OPI11" s="2"/>
      <c r="OPJ11" s="2"/>
      <c r="OPK11" s="2"/>
      <c r="OPL11" s="2"/>
      <c r="OPM11" s="2"/>
      <c r="OPN11" s="2"/>
      <c r="OPO11" s="2"/>
      <c r="OPP11" s="2"/>
      <c r="OPQ11" s="2"/>
      <c r="OPR11" s="2"/>
      <c r="OPS11" s="2"/>
      <c r="OPT11" s="2"/>
      <c r="OPU11" s="2"/>
      <c r="OPV11" s="2"/>
      <c r="OPW11" s="2"/>
      <c r="OPX11" s="2"/>
      <c r="OPY11" s="2"/>
      <c r="OPZ11" s="2"/>
      <c r="OQA11" s="2"/>
      <c r="OQB11" s="2"/>
      <c r="OQC11" s="2"/>
      <c r="OQD11" s="2"/>
      <c r="OQE11" s="2"/>
      <c r="OQF11" s="2"/>
      <c r="OQG11" s="2"/>
      <c r="OQH11" s="2"/>
      <c r="OQI11" s="2"/>
      <c r="OQJ11" s="2"/>
      <c r="OQK11" s="2"/>
      <c r="OQL11" s="2"/>
      <c r="OQM11" s="2"/>
      <c r="OQN11" s="2"/>
      <c r="OQO11" s="2"/>
      <c r="OQP11" s="2"/>
      <c r="OQQ11" s="2"/>
      <c r="OQR11" s="2"/>
      <c r="OQS11" s="2"/>
      <c r="OQT11" s="2"/>
      <c r="OQU11" s="2"/>
      <c r="OQV11" s="2"/>
      <c r="OQW11" s="2"/>
      <c r="OQX11" s="2"/>
      <c r="OQY11" s="2"/>
      <c r="OQZ11" s="2"/>
      <c r="ORA11" s="2"/>
      <c r="ORB11" s="2"/>
      <c r="ORC11" s="2"/>
      <c r="ORD11" s="2"/>
      <c r="ORE11" s="2"/>
      <c r="ORF11" s="2"/>
      <c r="ORG11" s="2"/>
      <c r="ORH11" s="2"/>
      <c r="ORI11" s="2"/>
      <c r="ORJ11" s="2"/>
      <c r="ORK11" s="2"/>
      <c r="ORL11" s="2"/>
      <c r="ORM11" s="2"/>
      <c r="ORN11" s="2"/>
      <c r="ORO11" s="2"/>
      <c r="ORP11" s="2"/>
      <c r="ORQ11" s="2"/>
      <c r="ORR11" s="2"/>
      <c r="ORS11" s="2"/>
      <c r="ORT11" s="2"/>
      <c r="ORU11" s="2"/>
      <c r="ORV11" s="2"/>
      <c r="ORW11" s="2"/>
      <c r="ORX11" s="2"/>
      <c r="ORY11" s="2"/>
      <c r="ORZ11" s="2"/>
      <c r="OSA11" s="2"/>
      <c r="OSB11" s="2"/>
      <c r="OSC11" s="2"/>
      <c r="OSD11" s="2"/>
      <c r="OSE11" s="2"/>
      <c r="OSF11" s="2"/>
      <c r="OSG11" s="2"/>
      <c r="OSH11" s="2"/>
      <c r="OSI11" s="2"/>
      <c r="OSJ11" s="2"/>
      <c r="OSK11" s="2"/>
      <c r="OSL11" s="2"/>
      <c r="OSM11" s="2"/>
      <c r="OSN11" s="2"/>
      <c r="OSO11" s="2"/>
      <c r="OSP11" s="2"/>
      <c r="OSQ11" s="2"/>
      <c r="OSR11" s="2"/>
      <c r="OSS11" s="2"/>
      <c r="OST11" s="2"/>
      <c r="OSU11" s="2"/>
      <c r="OSV11" s="2"/>
      <c r="OSW11" s="2"/>
      <c r="OSX11" s="2"/>
      <c r="OSY11" s="2"/>
      <c r="OSZ11" s="2"/>
      <c r="OTA11" s="2"/>
      <c r="OTB11" s="2"/>
      <c r="OTC11" s="2"/>
      <c r="OTD11" s="2"/>
      <c r="OTE11" s="2"/>
      <c r="OTF11" s="2"/>
      <c r="OTG11" s="2"/>
      <c r="OTH11" s="2"/>
      <c r="OTI11" s="2"/>
      <c r="OTJ11" s="2"/>
      <c r="OTK11" s="2"/>
      <c r="OTL11" s="2"/>
      <c r="OTM11" s="2"/>
      <c r="OTN11" s="2"/>
      <c r="OTO11" s="2"/>
      <c r="OTP11" s="2"/>
      <c r="OTQ11" s="2"/>
      <c r="OTR11" s="2"/>
      <c r="OTS11" s="2"/>
      <c r="OTT11" s="2"/>
      <c r="OTU11" s="2"/>
      <c r="OTV11" s="2"/>
      <c r="OTW11" s="2"/>
      <c r="OTX11" s="2"/>
      <c r="OTY11" s="2"/>
      <c r="OTZ11" s="2"/>
      <c r="OUA11" s="2"/>
      <c r="OUB11" s="2"/>
      <c r="OUC11" s="2"/>
      <c r="OUD11" s="2"/>
      <c r="OUE11" s="2"/>
      <c r="OUF11" s="2"/>
      <c r="OUG11" s="2"/>
      <c r="OUH11" s="2"/>
      <c r="OUI11" s="2"/>
      <c r="OUJ11" s="2"/>
      <c r="OUK11" s="2"/>
      <c r="OUL11" s="2"/>
      <c r="OUM11" s="2"/>
      <c r="OUN11" s="2"/>
      <c r="OUO11" s="2"/>
      <c r="OUP11" s="2"/>
      <c r="OUQ11" s="2"/>
      <c r="OUR11" s="2"/>
      <c r="OUS11" s="2"/>
      <c r="OUT11" s="2"/>
      <c r="OUU11" s="2"/>
      <c r="OUV11" s="2"/>
      <c r="OUW11" s="2"/>
      <c r="OUX11" s="2"/>
      <c r="OUY11" s="2"/>
      <c r="OUZ11" s="2"/>
      <c r="OVA11" s="2"/>
      <c r="OVB11" s="2"/>
      <c r="OVC11" s="2"/>
      <c r="OVD11" s="2"/>
      <c r="OVE11" s="2"/>
      <c r="OVF11" s="2"/>
      <c r="OVG11" s="2"/>
      <c r="OVH11" s="2"/>
      <c r="OVI11" s="2"/>
      <c r="OVJ11" s="2"/>
      <c r="OVK11" s="2"/>
      <c r="OVL11" s="2"/>
      <c r="OVM11" s="2"/>
      <c r="OVN11" s="2"/>
      <c r="OVO11" s="2"/>
      <c r="OVP11" s="2"/>
      <c r="OVQ11" s="2"/>
      <c r="OVR11" s="2"/>
      <c r="OVS11" s="2"/>
      <c r="OVT11" s="2"/>
      <c r="OVU11" s="2"/>
      <c r="OVV11" s="2"/>
      <c r="OVW11" s="2"/>
      <c r="OVX11" s="2"/>
      <c r="OVY11" s="2"/>
      <c r="OVZ11" s="2"/>
      <c r="OWA11" s="2"/>
      <c r="OWB11" s="2"/>
      <c r="OWC11" s="2"/>
      <c r="OWD11" s="2"/>
      <c r="OWE11" s="2"/>
      <c r="OWF11" s="2"/>
      <c r="OWG11" s="2"/>
      <c r="OWH11" s="2"/>
      <c r="OWI11" s="2"/>
      <c r="OWJ11" s="2"/>
      <c r="OWK11" s="2"/>
      <c r="OWL11" s="2"/>
      <c r="OWM11" s="2"/>
      <c r="OWN11" s="2"/>
      <c r="OWO11" s="2"/>
      <c r="OWP11" s="2"/>
      <c r="OWQ11" s="2"/>
      <c r="OWR11" s="2"/>
      <c r="OWS11" s="2"/>
      <c r="OWT11" s="2"/>
      <c r="OWU11" s="2"/>
      <c r="OWV11" s="2"/>
      <c r="OWW11" s="2"/>
      <c r="OWX11" s="2"/>
      <c r="OWY11" s="2"/>
      <c r="OWZ11" s="2"/>
      <c r="OXA11" s="2"/>
      <c r="OXB11" s="2"/>
      <c r="OXC11" s="2"/>
      <c r="OXD11" s="2"/>
      <c r="OXE11" s="2"/>
      <c r="OXF11" s="2"/>
      <c r="OXG11" s="2"/>
      <c r="OXH11" s="2"/>
      <c r="OXI11" s="2"/>
      <c r="OXJ11" s="2"/>
      <c r="OXK11" s="2"/>
      <c r="OXL11" s="2"/>
      <c r="OXM11" s="2"/>
      <c r="OXN11" s="2"/>
      <c r="OXO11" s="2"/>
      <c r="OXP11" s="2"/>
      <c r="OXQ11" s="2"/>
      <c r="OXR11" s="2"/>
      <c r="OXS11" s="2"/>
      <c r="OXT11" s="2"/>
      <c r="OXU11" s="2"/>
      <c r="OXV11" s="2"/>
      <c r="OXW11" s="2"/>
      <c r="OXX11" s="2"/>
      <c r="OXY11" s="2"/>
      <c r="OXZ11" s="2"/>
      <c r="OYA11" s="2"/>
      <c r="OYB11" s="2"/>
      <c r="OYC11" s="2"/>
      <c r="OYD11" s="2"/>
      <c r="OYE11" s="2"/>
      <c r="OYF11" s="2"/>
      <c r="OYG11" s="2"/>
      <c r="OYH11" s="2"/>
      <c r="OYI11" s="2"/>
      <c r="OYJ11" s="2"/>
      <c r="OYK11" s="2"/>
      <c r="OYL11" s="2"/>
      <c r="OYM11" s="2"/>
      <c r="OYN11" s="2"/>
      <c r="OYO11" s="2"/>
      <c r="OYP11" s="2"/>
      <c r="OYQ11" s="2"/>
      <c r="OYR11" s="2"/>
      <c r="OYS11" s="2"/>
      <c r="OYT11" s="2"/>
      <c r="OYU11" s="2"/>
      <c r="OYV11" s="2"/>
      <c r="OYW11" s="2"/>
      <c r="OYX11" s="2"/>
      <c r="OYY11" s="2"/>
      <c r="OYZ11" s="2"/>
      <c r="OZA11" s="2"/>
      <c r="OZB11" s="2"/>
      <c r="OZC11" s="2"/>
      <c r="OZD11" s="2"/>
      <c r="OZE11" s="2"/>
      <c r="OZF11" s="2"/>
      <c r="OZG11" s="2"/>
      <c r="OZH11" s="2"/>
      <c r="OZI11" s="2"/>
      <c r="OZJ11" s="2"/>
      <c r="OZK11" s="2"/>
      <c r="OZL11" s="2"/>
      <c r="OZM11" s="2"/>
      <c r="OZN11" s="2"/>
      <c r="OZO11" s="2"/>
      <c r="OZP11" s="2"/>
      <c r="OZQ11" s="2"/>
      <c r="OZR11" s="2"/>
      <c r="OZS11" s="2"/>
      <c r="OZT11" s="2"/>
      <c r="OZU11" s="2"/>
      <c r="OZV11" s="2"/>
      <c r="OZW11" s="2"/>
      <c r="OZX11" s="2"/>
      <c r="OZY11" s="2"/>
      <c r="OZZ11" s="2"/>
      <c r="PAA11" s="2"/>
      <c r="PAB11" s="2"/>
      <c r="PAC11" s="2"/>
      <c r="PAD11" s="2"/>
      <c r="PAE11" s="2"/>
      <c r="PAF11" s="2"/>
      <c r="PAG11" s="2"/>
      <c r="PAH11" s="2"/>
      <c r="PAI11" s="2"/>
      <c r="PAJ11" s="2"/>
      <c r="PAK11" s="2"/>
      <c r="PAL11" s="2"/>
      <c r="PAM11" s="2"/>
      <c r="PAN11" s="2"/>
      <c r="PAO11" s="2"/>
      <c r="PAP11" s="2"/>
      <c r="PAQ11" s="2"/>
      <c r="PAR11" s="2"/>
      <c r="PAS11" s="2"/>
      <c r="PAT11" s="2"/>
      <c r="PAU11" s="2"/>
      <c r="PAV11" s="2"/>
      <c r="PAW11" s="2"/>
      <c r="PAX11" s="2"/>
      <c r="PAY11" s="2"/>
      <c r="PAZ11" s="2"/>
      <c r="PBA11" s="2"/>
      <c r="PBB11" s="2"/>
      <c r="PBC11" s="2"/>
      <c r="PBD11" s="2"/>
      <c r="PBE11" s="2"/>
      <c r="PBF11" s="2"/>
      <c r="PBG11" s="2"/>
      <c r="PBH11" s="2"/>
      <c r="PBI11" s="2"/>
      <c r="PBJ11" s="2"/>
      <c r="PBK11" s="2"/>
      <c r="PBL11" s="2"/>
      <c r="PBM11" s="2"/>
      <c r="PBN11" s="2"/>
      <c r="PBO11" s="2"/>
      <c r="PBP11" s="2"/>
      <c r="PBQ11" s="2"/>
      <c r="PBR11" s="2"/>
      <c r="PBS11" s="2"/>
      <c r="PBT11" s="2"/>
      <c r="PBU11" s="2"/>
      <c r="PBV11" s="2"/>
      <c r="PBW11" s="2"/>
      <c r="PBX11" s="2"/>
      <c r="PBY11" s="2"/>
      <c r="PBZ11" s="2"/>
      <c r="PCA11" s="2"/>
      <c r="PCB11" s="2"/>
      <c r="PCC11" s="2"/>
      <c r="PCD11" s="2"/>
      <c r="PCE11" s="2"/>
      <c r="PCF11" s="2"/>
      <c r="PCG11" s="2"/>
      <c r="PCH11" s="2"/>
      <c r="PCI11" s="2"/>
      <c r="PCJ11" s="2"/>
      <c r="PCK11" s="2"/>
      <c r="PCL11" s="2"/>
      <c r="PCM11" s="2"/>
      <c r="PCN11" s="2"/>
      <c r="PCO11" s="2"/>
      <c r="PCP11" s="2"/>
      <c r="PCQ11" s="2"/>
      <c r="PCR11" s="2"/>
      <c r="PCS11" s="2"/>
      <c r="PCT11" s="2"/>
      <c r="PCU11" s="2"/>
      <c r="PCV11" s="2"/>
      <c r="PCW11" s="2"/>
      <c r="PCX11" s="2"/>
      <c r="PCY11" s="2"/>
      <c r="PCZ11" s="2"/>
      <c r="PDA11" s="2"/>
      <c r="PDB11" s="2"/>
      <c r="PDC11" s="2"/>
      <c r="PDD11" s="2"/>
      <c r="PDE11" s="2"/>
      <c r="PDF11" s="2"/>
      <c r="PDG11" s="2"/>
      <c r="PDH11" s="2"/>
      <c r="PDI11" s="2"/>
      <c r="PDJ11" s="2"/>
      <c r="PDK11" s="2"/>
      <c r="PDL11" s="2"/>
      <c r="PDM11" s="2"/>
      <c r="PDN11" s="2"/>
      <c r="PDO11" s="2"/>
      <c r="PDP11" s="2"/>
      <c r="PDQ11" s="2"/>
      <c r="PDR11" s="2"/>
      <c r="PDS11" s="2"/>
      <c r="PDT11" s="2"/>
      <c r="PDU11" s="2"/>
      <c r="PDV11" s="2"/>
      <c r="PDW11" s="2"/>
      <c r="PDX11" s="2"/>
      <c r="PDY11" s="2"/>
      <c r="PDZ11" s="2"/>
      <c r="PEA11" s="2"/>
      <c r="PEB11" s="2"/>
      <c r="PEC11" s="2"/>
      <c r="PED11" s="2"/>
      <c r="PEE11" s="2"/>
      <c r="PEF11" s="2"/>
      <c r="PEG11" s="2"/>
      <c r="PEH11" s="2"/>
      <c r="PEI11" s="2"/>
      <c r="PEJ11" s="2"/>
      <c r="PEK11" s="2"/>
      <c r="PEL11" s="2"/>
      <c r="PEM11" s="2"/>
      <c r="PEN11" s="2"/>
      <c r="PEO11" s="2"/>
      <c r="PEP11" s="2"/>
      <c r="PEQ11" s="2"/>
      <c r="PER11" s="2"/>
      <c r="PES11" s="2"/>
      <c r="PET11" s="2"/>
      <c r="PEU11" s="2"/>
      <c r="PEV11" s="2"/>
      <c r="PEW11" s="2"/>
      <c r="PEX11" s="2"/>
      <c r="PEY11" s="2"/>
      <c r="PEZ11" s="2"/>
      <c r="PFA11" s="2"/>
      <c r="PFB11" s="2"/>
      <c r="PFC11" s="2"/>
      <c r="PFD11" s="2"/>
      <c r="PFE11" s="2"/>
      <c r="PFF11" s="2"/>
      <c r="PFG11" s="2"/>
      <c r="PFH11" s="2"/>
      <c r="PFI11" s="2"/>
      <c r="PFJ11" s="2"/>
      <c r="PFK11" s="2"/>
      <c r="PFL11" s="2"/>
      <c r="PFM11" s="2"/>
      <c r="PFN11" s="2"/>
      <c r="PFO11" s="2"/>
      <c r="PFP11" s="2"/>
      <c r="PFQ11" s="2"/>
      <c r="PFR11" s="2"/>
      <c r="PFS11" s="2"/>
      <c r="PFT11" s="2"/>
      <c r="PFU11" s="2"/>
      <c r="PFV11" s="2"/>
      <c r="PFW11" s="2"/>
      <c r="PFX11" s="2"/>
      <c r="PFY11" s="2"/>
      <c r="PFZ11" s="2"/>
      <c r="PGA11" s="2"/>
      <c r="PGB11" s="2"/>
      <c r="PGC11" s="2"/>
      <c r="PGD11" s="2"/>
      <c r="PGE11" s="2"/>
      <c r="PGF11" s="2"/>
      <c r="PGG11" s="2"/>
      <c r="PGH11" s="2"/>
      <c r="PGI11" s="2"/>
      <c r="PGJ11" s="2"/>
      <c r="PGK11" s="2"/>
      <c r="PGL11" s="2"/>
      <c r="PGM11" s="2"/>
      <c r="PGN11" s="2"/>
      <c r="PGO11" s="2"/>
      <c r="PGP11" s="2"/>
      <c r="PGQ11" s="2"/>
      <c r="PGR11" s="2"/>
      <c r="PGS11" s="2"/>
      <c r="PGT11" s="2"/>
      <c r="PGU11" s="2"/>
      <c r="PGV11" s="2"/>
      <c r="PGW11" s="2"/>
      <c r="PGX11" s="2"/>
      <c r="PGY11" s="2"/>
      <c r="PGZ11" s="2"/>
      <c r="PHA11" s="2"/>
      <c r="PHB11" s="2"/>
      <c r="PHC11" s="2"/>
      <c r="PHD11" s="2"/>
      <c r="PHE11" s="2"/>
      <c r="PHF11" s="2"/>
      <c r="PHG11" s="2"/>
      <c r="PHH11" s="2"/>
      <c r="PHI11" s="2"/>
      <c r="PHJ11" s="2"/>
      <c r="PHK11" s="2"/>
      <c r="PHL11" s="2"/>
      <c r="PHM11" s="2"/>
      <c r="PHN11" s="2"/>
      <c r="PHO11" s="2"/>
      <c r="PHP11" s="2"/>
      <c r="PHQ11" s="2"/>
      <c r="PHR11" s="2"/>
      <c r="PHS11" s="2"/>
      <c r="PHT11" s="2"/>
      <c r="PHU11" s="2"/>
      <c r="PHV11" s="2"/>
      <c r="PHW11" s="2"/>
      <c r="PHX11" s="2"/>
      <c r="PHY11" s="2"/>
      <c r="PHZ11" s="2"/>
      <c r="PIA11" s="2"/>
      <c r="PIB11" s="2"/>
      <c r="PIC11" s="2"/>
      <c r="PID11" s="2"/>
      <c r="PIE11" s="2"/>
      <c r="PIF11" s="2"/>
      <c r="PIG11" s="2"/>
      <c r="PIH11" s="2"/>
      <c r="PII11" s="2"/>
      <c r="PIJ11" s="2"/>
      <c r="PIK11" s="2"/>
      <c r="PIL11" s="2"/>
      <c r="PIM11" s="2"/>
      <c r="PIN11" s="2"/>
      <c r="PIO11" s="2"/>
      <c r="PIP11" s="2"/>
      <c r="PIQ11" s="2"/>
      <c r="PIR11" s="2"/>
      <c r="PIS11" s="2"/>
      <c r="PIT11" s="2"/>
      <c r="PIU11" s="2"/>
      <c r="PIV11" s="2"/>
      <c r="PIW11" s="2"/>
      <c r="PIX11" s="2"/>
      <c r="PIY11" s="2"/>
      <c r="PIZ11" s="2"/>
      <c r="PJA11" s="2"/>
      <c r="PJB11" s="2"/>
      <c r="PJC11" s="2"/>
      <c r="PJD11" s="2"/>
      <c r="PJE11" s="2"/>
      <c r="PJF11" s="2"/>
      <c r="PJG11" s="2"/>
      <c r="PJH11" s="2"/>
      <c r="PJI11" s="2"/>
      <c r="PJJ11" s="2"/>
      <c r="PJK11" s="2"/>
      <c r="PJL11" s="2"/>
      <c r="PJM11" s="2"/>
      <c r="PJN11" s="2"/>
      <c r="PJO11" s="2"/>
      <c r="PJP11" s="2"/>
      <c r="PJQ11" s="2"/>
      <c r="PJR11" s="2"/>
      <c r="PJS11" s="2"/>
      <c r="PJT11" s="2"/>
      <c r="PJU11" s="2"/>
      <c r="PJV11" s="2"/>
      <c r="PJW11" s="2"/>
      <c r="PJX11" s="2"/>
      <c r="PJY11" s="2"/>
      <c r="PJZ11" s="2"/>
      <c r="PKA11" s="2"/>
      <c r="PKB11" s="2"/>
      <c r="PKC11" s="2"/>
      <c r="PKD11" s="2"/>
      <c r="PKE11" s="2"/>
      <c r="PKF11" s="2"/>
      <c r="PKG11" s="2"/>
      <c r="PKH11" s="2"/>
      <c r="PKI11" s="2"/>
      <c r="PKJ11" s="2"/>
      <c r="PKK11" s="2"/>
      <c r="PKL11" s="2"/>
      <c r="PKM11" s="2"/>
      <c r="PKN11" s="2"/>
      <c r="PKO11" s="2"/>
      <c r="PKP11" s="2"/>
      <c r="PKQ11" s="2"/>
      <c r="PKR11" s="2"/>
      <c r="PKS11" s="2"/>
      <c r="PKT11" s="2"/>
      <c r="PKU11" s="2"/>
      <c r="PKV11" s="2"/>
      <c r="PKW11" s="2"/>
      <c r="PKX11" s="2"/>
      <c r="PKY11" s="2"/>
      <c r="PKZ11" s="2"/>
      <c r="PLA11" s="2"/>
      <c r="PLB11" s="2"/>
      <c r="PLC11" s="2"/>
      <c r="PLD11" s="2"/>
      <c r="PLE11" s="2"/>
      <c r="PLF11" s="2"/>
      <c r="PLG11" s="2"/>
      <c r="PLH11" s="2"/>
      <c r="PLI11" s="2"/>
      <c r="PLJ11" s="2"/>
      <c r="PLK11" s="2"/>
      <c r="PLL11" s="2"/>
      <c r="PLM11" s="2"/>
      <c r="PLN11" s="2"/>
      <c r="PLO11" s="2"/>
      <c r="PLP11" s="2"/>
      <c r="PLQ11" s="2"/>
      <c r="PLR11" s="2"/>
      <c r="PLS11" s="2"/>
      <c r="PLT11" s="2"/>
      <c r="PLU11" s="2"/>
      <c r="PLV11" s="2"/>
      <c r="PLW11" s="2"/>
      <c r="PLX11" s="2"/>
      <c r="PLY11" s="2"/>
      <c r="PLZ11" s="2"/>
      <c r="PMA11" s="2"/>
      <c r="PMB11" s="2"/>
      <c r="PMC11" s="2"/>
      <c r="PMD11" s="2"/>
      <c r="PME11" s="2"/>
      <c r="PMF11" s="2"/>
      <c r="PMG11" s="2"/>
      <c r="PMH11" s="2"/>
      <c r="PMI11" s="2"/>
      <c r="PMJ11" s="2"/>
      <c r="PMK11" s="2"/>
      <c r="PML11" s="2"/>
      <c r="PMM11" s="2"/>
      <c r="PMN11" s="2"/>
      <c r="PMO11" s="2"/>
      <c r="PMP11" s="2"/>
      <c r="PMQ11" s="2"/>
      <c r="PMR11" s="2"/>
      <c r="PMS11" s="2"/>
      <c r="PMT11" s="2"/>
      <c r="PMU11" s="2"/>
      <c r="PMV11" s="2"/>
      <c r="PMW11" s="2"/>
      <c r="PMX11" s="2"/>
      <c r="PMY11" s="2"/>
      <c r="PMZ11" s="2"/>
      <c r="PNA11" s="2"/>
      <c r="PNB11" s="2"/>
      <c r="PNC11" s="2"/>
      <c r="PND11" s="2"/>
      <c r="PNE11" s="2"/>
      <c r="PNF11" s="2"/>
      <c r="PNG11" s="2"/>
      <c r="PNH11" s="2"/>
      <c r="PNI11" s="2"/>
      <c r="PNJ11" s="2"/>
      <c r="PNK11" s="2"/>
      <c r="PNL11" s="2"/>
      <c r="PNM11" s="2"/>
      <c r="PNN11" s="2"/>
      <c r="PNO11" s="2"/>
      <c r="PNP11" s="2"/>
      <c r="PNQ11" s="2"/>
      <c r="PNR11" s="2"/>
      <c r="PNS11" s="2"/>
      <c r="PNT11" s="2"/>
      <c r="PNU11" s="2"/>
      <c r="PNV11" s="2"/>
      <c r="PNW11" s="2"/>
      <c r="PNX11" s="2"/>
      <c r="PNY11" s="2"/>
      <c r="PNZ11" s="2"/>
      <c r="POA11" s="2"/>
      <c r="POB11" s="2"/>
      <c r="POC11" s="2"/>
      <c r="POD11" s="2"/>
      <c r="POE11" s="2"/>
      <c r="POF11" s="2"/>
      <c r="POG11" s="2"/>
      <c r="POH11" s="2"/>
      <c r="POI11" s="2"/>
      <c r="POJ11" s="2"/>
      <c r="POK11" s="2"/>
      <c r="POL11" s="2"/>
      <c r="POM11" s="2"/>
      <c r="PON11" s="2"/>
      <c r="POO11" s="2"/>
      <c r="POP11" s="2"/>
      <c r="POQ11" s="2"/>
      <c r="POR11" s="2"/>
      <c r="POS11" s="2"/>
      <c r="POT11" s="2"/>
      <c r="POU11" s="2"/>
      <c r="POV11" s="2"/>
      <c r="POW11" s="2"/>
      <c r="POX11" s="2"/>
      <c r="POY11" s="2"/>
      <c r="POZ11" s="2"/>
      <c r="PPA11" s="2"/>
      <c r="PPB11" s="2"/>
      <c r="PPC11" s="2"/>
      <c r="PPD11" s="2"/>
      <c r="PPE11" s="2"/>
      <c r="PPF11" s="2"/>
      <c r="PPG11" s="2"/>
      <c r="PPH11" s="2"/>
      <c r="PPI11" s="2"/>
      <c r="PPJ11" s="2"/>
      <c r="PPK11" s="2"/>
      <c r="PPL11" s="2"/>
      <c r="PPM11" s="2"/>
      <c r="PPN11" s="2"/>
      <c r="PPO11" s="2"/>
      <c r="PPP11" s="2"/>
      <c r="PPQ11" s="2"/>
      <c r="PPR11" s="2"/>
      <c r="PPS11" s="2"/>
      <c r="PPT11" s="2"/>
      <c r="PPU11" s="2"/>
      <c r="PPV11" s="2"/>
      <c r="PPW11" s="2"/>
      <c r="PPX11" s="2"/>
      <c r="PPY11" s="2"/>
      <c r="PPZ11" s="2"/>
      <c r="PQA11" s="2"/>
      <c r="PQB11" s="2"/>
      <c r="PQC11" s="2"/>
      <c r="PQD11" s="2"/>
      <c r="PQE11" s="2"/>
      <c r="PQF11" s="2"/>
      <c r="PQG11" s="2"/>
      <c r="PQH11" s="2"/>
      <c r="PQI11" s="2"/>
      <c r="PQJ11" s="2"/>
      <c r="PQK11" s="2"/>
      <c r="PQL11" s="2"/>
      <c r="PQM11" s="2"/>
      <c r="PQN11" s="2"/>
      <c r="PQO11" s="2"/>
      <c r="PQP11" s="2"/>
      <c r="PQQ11" s="2"/>
      <c r="PQR11" s="2"/>
      <c r="PQS11" s="2"/>
      <c r="PQT11" s="2"/>
      <c r="PQU11" s="2"/>
      <c r="PQV11" s="2"/>
      <c r="PQW11" s="2"/>
      <c r="PQX11" s="2"/>
      <c r="PQY11" s="2"/>
      <c r="PQZ11" s="2"/>
      <c r="PRA11" s="2"/>
      <c r="PRB11" s="2"/>
      <c r="PRC11" s="2"/>
      <c r="PRD11" s="2"/>
      <c r="PRE11" s="2"/>
      <c r="PRF11" s="2"/>
      <c r="PRG11" s="2"/>
      <c r="PRH11" s="2"/>
      <c r="PRI11" s="2"/>
      <c r="PRJ11" s="2"/>
      <c r="PRK11" s="2"/>
      <c r="PRL11" s="2"/>
      <c r="PRM11" s="2"/>
      <c r="PRN11" s="2"/>
      <c r="PRO11" s="2"/>
      <c r="PRP11" s="2"/>
      <c r="PRQ11" s="2"/>
      <c r="PRR11" s="2"/>
      <c r="PRS11" s="2"/>
      <c r="PRT11" s="2"/>
      <c r="PRU11" s="2"/>
      <c r="PRV11" s="2"/>
      <c r="PRW11" s="2"/>
      <c r="PRX11" s="2"/>
      <c r="PRY11" s="2"/>
      <c r="PRZ11" s="2"/>
      <c r="PSA11" s="2"/>
      <c r="PSB11" s="2"/>
      <c r="PSC11" s="2"/>
      <c r="PSD11" s="2"/>
      <c r="PSE11" s="2"/>
      <c r="PSF11" s="2"/>
      <c r="PSG11" s="2"/>
      <c r="PSH11" s="2"/>
      <c r="PSI11" s="2"/>
      <c r="PSJ11" s="2"/>
      <c r="PSK11" s="2"/>
      <c r="PSL11" s="2"/>
      <c r="PSM11" s="2"/>
      <c r="PSN11" s="2"/>
      <c r="PSO11" s="2"/>
      <c r="PSP11" s="2"/>
      <c r="PSQ11" s="2"/>
      <c r="PSR11" s="2"/>
      <c r="PSS11" s="2"/>
      <c r="PST11" s="2"/>
      <c r="PSU11" s="2"/>
      <c r="PSV11" s="2"/>
      <c r="PSW11" s="2"/>
      <c r="PSX11" s="2"/>
      <c r="PSY11" s="2"/>
      <c r="PSZ11" s="2"/>
      <c r="PTA11" s="2"/>
      <c r="PTB11" s="2"/>
      <c r="PTC11" s="2"/>
      <c r="PTD11" s="2"/>
      <c r="PTE11" s="2"/>
      <c r="PTF11" s="2"/>
      <c r="PTG11" s="2"/>
      <c r="PTH11" s="2"/>
      <c r="PTI11" s="2"/>
      <c r="PTJ11" s="2"/>
      <c r="PTK11" s="2"/>
      <c r="PTL11" s="2"/>
      <c r="PTM11" s="2"/>
      <c r="PTN11" s="2"/>
      <c r="PTO11" s="2"/>
      <c r="PTP11" s="2"/>
      <c r="PTQ11" s="2"/>
      <c r="PTR11" s="2"/>
      <c r="PTS11" s="2"/>
      <c r="PTT11" s="2"/>
      <c r="PTU11" s="2"/>
      <c r="PTV11" s="2"/>
      <c r="PTW11" s="2"/>
      <c r="PTX11" s="2"/>
      <c r="PTY11" s="2"/>
      <c r="PTZ11" s="2"/>
      <c r="PUA11" s="2"/>
      <c r="PUB11" s="2"/>
      <c r="PUC11" s="2"/>
      <c r="PUD11" s="2"/>
      <c r="PUE11" s="2"/>
      <c r="PUF11" s="2"/>
      <c r="PUG11" s="2"/>
      <c r="PUH11" s="2"/>
      <c r="PUI11" s="2"/>
      <c r="PUJ11" s="2"/>
      <c r="PUK11" s="2"/>
      <c r="PUL11" s="2"/>
      <c r="PUM11" s="2"/>
      <c r="PUN11" s="2"/>
      <c r="PUO11" s="2"/>
      <c r="PUP11" s="2"/>
      <c r="PUQ11" s="2"/>
      <c r="PUR11" s="2"/>
      <c r="PUS11" s="2"/>
      <c r="PUT11" s="2"/>
      <c r="PUU11" s="2"/>
      <c r="PUV11" s="2"/>
      <c r="PUW11" s="2"/>
      <c r="PUX11" s="2"/>
      <c r="PUY11" s="2"/>
      <c r="PUZ11" s="2"/>
      <c r="PVA11" s="2"/>
      <c r="PVB11" s="2"/>
      <c r="PVC11" s="2"/>
      <c r="PVD11" s="2"/>
      <c r="PVE11" s="2"/>
      <c r="PVF11" s="2"/>
      <c r="PVG11" s="2"/>
      <c r="PVH11" s="2"/>
      <c r="PVI11" s="2"/>
      <c r="PVJ11" s="2"/>
      <c r="PVK11" s="2"/>
      <c r="PVL11" s="2"/>
      <c r="PVM11" s="2"/>
      <c r="PVN11" s="2"/>
      <c r="PVO11" s="2"/>
      <c r="PVP11" s="2"/>
      <c r="PVQ11" s="2"/>
      <c r="PVR11" s="2"/>
      <c r="PVS11" s="2"/>
      <c r="PVT11" s="2"/>
      <c r="PVU11" s="2"/>
      <c r="PVV11" s="2"/>
      <c r="PVW11" s="2"/>
      <c r="PVX11" s="2"/>
      <c r="PVY11" s="2"/>
      <c r="PVZ11" s="2"/>
      <c r="PWA11" s="2"/>
      <c r="PWB11" s="2"/>
      <c r="PWC11" s="2"/>
      <c r="PWD11" s="2"/>
      <c r="PWE11" s="2"/>
      <c r="PWF11" s="2"/>
      <c r="PWG11" s="2"/>
      <c r="PWH11" s="2"/>
      <c r="PWI11" s="2"/>
      <c r="PWJ11" s="2"/>
      <c r="PWK11" s="2"/>
      <c r="PWL11" s="2"/>
      <c r="PWM11" s="2"/>
      <c r="PWN11" s="2"/>
      <c r="PWO11" s="2"/>
      <c r="PWP11" s="2"/>
      <c r="PWQ11" s="2"/>
      <c r="PWR11" s="2"/>
      <c r="PWS11" s="2"/>
      <c r="PWT11" s="2"/>
      <c r="PWU11" s="2"/>
      <c r="PWV11" s="2"/>
      <c r="PWW11" s="2"/>
      <c r="PWX11" s="2"/>
      <c r="PWY11" s="2"/>
      <c r="PWZ11" s="2"/>
      <c r="PXA11" s="2"/>
      <c r="PXB11" s="2"/>
      <c r="PXC11" s="2"/>
      <c r="PXD11" s="2"/>
      <c r="PXE11" s="2"/>
      <c r="PXF11" s="2"/>
      <c r="PXG11" s="2"/>
      <c r="PXH11" s="2"/>
      <c r="PXI11" s="2"/>
      <c r="PXJ11" s="2"/>
      <c r="PXK11" s="2"/>
      <c r="PXL11" s="2"/>
      <c r="PXM11" s="2"/>
      <c r="PXN11" s="2"/>
      <c r="PXO11" s="2"/>
      <c r="PXP11" s="2"/>
      <c r="PXQ11" s="2"/>
      <c r="PXR11" s="2"/>
      <c r="PXS11" s="2"/>
      <c r="PXT11" s="2"/>
      <c r="PXU11" s="2"/>
      <c r="PXV11" s="2"/>
      <c r="PXW11" s="2"/>
      <c r="PXX11" s="2"/>
      <c r="PXY11" s="2"/>
      <c r="PXZ11" s="2"/>
      <c r="PYA11" s="2"/>
      <c r="PYB11" s="2"/>
      <c r="PYC11" s="2"/>
      <c r="PYD11" s="2"/>
      <c r="PYE11" s="2"/>
      <c r="PYF11" s="2"/>
      <c r="PYG11" s="2"/>
      <c r="PYH11" s="2"/>
      <c r="PYI11" s="2"/>
      <c r="PYJ11" s="2"/>
      <c r="PYK11" s="2"/>
      <c r="PYL11" s="2"/>
      <c r="PYM11" s="2"/>
      <c r="PYN11" s="2"/>
      <c r="PYO11" s="2"/>
      <c r="PYP11" s="2"/>
      <c r="PYQ11" s="2"/>
      <c r="PYR11" s="2"/>
      <c r="PYS11" s="2"/>
      <c r="PYT11" s="2"/>
      <c r="PYU11" s="2"/>
      <c r="PYV11" s="2"/>
      <c r="PYW11" s="2"/>
      <c r="PYX11" s="2"/>
      <c r="PYY11" s="2"/>
      <c r="PYZ11" s="2"/>
      <c r="PZA11" s="2"/>
      <c r="PZB11" s="2"/>
      <c r="PZC11" s="2"/>
      <c r="PZD11" s="2"/>
      <c r="PZE11" s="2"/>
      <c r="PZF11" s="2"/>
      <c r="PZG11" s="2"/>
      <c r="PZH11" s="2"/>
      <c r="PZI11" s="2"/>
      <c r="PZJ11" s="2"/>
      <c r="PZK11" s="2"/>
      <c r="PZL11" s="2"/>
      <c r="PZM11" s="2"/>
      <c r="PZN11" s="2"/>
      <c r="PZO11" s="2"/>
      <c r="PZP11" s="2"/>
      <c r="PZQ11" s="2"/>
      <c r="PZR11" s="2"/>
      <c r="PZS11" s="2"/>
      <c r="PZT11" s="2"/>
      <c r="PZU11" s="2"/>
      <c r="PZV11" s="2"/>
      <c r="PZW11" s="2"/>
      <c r="PZX11" s="2"/>
      <c r="PZY11" s="2"/>
      <c r="PZZ11" s="2"/>
      <c r="QAA11" s="2"/>
      <c r="QAB11" s="2"/>
      <c r="QAC11" s="2"/>
      <c r="QAD11" s="2"/>
      <c r="QAE11" s="2"/>
      <c r="QAF11" s="2"/>
      <c r="QAG11" s="2"/>
      <c r="QAH11" s="2"/>
      <c r="QAI11" s="2"/>
      <c r="QAJ11" s="2"/>
      <c r="QAK11" s="2"/>
      <c r="QAL11" s="2"/>
      <c r="QAM11" s="2"/>
      <c r="QAN11" s="2"/>
      <c r="QAO11" s="2"/>
      <c r="QAP11" s="2"/>
      <c r="QAQ11" s="2"/>
      <c r="QAR11" s="2"/>
      <c r="QAS11" s="2"/>
      <c r="QAT11" s="2"/>
      <c r="QAU11" s="2"/>
      <c r="QAV11" s="2"/>
      <c r="QAW11" s="2"/>
      <c r="QAX11" s="2"/>
      <c r="QAY11" s="2"/>
      <c r="QAZ11" s="2"/>
      <c r="QBA11" s="2"/>
      <c r="QBB11" s="2"/>
      <c r="QBC11" s="2"/>
      <c r="QBD11" s="2"/>
      <c r="QBE11" s="2"/>
      <c r="QBF11" s="2"/>
      <c r="QBG11" s="2"/>
      <c r="QBH11" s="2"/>
      <c r="QBI11" s="2"/>
      <c r="QBJ11" s="2"/>
      <c r="QBK11" s="2"/>
      <c r="QBL11" s="2"/>
      <c r="QBM11" s="2"/>
      <c r="QBN11" s="2"/>
      <c r="QBO11" s="2"/>
      <c r="QBP11" s="2"/>
      <c r="QBQ11" s="2"/>
      <c r="QBR11" s="2"/>
      <c r="QBS11" s="2"/>
      <c r="QBT11" s="2"/>
      <c r="QBU11" s="2"/>
      <c r="QBV11" s="2"/>
      <c r="QBW11" s="2"/>
      <c r="QBX11" s="2"/>
      <c r="QBY11" s="2"/>
      <c r="QBZ11" s="2"/>
      <c r="QCA11" s="2"/>
      <c r="QCB11" s="2"/>
      <c r="QCC11" s="2"/>
      <c r="QCD11" s="2"/>
      <c r="QCE11" s="2"/>
      <c r="QCF11" s="2"/>
      <c r="QCG11" s="2"/>
      <c r="QCH11" s="2"/>
      <c r="QCI11" s="2"/>
      <c r="QCJ11" s="2"/>
      <c r="QCK11" s="2"/>
      <c r="QCL11" s="2"/>
      <c r="QCM11" s="2"/>
      <c r="QCN11" s="2"/>
      <c r="QCO11" s="2"/>
      <c r="QCP11" s="2"/>
      <c r="QCQ11" s="2"/>
      <c r="QCR11" s="2"/>
      <c r="QCS11" s="2"/>
      <c r="QCT11" s="2"/>
      <c r="QCU11" s="2"/>
      <c r="QCV11" s="2"/>
      <c r="QCW11" s="2"/>
      <c r="QCX11" s="2"/>
      <c r="QCY11" s="2"/>
      <c r="QCZ11" s="2"/>
      <c r="QDA11" s="2"/>
      <c r="QDB11" s="2"/>
      <c r="QDC11" s="2"/>
      <c r="QDD11" s="2"/>
      <c r="QDE11" s="2"/>
      <c r="QDF11" s="2"/>
      <c r="QDG11" s="2"/>
      <c r="QDH11" s="2"/>
      <c r="QDI11" s="2"/>
      <c r="QDJ11" s="2"/>
      <c r="QDK11" s="2"/>
      <c r="QDL11" s="2"/>
      <c r="QDM11" s="2"/>
      <c r="QDN11" s="2"/>
      <c r="QDO11" s="2"/>
      <c r="QDP11" s="2"/>
      <c r="QDQ11" s="2"/>
      <c r="QDR11" s="2"/>
      <c r="QDS11" s="2"/>
      <c r="QDT11" s="2"/>
      <c r="QDU11" s="2"/>
      <c r="QDV11" s="2"/>
      <c r="QDW11" s="2"/>
      <c r="QDX11" s="2"/>
      <c r="QDY11" s="2"/>
      <c r="QDZ11" s="2"/>
      <c r="QEA11" s="2"/>
      <c r="QEB11" s="2"/>
      <c r="QEC11" s="2"/>
      <c r="QED11" s="2"/>
      <c r="QEE11" s="2"/>
      <c r="QEF11" s="2"/>
      <c r="QEG11" s="2"/>
      <c r="QEH11" s="2"/>
      <c r="QEI11" s="2"/>
      <c r="QEJ11" s="2"/>
      <c r="QEK11" s="2"/>
      <c r="QEL11" s="2"/>
      <c r="QEM11" s="2"/>
      <c r="QEN11" s="2"/>
      <c r="QEO11" s="2"/>
      <c r="QEP11" s="2"/>
      <c r="QEQ11" s="2"/>
      <c r="QER11" s="2"/>
      <c r="QES11" s="2"/>
      <c r="QET11" s="2"/>
      <c r="QEU11" s="2"/>
      <c r="QEV11" s="2"/>
      <c r="QEW11" s="2"/>
      <c r="QEX11" s="2"/>
      <c r="QEY11" s="2"/>
      <c r="QEZ11" s="2"/>
      <c r="QFA11" s="2"/>
      <c r="QFB11" s="2"/>
      <c r="QFC11" s="2"/>
      <c r="QFD11" s="2"/>
      <c r="QFE11" s="2"/>
      <c r="QFF11" s="2"/>
      <c r="QFG11" s="2"/>
      <c r="QFH11" s="2"/>
      <c r="QFI11" s="2"/>
      <c r="QFJ11" s="2"/>
      <c r="QFK11" s="2"/>
      <c r="QFL11" s="2"/>
      <c r="QFM11" s="2"/>
      <c r="QFN11" s="2"/>
      <c r="QFO11" s="2"/>
      <c r="QFP11" s="2"/>
      <c r="QFQ11" s="2"/>
      <c r="QFR11" s="2"/>
      <c r="QFS11" s="2"/>
      <c r="QFT11" s="2"/>
      <c r="QFU11" s="2"/>
      <c r="QFV11" s="2"/>
      <c r="QFW11" s="2"/>
      <c r="QFX11" s="2"/>
      <c r="QFY11" s="2"/>
      <c r="QFZ11" s="2"/>
      <c r="QGA11" s="2"/>
      <c r="QGB11" s="2"/>
      <c r="QGC11" s="2"/>
      <c r="QGD11" s="2"/>
      <c r="QGE11" s="2"/>
      <c r="QGF11" s="2"/>
      <c r="QGG11" s="2"/>
      <c r="QGH11" s="2"/>
      <c r="QGI11" s="2"/>
      <c r="QGJ11" s="2"/>
      <c r="QGK11" s="2"/>
      <c r="QGL11" s="2"/>
      <c r="QGM11" s="2"/>
      <c r="QGN11" s="2"/>
      <c r="QGO11" s="2"/>
      <c r="QGP11" s="2"/>
      <c r="QGQ11" s="2"/>
      <c r="QGR11" s="2"/>
      <c r="QGS11" s="2"/>
      <c r="QGT11" s="2"/>
      <c r="QGU11" s="2"/>
      <c r="QGV11" s="2"/>
      <c r="QGW11" s="2"/>
      <c r="QGX11" s="2"/>
      <c r="QGY11" s="2"/>
      <c r="QGZ11" s="2"/>
      <c r="QHA11" s="2"/>
      <c r="QHB11" s="2"/>
      <c r="QHC11" s="2"/>
      <c r="QHD11" s="2"/>
      <c r="QHE11" s="2"/>
      <c r="QHF11" s="2"/>
      <c r="QHG11" s="2"/>
      <c r="QHH11" s="2"/>
      <c r="QHI11" s="2"/>
      <c r="QHJ11" s="2"/>
      <c r="QHK11" s="2"/>
      <c r="QHL11" s="2"/>
      <c r="QHM11" s="2"/>
      <c r="QHN11" s="2"/>
      <c r="QHO11" s="2"/>
      <c r="QHP11" s="2"/>
      <c r="QHQ11" s="2"/>
      <c r="QHR11" s="2"/>
      <c r="QHS11" s="2"/>
      <c r="QHT11" s="2"/>
      <c r="QHU11" s="2"/>
      <c r="QHV11" s="2"/>
      <c r="QHW11" s="2"/>
      <c r="QHX11" s="2"/>
      <c r="QHY11" s="2"/>
      <c r="QHZ11" s="2"/>
      <c r="QIA11" s="2"/>
      <c r="QIB11" s="2"/>
      <c r="QIC11" s="2"/>
      <c r="QID11" s="2"/>
      <c r="QIE11" s="2"/>
      <c r="QIF11" s="2"/>
      <c r="QIG11" s="2"/>
      <c r="QIH11" s="2"/>
      <c r="QII11" s="2"/>
      <c r="QIJ11" s="2"/>
      <c r="QIK11" s="2"/>
      <c r="QIL11" s="2"/>
      <c r="QIM11" s="2"/>
      <c r="QIN11" s="2"/>
      <c r="QIO11" s="2"/>
      <c r="QIP11" s="2"/>
      <c r="QIQ11" s="2"/>
      <c r="QIR11" s="2"/>
      <c r="QIS11" s="2"/>
      <c r="QIT11" s="2"/>
      <c r="QIU11" s="2"/>
      <c r="QIV11" s="2"/>
      <c r="QIW11" s="2"/>
      <c r="QIX11" s="2"/>
      <c r="QIY11" s="2"/>
      <c r="QIZ11" s="2"/>
      <c r="QJA11" s="2"/>
      <c r="QJB11" s="2"/>
      <c r="QJC11" s="2"/>
      <c r="QJD11" s="2"/>
      <c r="QJE11" s="2"/>
      <c r="QJF11" s="2"/>
      <c r="QJG11" s="2"/>
      <c r="QJH11" s="2"/>
      <c r="QJI11" s="2"/>
      <c r="QJJ11" s="2"/>
      <c r="QJK11" s="2"/>
      <c r="QJL11" s="2"/>
      <c r="QJM11" s="2"/>
      <c r="QJN11" s="2"/>
      <c r="QJO11" s="2"/>
      <c r="QJP11" s="2"/>
      <c r="QJQ11" s="2"/>
      <c r="QJR11" s="2"/>
      <c r="QJS11" s="2"/>
      <c r="QJT11" s="2"/>
      <c r="QJU11" s="2"/>
      <c r="QJV11" s="2"/>
      <c r="QJW11" s="2"/>
      <c r="QJX11" s="2"/>
      <c r="QJY11" s="2"/>
      <c r="QJZ11" s="2"/>
      <c r="QKA11" s="2"/>
      <c r="QKB11" s="2"/>
      <c r="QKC11" s="2"/>
      <c r="QKD11" s="2"/>
      <c r="QKE11" s="2"/>
      <c r="QKF11" s="2"/>
      <c r="QKG11" s="2"/>
      <c r="QKH11" s="2"/>
      <c r="QKI11" s="2"/>
      <c r="QKJ11" s="2"/>
      <c r="QKK11" s="2"/>
      <c r="QKL11" s="2"/>
      <c r="QKM11" s="2"/>
      <c r="QKN11" s="2"/>
      <c r="QKO11" s="2"/>
      <c r="QKP11" s="2"/>
      <c r="QKQ11" s="2"/>
      <c r="QKR11" s="2"/>
      <c r="QKS11" s="2"/>
      <c r="QKT11" s="2"/>
      <c r="QKU11" s="2"/>
      <c r="QKV11" s="2"/>
      <c r="QKW11" s="2"/>
      <c r="QKX11" s="2"/>
      <c r="QKY11" s="2"/>
      <c r="QKZ11" s="2"/>
      <c r="QLA11" s="2"/>
      <c r="QLB11" s="2"/>
      <c r="QLC11" s="2"/>
      <c r="QLD11" s="2"/>
      <c r="QLE11" s="2"/>
      <c r="QLF11" s="2"/>
      <c r="QLG11" s="2"/>
      <c r="QLH11" s="2"/>
      <c r="QLI11" s="2"/>
      <c r="QLJ11" s="2"/>
      <c r="QLK11" s="2"/>
      <c r="QLL11" s="2"/>
      <c r="QLM11" s="2"/>
      <c r="QLN11" s="2"/>
      <c r="QLO11" s="2"/>
      <c r="QLP11" s="2"/>
      <c r="QLQ11" s="2"/>
      <c r="QLR11" s="2"/>
      <c r="QLS11" s="2"/>
      <c r="QLT11" s="2"/>
      <c r="QLU11" s="2"/>
      <c r="QLV11" s="2"/>
      <c r="QLW11" s="2"/>
      <c r="QLX11" s="2"/>
      <c r="QLY11" s="2"/>
      <c r="QLZ11" s="2"/>
      <c r="QMA11" s="2"/>
      <c r="QMB11" s="2"/>
      <c r="QMC11" s="2"/>
      <c r="QMD11" s="2"/>
      <c r="QME11" s="2"/>
      <c r="QMF11" s="2"/>
      <c r="QMG11" s="2"/>
      <c r="QMH11" s="2"/>
      <c r="QMI11" s="2"/>
      <c r="QMJ11" s="2"/>
      <c r="QMK11" s="2"/>
      <c r="QML11" s="2"/>
      <c r="QMM11" s="2"/>
      <c r="QMN11" s="2"/>
      <c r="QMO11" s="2"/>
      <c r="QMP11" s="2"/>
      <c r="QMQ11" s="2"/>
      <c r="QMR11" s="2"/>
      <c r="QMS11" s="2"/>
      <c r="QMT11" s="2"/>
      <c r="QMU11" s="2"/>
      <c r="QMV11" s="2"/>
      <c r="QMW11" s="2"/>
      <c r="QMX11" s="2"/>
      <c r="QMY11" s="2"/>
      <c r="QMZ11" s="2"/>
      <c r="QNA11" s="2"/>
      <c r="QNB11" s="2"/>
      <c r="QNC11" s="2"/>
      <c r="QND11" s="2"/>
      <c r="QNE11" s="2"/>
      <c r="QNF11" s="2"/>
      <c r="QNG11" s="2"/>
      <c r="QNH11" s="2"/>
      <c r="QNI11" s="2"/>
      <c r="QNJ11" s="2"/>
      <c r="QNK11" s="2"/>
      <c r="QNL11" s="2"/>
      <c r="QNM11" s="2"/>
      <c r="QNN11" s="2"/>
      <c r="QNO11" s="2"/>
      <c r="QNP11" s="2"/>
      <c r="QNQ11" s="2"/>
      <c r="QNR11" s="2"/>
      <c r="QNS11" s="2"/>
      <c r="QNT11" s="2"/>
      <c r="QNU11" s="2"/>
      <c r="QNV11" s="2"/>
      <c r="QNW11" s="2"/>
      <c r="QNX11" s="2"/>
      <c r="QNY11" s="2"/>
      <c r="QNZ11" s="2"/>
      <c r="QOA11" s="2"/>
      <c r="QOB11" s="2"/>
      <c r="QOC11" s="2"/>
      <c r="QOD11" s="2"/>
      <c r="QOE11" s="2"/>
      <c r="QOF11" s="2"/>
      <c r="QOG11" s="2"/>
      <c r="QOH11" s="2"/>
      <c r="QOI11" s="2"/>
      <c r="QOJ11" s="2"/>
      <c r="QOK11" s="2"/>
      <c r="QOL11" s="2"/>
      <c r="QOM11" s="2"/>
      <c r="QON11" s="2"/>
      <c r="QOO11" s="2"/>
      <c r="QOP11" s="2"/>
      <c r="QOQ11" s="2"/>
      <c r="QOR11" s="2"/>
      <c r="QOS11" s="2"/>
      <c r="QOT11" s="2"/>
      <c r="QOU11" s="2"/>
      <c r="QOV11" s="2"/>
      <c r="QOW11" s="2"/>
      <c r="QOX11" s="2"/>
      <c r="QOY11" s="2"/>
      <c r="QOZ11" s="2"/>
      <c r="QPA11" s="2"/>
      <c r="QPB11" s="2"/>
      <c r="QPC11" s="2"/>
      <c r="QPD11" s="2"/>
      <c r="QPE11" s="2"/>
      <c r="QPF11" s="2"/>
      <c r="QPG11" s="2"/>
      <c r="QPH11" s="2"/>
      <c r="QPI11" s="2"/>
      <c r="QPJ11" s="2"/>
      <c r="QPK11" s="2"/>
      <c r="QPL11" s="2"/>
      <c r="QPM11" s="2"/>
      <c r="QPN11" s="2"/>
      <c r="QPO11" s="2"/>
      <c r="QPP11" s="2"/>
      <c r="QPQ11" s="2"/>
      <c r="QPR11" s="2"/>
      <c r="QPS11" s="2"/>
      <c r="QPT11" s="2"/>
      <c r="QPU11" s="2"/>
      <c r="QPV11" s="2"/>
      <c r="QPW11" s="2"/>
      <c r="QPX11" s="2"/>
      <c r="QPY11" s="2"/>
      <c r="QPZ11" s="2"/>
      <c r="QQA11" s="2"/>
      <c r="QQB11" s="2"/>
      <c r="QQC11" s="2"/>
      <c r="QQD11" s="2"/>
      <c r="QQE11" s="2"/>
      <c r="QQF11" s="2"/>
      <c r="QQG11" s="2"/>
      <c r="QQH11" s="2"/>
      <c r="QQI11" s="2"/>
      <c r="QQJ11" s="2"/>
      <c r="QQK11" s="2"/>
      <c r="QQL11" s="2"/>
      <c r="QQM11" s="2"/>
      <c r="QQN11" s="2"/>
      <c r="QQO11" s="2"/>
      <c r="QQP11" s="2"/>
      <c r="QQQ11" s="2"/>
      <c r="QQR11" s="2"/>
      <c r="QQS11" s="2"/>
      <c r="QQT11" s="2"/>
      <c r="QQU11" s="2"/>
      <c r="QQV11" s="2"/>
      <c r="QQW11" s="2"/>
      <c r="QQX11" s="2"/>
      <c r="QQY11" s="2"/>
      <c r="QQZ11" s="2"/>
      <c r="QRA11" s="2"/>
      <c r="QRB11" s="2"/>
      <c r="QRC11" s="2"/>
      <c r="QRD11" s="2"/>
      <c r="QRE11" s="2"/>
      <c r="QRF11" s="2"/>
      <c r="QRG11" s="2"/>
      <c r="QRH11" s="2"/>
      <c r="QRI11" s="2"/>
      <c r="QRJ11" s="2"/>
      <c r="QRK11" s="2"/>
      <c r="QRL11" s="2"/>
      <c r="QRM11" s="2"/>
      <c r="QRN11" s="2"/>
      <c r="QRO11" s="2"/>
      <c r="QRP11" s="2"/>
      <c r="QRQ11" s="2"/>
      <c r="QRR11" s="2"/>
      <c r="QRS11" s="2"/>
      <c r="QRT11" s="2"/>
      <c r="QRU11" s="2"/>
      <c r="QRV11" s="2"/>
      <c r="QRW11" s="2"/>
      <c r="QRX11" s="2"/>
      <c r="QRY11" s="2"/>
      <c r="QRZ11" s="2"/>
      <c r="QSA11" s="2"/>
      <c r="QSB11" s="2"/>
      <c r="QSC11" s="2"/>
      <c r="QSD11" s="2"/>
      <c r="QSE11" s="2"/>
      <c r="QSF11" s="2"/>
      <c r="QSG11" s="2"/>
      <c r="QSH11" s="2"/>
      <c r="QSI11" s="2"/>
      <c r="QSJ11" s="2"/>
      <c r="QSK11" s="2"/>
      <c r="QSL11" s="2"/>
      <c r="QSM11" s="2"/>
      <c r="QSN11" s="2"/>
      <c r="QSO11" s="2"/>
      <c r="QSP11" s="2"/>
      <c r="QSQ11" s="2"/>
      <c r="QSR11" s="2"/>
      <c r="QSS11" s="2"/>
      <c r="QST11" s="2"/>
      <c r="QSU11" s="2"/>
      <c r="QSV11" s="2"/>
      <c r="QSW11" s="2"/>
      <c r="QSX11" s="2"/>
      <c r="QSY11" s="2"/>
      <c r="QSZ11" s="2"/>
      <c r="QTA11" s="2"/>
      <c r="QTB11" s="2"/>
      <c r="QTC11" s="2"/>
      <c r="QTD11" s="2"/>
      <c r="QTE11" s="2"/>
      <c r="QTF11" s="2"/>
      <c r="QTG11" s="2"/>
      <c r="QTH11" s="2"/>
      <c r="QTI11" s="2"/>
      <c r="QTJ11" s="2"/>
      <c r="QTK11" s="2"/>
      <c r="QTL11" s="2"/>
      <c r="QTM11" s="2"/>
      <c r="QTN11" s="2"/>
      <c r="QTO11" s="2"/>
      <c r="QTP11" s="2"/>
      <c r="QTQ11" s="2"/>
      <c r="QTR11" s="2"/>
      <c r="QTS11" s="2"/>
      <c r="QTT11" s="2"/>
      <c r="QTU11" s="2"/>
      <c r="QTV11" s="2"/>
      <c r="QTW11" s="2"/>
      <c r="QTX11" s="2"/>
      <c r="QTY11" s="2"/>
      <c r="QTZ11" s="2"/>
      <c r="QUA11" s="2"/>
      <c r="QUB11" s="2"/>
      <c r="QUC11" s="2"/>
      <c r="QUD11" s="2"/>
      <c r="QUE11" s="2"/>
      <c r="QUF11" s="2"/>
      <c r="QUG11" s="2"/>
      <c r="QUH11" s="2"/>
      <c r="QUI11" s="2"/>
      <c r="QUJ11" s="2"/>
      <c r="QUK11" s="2"/>
      <c r="QUL11" s="2"/>
      <c r="QUM11" s="2"/>
      <c r="QUN11" s="2"/>
      <c r="QUO11" s="2"/>
      <c r="QUP11" s="2"/>
      <c r="QUQ11" s="2"/>
      <c r="QUR11" s="2"/>
      <c r="QUS11" s="2"/>
      <c r="QUT11" s="2"/>
      <c r="QUU11" s="2"/>
      <c r="QUV11" s="2"/>
      <c r="QUW11" s="2"/>
      <c r="QUX11" s="2"/>
      <c r="QUY11" s="2"/>
      <c r="QUZ11" s="2"/>
      <c r="QVA11" s="2"/>
      <c r="QVB11" s="2"/>
      <c r="QVC11" s="2"/>
      <c r="QVD11" s="2"/>
      <c r="QVE11" s="2"/>
      <c r="QVF11" s="2"/>
      <c r="QVG11" s="2"/>
      <c r="QVH11" s="2"/>
      <c r="QVI11" s="2"/>
      <c r="QVJ11" s="2"/>
      <c r="QVK11" s="2"/>
      <c r="QVL11" s="2"/>
      <c r="QVM11" s="2"/>
      <c r="QVN11" s="2"/>
      <c r="QVO11" s="2"/>
      <c r="QVP11" s="2"/>
      <c r="QVQ11" s="2"/>
      <c r="QVR11" s="2"/>
      <c r="QVS11" s="2"/>
      <c r="QVT11" s="2"/>
      <c r="QVU11" s="2"/>
      <c r="QVV11" s="2"/>
      <c r="QVW11" s="2"/>
      <c r="QVX11" s="2"/>
      <c r="QVY11" s="2"/>
      <c r="QVZ11" s="2"/>
      <c r="QWA11" s="2"/>
      <c r="QWB11" s="2"/>
      <c r="QWC11" s="2"/>
      <c r="QWD11" s="2"/>
      <c r="QWE11" s="2"/>
      <c r="QWF11" s="2"/>
      <c r="QWG11" s="2"/>
      <c r="QWH11" s="2"/>
      <c r="QWI11" s="2"/>
      <c r="QWJ11" s="2"/>
      <c r="QWK11" s="2"/>
      <c r="QWL11" s="2"/>
      <c r="QWM11" s="2"/>
      <c r="QWN11" s="2"/>
      <c r="QWO11" s="2"/>
      <c r="QWP11" s="2"/>
      <c r="QWQ11" s="2"/>
      <c r="QWR11" s="2"/>
      <c r="QWS11" s="2"/>
      <c r="QWT11" s="2"/>
      <c r="QWU11" s="2"/>
      <c r="QWV11" s="2"/>
      <c r="QWW11" s="2"/>
      <c r="QWX11" s="2"/>
      <c r="QWY11" s="2"/>
      <c r="QWZ11" s="2"/>
      <c r="QXA11" s="2"/>
      <c r="QXB11" s="2"/>
      <c r="QXC11" s="2"/>
      <c r="QXD11" s="2"/>
      <c r="QXE11" s="2"/>
      <c r="QXF11" s="2"/>
      <c r="QXG11" s="2"/>
      <c r="QXH11" s="2"/>
      <c r="QXI11" s="2"/>
      <c r="QXJ11" s="2"/>
      <c r="QXK11" s="2"/>
      <c r="QXL11" s="2"/>
      <c r="QXM11" s="2"/>
      <c r="QXN11" s="2"/>
      <c r="QXO11" s="2"/>
      <c r="QXP11" s="2"/>
      <c r="QXQ11" s="2"/>
      <c r="QXR11" s="2"/>
      <c r="QXS11" s="2"/>
      <c r="QXT11" s="2"/>
      <c r="QXU11" s="2"/>
      <c r="QXV11" s="2"/>
      <c r="QXW11" s="2"/>
      <c r="QXX11" s="2"/>
      <c r="QXY11" s="2"/>
      <c r="QXZ11" s="2"/>
      <c r="QYA11" s="2"/>
      <c r="QYB11" s="2"/>
      <c r="QYC11" s="2"/>
      <c r="QYD11" s="2"/>
      <c r="QYE11" s="2"/>
      <c r="QYF11" s="2"/>
      <c r="QYG11" s="2"/>
      <c r="QYH11" s="2"/>
      <c r="QYI11" s="2"/>
      <c r="QYJ11" s="2"/>
      <c r="QYK11" s="2"/>
      <c r="QYL11" s="2"/>
      <c r="QYM11" s="2"/>
      <c r="QYN11" s="2"/>
      <c r="QYO11" s="2"/>
      <c r="QYP11" s="2"/>
      <c r="QYQ11" s="2"/>
      <c r="QYR11" s="2"/>
      <c r="QYS11" s="2"/>
      <c r="QYT11" s="2"/>
      <c r="QYU11" s="2"/>
      <c r="QYV11" s="2"/>
      <c r="QYW11" s="2"/>
      <c r="QYX11" s="2"/>
      <c r="QYY11" s="2"/>
      <c r="QYZ11" s="2"/>
      <c r="QZA11" s="2"/>
      <c r="QZB11" s="2"/>
      <c r="QZC11" s="2"/>
      <c r="QZD11" s="2"/>
      <c r="QZE11" s="2"/>
      <c r="QZF11" s="2"/>
      <c r="QZG11" s="2"/>
      <c r="QZH11" s="2"/>
      <c r="QZI11" s="2"/>
      <c r="QZJ11" s="2"/>
      <c r="QZK11" s="2"/>
      <c r="QZL11" s="2"/>
      <c r="QZM11" s="2"/>
      <c r="QZN11" s="2"/>
      <c r="QZO11" s="2"/>
      <c r="QZP11" s="2"/>
      <c r="QZQ11" s="2"/>
      <c r="QZR11" s="2"/>
      <c r="QZS11" s="2"/>
      <c r="QZT11" s="2"/>
      <c r="QZU11" s="2"/>
      <c r="QZV11" s="2"/>
      <c r="QZW11" s="2"/>
      <c r="QZX11" s="2"/>
      <c r="QZY11" s="2"/>
      <c r="QZZ11" s="2"/>
      <c r="RAA11" s="2"/>
      <c r="RAB11" s="2"/>
      <c r="RAC11" s="2"/>
      <c r="RAD11" s="2"/>
      <c r="RAE11" s="2"/>
      <c r="RAF11" s="2"/>
      <c r="RAG11" s="2"/>
      <c r="RAH11" s="2"/>
      <c r="RAI11" s="2"/>
      <c r="RAJ11" s="2"/>
      <c r="RAK11" s="2"/>
      <c r="RAL11" s="2"/>
      <c r="RAM11" s="2"/>
      <c r="RAN11" s="2"/>
      <c r="RAO11" s="2"/>
      <c r="RAP11" s="2"/>
      <c r="RAQ11" s="2"/>
      <c r="RAR11" s="2"/>
      <c r="RAS11" s="2"/>
      <c r="RAT11" s="2"/>
      <c r="RAU11" s="2"/>
      <c r="RAV11" s="2"/>
      <c r="RAW11" s="2"/>
      <c r="RAX11" s="2"/>
      <c r="RAY11" s="2"/>
      <c r="RAZ11" s="2"/>
      <c r="RBA11" s="2"/>
      <c r="RBB11" s="2"/>
      <c r="RBC11" s="2"/>
      <c r="RBD11" s="2"/>
      <c r="RBE11" s="2"/>
      <c r="RBF11" s="2"/>
      <c r="RBG11" s="2"/>
      <c r="RBH11" s="2"/>
      <c r="RBI11" s="2"/>
      <c r="RBJ11" s="2"/>
      <c r="RBK11" s="2"/>
      <c r="RBL11" s="2"/>
      <c r="RBM11" s="2"/>
      <c r="RBN11" s="2"/>
      <c r="RBO11" s="2"/>
      <c r="RBP11" s="2"/>
      <c r="RBQ11" s="2"/>
      <c r="RBR11" s="2"/>
      <c r="RBS11" s="2"/>
      <c r="RBT11" s="2"/>
      <c r="RBU11" s="2"/>
      <c r="RBV11" s="2"/>
      <c r="RBW11" s="2"/>
      <c r="RBX11" s="2"/>
      <c r="RBY11" s="2"/>
      <c r="RBZ11" s="2"/>
      <c r="RCA11" s="2"/>
      <c r="RCB11" s="2"/>
      <c r="RCC11" s="2"/>
      <c r="RCD11" s="2"/>
      <c r="RCE11" s="2"/>
      <c r="RCF11" s="2"/>
      <c r="RCG11" s="2"/>
      <c r="RCH11" s="2"/>
      <c r="RCI11" s="2"/>
      <c r="RCJ11" s="2"/>
      <c r="RCK11" s="2"/>
      <c r="RCL11" s="2"/>
      <c r="RCM11" s="2"/>
      <c r="RCN11" s="2"/>
      <c r="RCO11" s="2"/>
      <c r="RCP11" s="2"/>
      <c r="RCQ11" s="2"/>
      <c r="RCR11" s="2"/>
      <c r="RCS11" s="2"/>
      <c r="RCT11" s="2"/>
      <c r="RCU11" s="2"/>
      <c r="RCV11" s="2"/>
      <c r="RCW11" s="2"/>
      <c r="RCX11" s="2"/>
      <c r="RCY11" s="2"/>
      <c r="RCZ11" s="2"/>
      <c r="RDA11" s="2"/>
      <c r="RDB11" s="2"/>
      <c r="RDC11" s="2"/>
      <c r="RDD11" s="2"/>
      <c r="RDE11" s="2"/>
      <c r="RDF11" s="2"/>
      <c r="RDG11" s="2"/>
      <c r="RDH11" s="2"/>
      <c r="RDI11" s="2"/>
      <c r="RDJ11" s="2"/>
      <c r="RDK11" s="2"/>
      <c r="RDL11" s="2"/>
      <c r="RDM11" s="2"/>
      <c r="RDN11" s="2"/>
      <c r="RDO11" s="2"/>
      <c r="RDP11" s="2"/>
      <c r="RDQ11" s="2"/>
      <c r="RDR11" s="2"/>
      <c r="RDS11" s="2"/>
      <c r="RDT11" s="2"/>
      <c r="RDU11" s="2"/>
      <c r="RDV11" s="2"/>
      <c r="RDW11" s="2"/>
      <c r="RDX11" s="2"/>
      <c r="RDY11" s="2"/>
      <c r="RDZ11" s="2"/>
      <c r="REA11" s="2"/>
      <c r="REB11" s="2"/>
      <c r="REC11" s="2"/>
      <c r="RED11" s="2"/>
      <c r="REE11" s="2"/>
      <c r="REF11" s="2"/>
      <c r="REG11" s="2"/>
      <c r="REH11" s="2"/>
      <c r="REI11" s="2"/>
      <c r="REJ11" s="2"/>
      <c r="REK11" s="2"/>
      <c r="REL11" s="2"/>
      <c r="REM11" s="2"/>
      <c r="REN11" s="2"/>
      <c r="REO11" s="2"/>
      <c r="REP11" s="2"/>
      <c r="REQ11" s="2"/>
      <c r="RER11" s="2"/>
      <c r="RES11" s="2"/>
      <c r="RET11" s="2"/>
      <c r="REU11" s="2"/>
      <c r="REV11" s="2"/>
      <c r="REW11" s="2"/>
      <c r="REX11" s="2"/>
      <c r="REY11" s="2"/>
      <c r="REZ11" s="2"/>
      <c r="RFA11" s="2"/>
      <c r="RFB11" s="2"/>
      <c r="RFC11" s="2"/>
      <c r="RFD11" s="2"/>
      <c r="RFE11" s="2"/>
      <c r="RFF11" s="2"/>
      <c r="RFG11" s="2"/>
      <c r="RFH11" s="2"/>
      <c r="RFI11" s="2"/>
      <c r="RFJ11" s="2"/>
      <c r="RFK11" s="2"/>
      <c r="RFL11" s="2"/>
      <c r="RFM11" s="2"/>
      <c r="RFN11" s="2"/>
      <c r="RFO11" s="2"/>
      <c r="RFP11" s="2"/>
      <c r="RFQ11" s="2"/>
      <c r="RFR11" s="2"/>
      <c r="RFS11" s="2"/>
      <c r="RFT11" s="2"/>
      <c r="RFU11" s="2"/>
      <c r="RFV11" s="2"/>
      <c r="RFW11" s="2"/>
      <c r="RFX11" s="2"/>
      <c r="RFY11" s="2"/>
      <c r="RFZ11" s="2"/>
      <c r="RGA11" s="2"/>
      <c r="RGB11" s="2"/>
      <c r="RGC11" s="2"/>
      <c r="RGD11" s="2"/>
      <c r="RGE11" s="2"/>
      <c r="RGF11" s="2"/>
      <c r="RGG11" s="2"/>
      <c r="RGH11" s="2"/>
      <c r="RGI11" s="2"/>
      <c r="RGJ11" s="2"/>
      <c r="RGK11" s="2"/>
      <c r="RGL11" s="2"/>
      <c r="RGM11" s="2"/>
      <c r="RGN11" s="2"/>
      <c r="RGO11" s="2"/>
      <c r="RGP11" s="2"/>
      <c r="RGQ11" s="2"/>
      <c r="RGR11" s="2"/>
      <c r="RGS11" s="2"/>
      <c r="RGT11" s="2"/>
      <c r="RGU11" s="2"/>
      <c r="RGV11" s="2"/>
      <c r="RGW11" s="2"/>
      <c r="RGX11" s="2"/>
      <c r="RGY11" s="2"/>
      <c r="RGZ11" s="2"/>
      <c r="RHA11" s="2"/>
      <c r="RHB11" s="2"/>
      <c r="RHC11" s="2"/>
      <c r="RHD11" s="2"/>
      <c r="RHE11" s="2"/>
      <c r="RHF11" s="2"/>
      <c r="RHG11" s="2"/>
      <c r="RHH11" s="2"/>
      <c r="RHI11" s="2"/>
      <c r="RHJ11" s="2"/>
      <c r="RHK11" s="2"/>
      <c r="RHL11" s="2"/>
      <c r="RHM11" s="2"/>
      <c r="RHN11" s="2"/>
      <c r="RHO11" s="2"/>
      <c r="RHP11" s="2"/>
      <c r="RHQ11" s="2"/>
      <c r="RHR11" s="2"/>
      <c r="RHS11" s="2"/>
      <c r="RHT11" s="2"/>
      <c r="RHU11" s="2"/>
      <c r="RHV11" s="2"/>
      <c r="RHW11" s="2"/>
      <c r="RHX11" s="2"/>
      <c r="RHY11" s="2"/>
      <c r="RHZ11" s="2"/>
      <c r="RIA11" s="2"/>
      <c r="RIB11" s="2"/>
      <c r="RIC11" s="2"/>
      <c r="RID11" s="2"/>
      <c r="RIE11" s="2"/>
      <c r="RIF11" s="2"/>
      <c r="RIG11" s="2"/>
      <c r="RIH11" s="2"/>
      <c r="RII11" s="2"/>
      <c r="RIJ11" s="2"/>
      <c r="RIK11" s="2"/>
      <c r="RIL11" s="2"/>
      <c r="RIM11" s="2"/>
      <c r="RIN11" s="2"/>
      <c r="RIO11" s="2"/>
      <c r="RIP11" s="2"/>
      <c r="RIQ11" s="2"/>
      <c r="RIR11" s="2"/>
      <c r="RIS11" s="2"/>
      <c r="RIT11" s="2"/>
      <c r="RIU11" s="2"/>
      <c r="RIV11" s="2"/>
      <c r="RIW11" s="2"/>
      <c r="RIX11" s="2"/>
      <c r="RIY11" s="2"/>
      <c r="RIZ11" s="2"/>
      <c r="RJA11" s="2"/>
      <c r="RJB11" s="2"/>
      <c r="RJC11" s="2"/>
      <c r="RJD11" s="2"/>
      <c r="RJE11" s="2"/>
      <c r="RJF11" s="2"/>
      <c r="RJG11" s="2"/>
      <c r="RJH11" s="2"/>
      <c r="RJI11" s="2"/>
      <c r="RJJ11" s="2"/>
      <c r="RJK11" s="2"/>
      <c r="RJL11" s="2"/>
      <c r="RJM11" s="2"/>
      <c r="RJN11" s="2"/>
      <c r="RJO11" s="2"/>
      <c r="RJP11" s="2"/>
      <c r="RJQ11" s="2"/>
      <c r="RJR11" s="2"/>
      <c r="RJS11" s="2"/>
      <c r="RJT11" s="2"/>
      <c r="RJU11" s="2"/>
      <c r="RJV11" s="2"/>
      <c r="RJW11" s="2"/>
      <c r="RJX11" s="2"/>
      <c r="RJY11" s="2"/>
      <c r="RJZ11" s="2"/>
      <c r="RKA11" s="2"/>
      <c r="RKB11" s="2"/>
      <c r="RKC11" s="2"/>
      <c r="RKD11" s="2"/>
      <c r="RKE11" s="2"/>
      <c r="RKF11" s="2"/>
      <c r="RKG11" s="2"/>
      <c r="RKH11" s="2"/>
      <c r="RKI11" s="2"/>
      <c r="RKJ11" s="2"/>
      <c r="RKK11" s="2"/>
      <c r="RKL11" s="2"/>
      <c r="RKM11" s="2"/>
      <c r="RKN11" s="2"/>
      <c r="RKO11" s="2"/>
      <c r="RKP11" s="2"/>
      <c r="RKQ11" s="2"/>
      <c r="RKR11" s="2"/>
      <c r="RKS11" s="2"/>
      <c r="RKT11" s="2"/>
      <c r="RKU11" s="2"/>
      <c r="RKV11" s="2"/>
      <c r="RKW11" s="2"/>
      <c r="RKX11" s="2"/>
      <c r="RKY11" s="2"/>
      <c r="RKZ11" s="2"/>
      <c r="RLA11" s="2"/>
      <c r="RLB11" s="2"/>
      <c r="RLC11" s="2"/>
      <c r="RLD11" s="2"/>
      <c r="RLE11" s="2"/>
      <c r="RLF11" s="2"/>
      <c r="RLG11" s="2"/>
      <c r="RLH11" s="2"/>
      <c r="RLI11" s="2"/>
      <c r="RLJ11" s="2"/>
      <c r="RLK11" s="2"/>
      <c r="RLL11" s="2"/>
      <c r="RLM11" s="2"/>
      <c r="RLN11" s="2"/>
      <c r="RLO11" s="2"/>
      <c r="RLP11" s="2"/>
      <c r="RLQ11" s="2"/>
      <c r="RLR11" s="2"/>
      <c r="RLS11" s="2"/>
      <c r="RLT11" s="2"/>
      <c r="RLU11" s="2"/>
      <c r="RLV11" s="2"/>
      <c r="RLW11" s="2"/>
      <c r="RLX11" s="2"/>
      <c r="RLY11" s="2"/>
      <c r="RLZ11" s="2"/>
      <c r="RMA11" s="2"/>
      <c r="RMB11" s="2"/>
      <c r="RMC11" s="2"/>
      <c r="RMD11" s="2"/>
      <c r="RME11" s="2"/>
      <c r="RMF11" s="2"/>
      <c r="RMG11" s="2"/>
      <c r="RMH11" s="2"/>
      <c r="RMI11" s="2"/>
      <c r="RMJ11" s="2"/>
      <c r="RMK11" s="2"/>
      <c r="RML11" s="2"/>
      <c r="RMM11" s="2"/>
      <c r="RMN11" s="2"/>
      <c r="RMO11" s="2"/>
      <c r="RMP11" s="2"/>
      <c r="RMQ11" s="2"/>
      <c r="RMR11" s="2"/>
      <c r="RMS11" s="2"/>
      <c r="RMT11" s="2"/>
      <c r="RMU11" s="2"/>
      <c r="RMV11" s="2"/>
      <c r="RMW11" s="2"/>
      <c r="RMX11" s="2"/>
      <c r="RMY11" s="2"/>
      <c r="RMZ11" s="2"/>
      <c r="RNA11" s="2"/>
      <c r="RNB11" s="2"/>
      <c r="RNC11" s="2"/>
      <c r="RND11" s="2"/>
      <c r="RNE11" s="2"/>
      <c r="RNF11" s="2"/>
      <c r="RNG11" s="2"/>
      <c r="RNH11" s="2"/>
      <c r="RNI11" s="2"/>
      <c r="RNJ11" s="2"/>
      <c r="RNK11" s="2"/>
      <c r="RNL11" s="2"/>
      <c r="RNM11" s="2"/>
      <c r="RNN11" s="2"/>
      <c r="RNO11" s="2"/>
      <c r="RNP11" s="2"/>
      <c r="RNQ11" s="2"/>
      <c r="RNR11" s="2"/>
      <c r="RNS11" s="2"/>
      <c r="RNT11" s="2"/>
      <c r="RNU11" s="2"/>
      <c r="RNV11" s="2"/>
      <c r="RNW11" s="2"/>
      <c r="RNX11" s="2"/>
      <c r="RNY11" s="2"/>
      <c r="RNZ11" s="2"/>
      <c r="ROA11" s="2"/>
      <c r="ROB11" s="2"/>
      <c r="ROC11" s="2"/>
      <c r="ROD11" s="2"/>
      <c r="ROE11" s="2"/>
      <c r="ROF11" s="2"/>
      <c r="ROG11" s="2"/>
      <c r="ROH11" s="2"/>
      <c r="ROI11" s="2"/>
      <c r="ROJ11" s="2"/>
      <c r="ROK11" s="2"/>
      <c r="ROL11" s="2"/>
      <c r="ROM11" s="2"/>
      <c r="RON11" s="2"/>
      <c r="ROO11" s="2"/>
      <c r="ROP11" s="2"/>
      <c r="ROQ11" s="2"/>
      <c r="ROR11" s="2"/>
      <c r="ROS11" s="2"/>
      <c r="ROT11" s="2"/>
      <c r="ROU11" s="2"/>
      <c r="ROV11" s="2"/>
      <c r="ROW11" s="2"/>
      <c r="ROX11" s="2"/>
      <c r="ROY11" s="2"/>
      <c r="ROZ11" s="2"/>
      <c r="RPA11" s="2"/>
      <c r="RPB11" s="2"/>
      <c r="RPC11" s="2"/>
      <c r="RPD11" s="2"/>
      <c r="RPE11" s="2"/>
      <c r="RPF11" s="2"/>
      <c r="RPG11" s="2"/>
      <c r="RPH11" s="2"/>
      <c r="RPI11" s="2"/>
      <c r="RPJ11" s="2"/>
      <c r="RPK11" s="2"/>
      <c r="RPL11" s="2"/>
      <c r="RPM11" s="2"/>
      <c r="RPN11" s="2"/>
      <c r="RPO11" s="2"/>
      <c r="RPP11" s="2"/>
      <c r="RPQ11" s="2"/>
      <c r="RPR11" s="2"/>
      <c r="RPS11" s="2"/>
      <c r="RPT11" s="2"/>
      <c r="RPU11" s="2"/>
      <c r="RPV11" s="2"/>
      <c r="RPW11" s="2"/>
      <c r="RPX11" s="2"/>
      <c r="RPY11" s="2"/>
      <c r="RPZ11" s="2"/>
      <c r="RQA11" s="2"/>
      <c r="RQB11" s="2"/>
      <c r="RQC11" s="2"/>
      <c r="RQD11" s="2"/>
      <c r="RQE11" s="2"/>
      <c r="RQF11" s="2"/>
      <c r="RQG11" s="2"/>
      <c r="RQH11" s="2"/>
      <c r="RQI11" s="2"/>
      <c r="RQJ11" s="2"/>
      <c r="RQK11" s="2"/>
      <c r="RQL11" s="2"/>
      <c r="RQM11" s="2"/>
      <c r="RQN11" s="2"/>
      <c r="RQO11" s="2"/>
      <c r="RQP11" s="2"/>
      <c r="RQQ11" s="2"/>
      <c r="RQR11" s="2"/>
      <c r="RQS11" s="2"/>
      <c r="RQT11" s="2"/>
      <c r="RQU11" s="2"/>
      <c r="RQV11" s="2"/>
      <c r="RQW11" s="2"/>
      <c r="RQX11" s="2"/>
      <c r="RQY11" s="2"/>
      <c r="RQZ11" s="2"/>
      <c r="RRA11" s="2"/>
      <c r="RRB11" s="2"/>
      <c r="RRC11" s="2"/>
      <c r="RRD11" s="2"/>
      <c r="RRE11" s="2"/>
      <c r="RRF11" s="2"/>
      <c r="RRG11" s="2"/>
      <c r="RRH11" s="2"/>
      <c r="RRI11" s="2"/>
      <c r="RRJ11" s="2"/>
      <c r="RRK11" s="2"/>
      <c r="RRL11" s="2"/>
      <c r="RRM11" s="2"/>
      <c r="RRN11" s="2"/>
      <c r="RRO11" s="2"/>
      <c r="RRP11" s="2"/>
      <c r="RRQ11" s="2"/>
      <c r="RRR11" s="2"/>
      <c r="RRS11" s="2"/>
      <c r="RRT11" s="2"/>
      <c r="RRU11" s="2"/>
      <c r="RRV11" s="2"/>
      <c r="RRW11" s="2"/>
      <c r="RRX11" s="2"/>
      <c r="RRY11" s="2"/>
      <c r="RRZ11" s="2"/>
      <c r="RSA11" s="2"/>
      <c r="RSB11" s="2"/>
      <c r="RSC11" s="2"/>
      <c r="RSD11" s="2"/>
      <c r="RSE11" s="2"/>
      <c r="RSF11" s="2"/>
      <c r="RSG11" s="2"/>
      <c r="RSH11" s="2"/>
      <c r="RSI11" s="2"/>
      <c r="RSJ11" s="2"/>
      <c r="RSK11" s="2"/>
      <c r="RSL11" s="2"/>
      <c r="RSM11" s="2"/>
      <c r="RSN11" s="2"/>
      <c r="RSO11" s="2"/>
      <c r="RSP11" s="2"/>
      <c r="RSQ11" s="2"/>
      <c r="RSR11" s="2"/>
      <c r="RSS11" s="2"/>
      <c r="RST11" s="2"/>
      <c r="RSU11" s="2"/>
      <c r="RSV11" s="2"/>
      <c r="RSW11" s="2"/>
      <c r="RSX11" s="2"/>
      <c r="RSY11" s="2"/>
      <c r="RSZ11" s="2"/>
      <c r="RTA11" s="2"/>
      <c r="RTB11" s="2"/>
      <c r="RTC11" s="2"/>
      <c r="RTD11" s="2"/>
      <c r="RTE11" s="2"/>
      <c r="RTF11" s="2"/>
      <c r="RTG11" s="2"/>
      <c r="RTH11" s="2"/>
      <c r="RTI11" s="2"/>
      <c r="RTJ11" s="2"/>
      <c r="RTK11" s="2"/>
      <c r="RTL11" s="2"/>
      <c r="RTM11" s="2"/>
      <c r="RTN11" s="2"/>
      <c r="RTO11" s="2"/>
      <c r="RTP11" s="2"/>
      <c r="RTQ11" s="2"/>
      <c r="RTR11" s="2"/>
      <c r="RTS11" s="2"/>
      <c r="RTT11" s="2"/>
      <c r="RTU11" s="2"/>
      <c r="RTV11" s="2"/>
      <c r="RTW11" s="2"/>
      <c r="RTX11" s="2"/>
      <c r="RTY11" s="2"/>
      <c r="RTZ11" s="2"/>
      <c r="RUA11" s="2"/>
      <c r="RUB11" s="2"/>
      <c r="RUC11" s="2"/>
      <c r="RUD11" s="2"/>
      <c r="RUE11" s="2"/>
      <c r="RUF11" s="2"/>
      <c r="RUG11" s="2"/>
      <c r="RUH11" s="2"/>
      <c r="RUI11" s="2"/>
      <c r="RUJ11" s="2"/>
      <c r="RUK11" s="2"/>
      <c r="RUL11" s="2"/>
      <c r="RUM11" s="2"/>
      <c r="RUN11" s="2"/>
      <c r="RUO11" s="2"/>
      <c r="RUP11" s="2"/>
      <c r="RUQ11" s="2"/>
      <c r="RUR11" s="2"/>
      <c r="RUS11" s="2"/>
      <c r="RUT11" s="2"/>
      <c r="RUU11" s="2"/>
      <c r="RUV11" s="2"/>
      <c r="RUW11" s="2"/>
      <c r="RUX11" s="2"/>
      <c r="RUY11" s="2"/>
      <c r="RUZ11" s="2"/>
      <c r="RVA11" s="2"/>
      <c r="RVB11" s="2"/>
      <c r="RVC11" s="2"/>
      <c r="RVD11" s="2"/>
      <c r="RVE11" s="2"/>
      <c r="RVF11" s="2"/>
      <c r="RVG11" s="2"/>
      <c r="RVH11" s="2"/>
      <c r="RVI11" s="2"/>
      <c r="RVJ11" s="2"/>
      <c r="RVK11" s="2"/>
      <c r="RVL11" s="2"/>
      <c r="RVM11" s="2"/>
      <c r="RVN11" s="2"/>
      <c r="RVO11" s="2"/>
      <c r="RVP11" s="2"/>
      <c r="RVQ11" s="2"/>
      <c r="RVR11" s="2"/>
      <c r="RVS11" s="2"/>
      <c r="RVT11" s="2"/>
      <c r="RVU11" s="2"/>
      <c r="RVV11" s="2"/>
      <c r="RVW11" s="2"/>
      <c r="RVX11" s="2"/>
      <c r="RVY11" s="2"/>
      <c r="RVZ11" s="2"/>
      <c r="RWA11" s="2"/>
      <c r="RWB11" s="2"/>
      <c r="RWC11" s="2"/>
      <c r="RWD11" s="2"/>
      <c r="RWE11" s="2"/>
      <c r="RWF11" s="2"/>
      <c r="RWG11" s="2"/>
      <c r="RWH11" s="2"/>
      <c r="RWI11" s="2"/>
      <c r="RWJ11" s="2"/>
      <c r="RWK11" s="2"/>
      <c r="RWL11" s="2"/>
      <c r="RWM11" s="2"/>
      <c r="RWN11" s="2"/>
      <c r="RWO11" s="2"/>
      <c r="RWP11" s="2"/>
      <c r="RWQ11" s="2"/>
      <c r="RWR11" s="2"/>
      <c r="RWS11" s="2"/>
      <c r="RWT11" s="2"/>
      <c r="RWU11" s="2"/>
      <c r="RWV11" s="2"/>
      <c r="RWW11" s="2"/>
      <c r="RWX11" s="2"/>
      <c r="RWY11" s="2"/>
      <c r="RWZ11" s="2"/>
      <c r="RXA11" s="2"/>
      <c r="RXB11" s="2"/>
      <c r="RXC11" s="2"/>
      <c r="RXD11" s="2"/>
      <c r="RXE11" s="2"/>
      <c r="RXF11" s="2"/>
      <c r="RXG11" s="2"/>
      <c r="RXH11" s="2"/>
      <c r="RXI11" s="2"/>
      <c r="RXJ11" s="2"/>
      <c r="RXK11" s="2"/>
      <c r="RXL11" s="2"/>
      <c r="RXM11" s="2"/>
      <c r="RXN11" s="2"/>
      <c r="RXO11" s="2"/>
      <c r="RXP11" s="2"/>
      <c r="RXQ11" s="2"/>
      <c r="RXR11" s="2"/>
      <c r="RXS11" s="2"/>
      <c r="RXT11" s="2"/>
      <c r="RXU11" s="2"/>
      <c r="RXV11" s="2"/>
      <c r="RXW11" s="2"/>
      <c r="RXX11" s="2"/>
      <c r="RXY11" s="2"/>
      <c r="RXZ11" s="2"/>
      <c r="RYA11" s="2"/>
      <c r="RYB11" s="2"/>
      <c r="RYC11" s="2"/>
      <c r="RYD11" s="2"/>
      <c r="RYE11" s="2"/>
      <c r="RYF11" s="2"/>
      <c r="RYG11" s="2"/>
      <c r="RYH11" s="2"/>
      <c r="RYI11" s="2"/>
      <c r="RYJ11" s="2"/>
      <c r="RYK11" s="2"/>
      <c r="RYL11" s="2"/>
      <c r="RYM11" s="2"/>
      <c r="RYN11" s="2"/>
      <c r="RYO11" s="2"/>
      <c r="RYP11" s="2"/>
      <c r="RYQ11" s="2"/>
      <c r="RYR11" s="2"/>
      <c r="RYS11" s="2"/>
      <c r="RYT11" s="2"/>
      <c r="RYU11" s="2"/>
      <c r="RYV11" s="2"/>
      <c r="RYW11" s="2"/>
      <c r="RYX11" s="2"/>
      <c r="RYY11" s="2"/>
      <c r="RYZ11" s="2"/>
      <c r="RZA11" s="2"/>
      <c r="RZB11" s="2"/>
      <c r="RZC11" s="2"/>
      <c r="RZD11" s="2"/>
      <c r="RZE11" s="2"/>
      <c r="RZF11" s="2"/>
      <c r="RZG11" s="2"/>
      <c r="RZH11" s="2"/>
      <c r="RZI11" s="2"/>
      <c r="RZJ11" s="2"/>
      <c r="RZK11" s="2"/>
      <c r="RZL11" s="2"/>
      <c r="RZM11" s="2"/>
      <c r="RZN11" s="2"/>
      <c r="RZO11" s="2"/>
      <c r="RZP11" s="2"/>
      <c r="RZQ11" s="2"/>
      <c r="RZR11" s="2"/>
      <c r="RZS11" s="2"/>
      <c r="RZT11" s="2"/>
      <c r="RZU11" s="2"/>
      <c r="RZV11" s="2"/>
      <c r="RZW11" s="2"/>
      <c r="RZX11" s="2"/>
      <c r="RZY11" s="2"/>
      <c r="RZZ11" s="2"/>
      <c r="SAA11" s="2"/>
      <c r="SAB11" s="2"/>
      <c r="SAC11" s="2"/>
      <c r="SAD11" s="2"/>
      <c r="SAE11" s="2"/>
      <c r="SAF11" s="2"/>
      <c r="SAG11" s="2"/>
      <c r="SAH11" s="2"/>
      <c r="SAI11" s="2"/>
      <c r="SAJ11" s="2"/>
      <c r="SAK11" s="2"/>
      <c r="SAL11" s="2"/>
      <c r="SAM11" s="2"/>
      <c r="SAN11" s="2"/>
      <c r="SAO11" s="2"/>
      <c r="SAP11" s="2"/>
      <c r="SAQ11" s="2"/>
      <c r="SAR11" s="2"/>
      <c r="SAS11" s="2"/>
      <c r="SAT11" s="2"/>
      <c r="SAU11" s="2"/>
      <c r="SAV11" s="2"/>
      <c r="SAW11" s="2"/>
      <c r="SAX11" s="2"/>
      <c r="SAY11" s="2"/>
      <c r="SAZ11" s="2"/>
      <c r="SBA11" s="2"/>
      <c r="SBB11" s="2"/>
      <c r="SBC11" s="2"/>
      <c r="SBD11" s="2"/>
      <c r="SBE11" s="2"/>
      <c r="SBF11" s="2"/>
      <c r="SBG11" s="2"/>
      <c r="SBH11" s="2"/>
      <c r="SBI11" s="2"/>
      <c r="SBJ11" s="2"/>
      <c r="SBK11" s="2"/>
      <c r="SBL11" s="2"/>
      <c r="SBM11" s="2"/>
      <c r="SBN11" s="2"/>
      <c r="SBO11" s="2"/>
      <c r="SBP11" s="2"/>
      <c r="SBQ11" s="2"/>
      <c r="SBR11" s="2"/>
      <c r="SBS11" s="2"/>
      <c r="SBT11" s="2"/>
      <c r="SBU11" s="2"/>
      <c r="SBV11" s="2"/>
      <c r="SBW11" s="2"/>
      <c r="SBX11" s="2"/>
      <c r="SBY11" s="2"/>
      <c r="SBZ11" s="2"/>
      <c r="SCA11" s="2"/>
      <c r="SCB11" s="2"/>
      <c r="SCC11" s="2"/>
      <c r="SCD11" s="2"/>
      <c r="SCE11" s="2"/>
      <c r="SCF11" s="2"/>
      <c r="SCG11" s="2"/>
      <c r="SCH11" s="2"/>
      <c r="SCI11" s="2"/>
      <c r="SCJ11" s="2"/>
      <c r="SCK11" s="2"/>
      <c r="SCL11" s="2"/>
      <c r="SCM11" s="2"/>
      <c r="SCN11" s="2"/>
      <c r="SCO11" s="2"/>
      <c r="SCP11" s="2"/>
      <c r="SCQ11" s="2"/>
      <c r="SCR11" s="2"/>
      <c r="SCS11" s="2"/>
      <c r="SCT11" s="2"/>
      <c r="SCU11" s="2"/>
      <c r="SCV11" s="2"/>
      <c r="SCW11" s="2"/>
      <c r="SCX11" s="2"/>
      <c r="SCY11" s="2"/>
      <c r="SCZ11" s="2"/>
      <c r="SDA11" s="2"/>
      <c r="SDB11" s="2"/>
      <c r="SDC11" s="2"/>
      <c r="SDD11" s="2"/>
      <c r="SDE11" s="2"/>
      <c r="SDF11" s="2"/>
      <c r="SDG11" s="2"/>
      <c r="SDH11" s="2"/>
      <c r="SDI11" s="2"/>
      <c r="SDJ11" s="2"/>
      <c r="SDK11" s="2"/>
      <c r="SDL11" s="2"/>
      <c r="SDM11" s="2"/>
      <c r="SDN11" s="2"/>
      <c r="SDO11" s="2"/>
      <c r="SDP11" s="2"/>
      <c r="SDQ11" s="2"/>
      <c r="SDR11" s="2"/>
      <c r="SDS11" s="2"/>
      <c r="SDT11" s="2"/>
      <c r="SDU11" s="2"/>
      <c r="SDV11" s="2"/>
      <c r="SDW11" s="2"/>
      <c r="SDX11" s="2"/>
      <c r="SDY11" s="2"/>
      <c r="SDZ11" s="2"/>
      <c r="SEA11" s="2"/>
      <c r="SEB11" s="2"/>
      <c r="SEC11" s="2"/>
      <c r="SED11" s="2"/>
      <c r="SEE11" s="2"/>
      <c r="SEF11" s="2"/>
      <c r="SEG11" s="2"/>
      <c r="SEH11" s="2"/>
      <c r="SEI11" s="2"/>
      <c r="SEJ11" s="2"/>
      <c r="SEK11" s="2"/>
      <c r="SEL11" s="2"/>
      <c r="SEM11" s="2"/>
      <c r="SEN11" s="2"/>
      <c r="SEO11" s="2"/>
      <c r="SEP11" s="2"/>
      <c r="SEQ11" s="2"/>
      <c r="SER11" s="2"/>
      <c r="SES11" s="2"/>
      <c r="SET11" s="2"/>
      <c r="SEU11" s="2"/>
      <c r="SEV11" s="2"/>
      <c r="SEW11" s="2"/>
      <c r="SEX11" s="2"/>
      <c r="SEY11" s="2"/>
      <c r="SEZ11" s="2"/>
      <c r="SFA11" s="2"/>
      <c r="SFB11" s="2"/>
      <c r="SFC11" s="2"/>
      <c r="SFD11" s="2"/>
      <c r="SFE11" s="2"/>
      <c r="SFF11" s="2"/>
      <c r="SFG11" s="2"/>
      <c r="SFH11" s="2"/>
      <c r="SFI11" s="2"/>
      <c r="SFJ11" s="2"/>
      <c r="SFK11" s="2"/>
      <c r="SFL11" s="2"/>
      <c r="SFM11" s="2"/>
      <c r="SFN11" s="2"/>
      <c r="SFO11" s="2"/>
      <c r="SFP11" s="2"/>
      <c r="SFQ11" s="2"/>
      <c r="SFR11" s="2"/>
      <c r="SFS11" s="2"/>
      <c r="SFT11" s="2"/>
      <c r="SFU11" s="2"/>
      <c r="SFV11" s="2"/>
      <c r="SFW11" s="2"/>
      <c r="SFX11" s="2"/>
      <c r="SFY11" s="2"/>
      <c r="SFZ11" s="2"/>
      <c r="SGA11" s="2"/>
      <c r="SGB11" s="2"/>
      <c r="SGC11" s="2"/>
      <c r="SGD11" s="2"/>
      <c r="SGE11" s="2"/>
      <c r="SGF11" s="2"/>
      <c r="SGG11" s="2"/>
      <c r="SGH11" s="2"/>
      <c r="SGI11" s="2"/>
      <c r="SGJ11" s="2"/>
      <c r="SGK11" s="2"/>
      <c r="SGL11" s="2"/>
      <c r="SGM11" s="2"/>
      <c r="SGN11" s="2"/>
      <c r="SGO11" s="2"/>
      <c r="SGP11" s="2"/>
      <c r="SGQ11" s="2"/>
      <c r="SGR11" s="2"/>
      <c r="SGS11" s="2"/>
      <c r="SGT11" s="2"/>
      <c r="SGU11" s="2"/>
      <c r="SGV11" s="2"/>
      <c r="SGW11" s="2"/>
      <c r="SGX11" s="2"/>
      <c r="SGY11" s="2"/>
      <c r="SGZ11" s="2"/>
      <c r="SHA11" s="2"/>
      <c r="SHB11" s="2"/>
      <c r="SHC11" s="2"/>
      <c r="SHD11" s="2"/>
      <c r="SHE11" s="2"/>
      <c r="SHF11" s="2"/>
      <c r="SHG11" s="2"/>
      <c r="SHH11" s="2"/>
      <c r="SHI11" s="2"/>
      <c r="SHJ11" s="2"/>
      <c r="SHK11" s="2"/>
      <c r="SHL11" s="2"/>
      <c r="SHM11" s="2"/>
      <c r="SHN11" s="2"/>
      <c r="SHO11" s="2"/>
      <c r="SHP11" s="2"/>
      <c r="SHQ11" s="2"/>
      <c r="SHR11" s="2"/>
      <c r="SHS11" s="2"/>
      <c r="SHT11" s="2"/>
      <c r="SHU11" s="2"/>
      <c r="SHV11" s="2"/>
      <c r="SHW11" s="2"/>
      <c r="SHX11" s="2"/>
      <c r="SHY11" s="2"/>
      <c r="SHZ11" s="2"/>
      <c r="SIA11" s="2"/>
      <c r="SIB11" s="2"/>
      <c r="SIC11" s="2"/>
      <c r="SID11" s="2"/>
      <c r="SIE11" s="2"/>
      <c r="SIF11" s="2"/>
      <c r="SIG11" s="2"/>
      <c r="SIH11" s="2"/>
      <c r="SII11" s="2"/>
      <c r="SIJ11" s="2"/>
      <c r="SIK11" s="2"/>
      <c r="SIL11" s="2"/>
      <c r="SIM11" s="2"/>
      <c r="SIN11" s="2"/>
      <c r="SIO11" s="2"/>
      <c r="SIP11" s="2"/>
      <c r="SIQ11" s="2"/>
      <c r="SIR11" s="2"/>
      <c r="SIS11" s="2"/>
      <c r="SIT11" s="2"/>
      <c r="SIU11" s="2"/>
      <c r="SIV11" s="2"/>
      <c r="SIW11" s="2"/>
      <c r="SIX11" s="2"/>
      <c r="SIY11" s="2"/>
      <c r="SIZ11" s="2"/>
      <c r="SJA11" s="2"/>
      <c r="SJB11" s="2"/>
      <c r="SJC11" s="2"/>
      <c r="SJD11" s="2"/>
      <c r="SJE11" s="2"/>
      <c r="SJF11" s="2"/>
      <c r="SJG11" s="2"/>
      <c r="SJH11" s="2"/>
      <c r="SJI11" s="2"/>
      <c r="SJJ11" s="2"/>
      <c r="SJK11" s="2"/>
      <c r="SJL11" s="2"/>
      <c r="SJM11" s="2"/>
      <c r="SJN11" s="2"/>
      <c r="SJO11" s="2"/>
      <c r="SJP11" s="2"/>
      <c r="SJQ11" s="2"/>
      <c r="SJR11" s="2"/>
      <c r="SJS11" s="2"/>
      <c r="SJT11" s="2"/>
      <c r="SJU11" s="2"/>
      <c r="SJV11" s="2"/>
      <c r="SJW11" s="2"/>
      <c r="SJX11" s="2"/>
      <c r="SJY11" s="2"/>
      <c r="SJZ11" s="2"/>
      <c r="SKA11" s="2"/>
      <c r="SKB11" s="2"/>
      <c r="SKC11" s="2"/>
      <c r="SKD11" s="2"/>
      <c r="SKE11" s="2"/>
      <c r="SKF11" s="2"/>
      <c r="SKG11" s="2"/>
      <c r="SKH11" s="2"/>
      <c r="SKI11" s="2"/>
      <c r="SKJ11" s="2"/>
      <c r="SKK11" s="2"/>
      <c r="SKL11" s="2"/>
      <c r="SKM11" s="2"/>
      <c r="SKN11" s="2"/>
      <c r="SKO11" s="2"/>
      <c r="SKP11" s="2"/>
      <c r="SKQ11" s="2"/>
      <c r="SKR11" s="2"/>
      <c r="SKS11" s="2"/>
      <c r="SKT11" s="2"/>
      <c r="SKU11" s="2"/>
      <c r="SKV11" s="2"/>
      <c r="SKW11" s="2"/>
      <c r="SKX11" s="2"/>
      <c r="SKY11" s="2"/>
      <c r="SKZ11" s="2"/>
      <c r="SLA11" s="2"/>
      <c r="SLB11" s="2"/>
      <c r="SLC11" s="2"/>
      <c r="SLD11" s="2"/>
      <c r="SLE11" s="2"/>
      <c r="SLF11" s="2"/>
      <c r="SLG11" s="2"/>
      <c r="SLH11" s="2"/>
      <c r="SLI11" s="2"/>
      <c r="SLJ11" s="2"/>
      <c r="SLK11" s="2"/>
      <c r="SLL11" s="2"/>
      <c r="SLM11" s="2"/>
      <c r="SLN11" s="2"/>
      <c r="SLO11" s="2"/>
      <c r="SLP11" s="2"/>
      <c r="SLQ11" s="2"/>
      <c r="SLR11" s="2"/>
      <c r="SLS11" s="2"/>
      <c r="SLT11" s="2"/>
      <c r="SLU11" s="2"/>
      <c r="SLV11" s="2"/>
      <c r="SLW11" s="2"/>
      <c r="SLX11" s="2"/>
      <c r="SLY11" s="2"/>
      <c r="SLZ11" s="2"/>
      <c r="SMA11" s="2"/>
      <c r="SMB11" s="2"/>
      <c r="SMC11" s="2"/>
      <c r="SMD11" s="2"/>
      <c r="SME11" s="2"/>
      <c r="SMF11" s="2"/>
      <c r="SMG11" s="2"/>
      <c r="SMH11" s="2"/>
      <c r="SMI11" s="2"/>
      <c r="SMJ11" s="2"/>
      <c r="SMK11" s="2"/>
      <c r="SML11" s="2"/>
      <c r="SMM11" s="2"/>
      <c r="SMN11" s="2"/>
      <c r="SMO11" s="2"/>
      <c r="SMP11" s="2"/>
      <c r="SMQ11" s="2"/>
      <c r="SMR11" s="2"/>
      <c r="SMS11" s="2"/>
      <c r="SMT11" s="2"/>
      <c r="SMU11" s="2"/>
      <c r="SMV11" s="2"/>
      <c r="SMW11" s="2"/>
      <c r="SMX11" s="2"/>
      <c r="SMY11" s="2"/>
      <c r="SMZ11" s="2"/>
      <c r="SNA11" s="2"/>
      <c r="SNB11" s="2"/>
      <c r="SNC11" s="2"/>
      <c r="SND11" s="2"/>
      <c r="SNE11" s="2"/>
      <c r="SNF11" s="2"/>
      <c r="SNG11" s="2"/>
      <c r="SNH11" s="2"/>
      <c r="SNI11" s="2"/>
      <c r="SNJ11" s="2"/>
      <c r="SNK11" s="2"/>
      <c r="SNL11" s="2"/>
      <c r="SNM11" s="2"/>
      <c r="SNN11" s="2"/>
      <c r="SNO11" s="2"/>
      <c r="SNP11" s="2"/>
      <c r="SNQ11" s="2"/>
      <c r="SNR11" s="2"/>
      <c r="SNS11" s="2"/>
      <c r="SNT11" s="2"/>
      <c r="SNU11" s="2"/>
      <c r="SNV11" s="2"/>
      <c r="SNW11" s="2"/>
      <c r="SNX11" s="2"/>
      <c r="SNY11" s="2"/>
      <c r="SNZ11" s="2"/>
      <c r="SOA11" s="2"/>
      <c r="SOB11" s="2"/>
      <c r="SOC11" s="2"/>
      <c r="SOD11" s="2"/>
      <c r="SOE11" s="2"/>
      <c r="SOF11" s="2"/>
      <c r="SOG11" s="2"/>
      <c r="SOH11" s="2"/>
      <c r="SOI11" s="2"/>
      <c r="SOJ11" s="2"/>
      <c r="SOK11" s="2"/>
      <c r="SOL11" s="2"/>
      <c r="SOM11" s="2"/>
      <c r="SON11" s="2"/>
      <c r="SOO11" s="2"/>
      <c r="SOP11" s="2"/>
      <c r="SOQ11" s="2"/>
      <c r="SOR11" s="2"/>
      <c r="SOS11" s="2"/>
      <c r="SOT11" s="2"/>
      <c r="SOU11" s="2"/>
      <c r="SOV11" s="2"/>
      <c r="SOW11" s="2"/>
      <c r="SOX11" s="2"/>
      <c r="SOY11" s="2"/>
      <c r="SOZ11" s="2"/>
      <c r="SPA11" s="2"/>
      <c r="SPB11" s="2"/>
      <c r="SPC11" s="2"/>
      <c r="SPD11" s="2"/>
      <c r="SPE11" s="2"/>
      <c r="SPF11" s="2"/>
      <c r="SPG11" s="2"/>
      <c r="SPH11" s="2"/>
      <c r="SPI11" s="2"/>
      <c r="SPJ11" s="2"/>
      <c r="SPK11" s="2"/>
      <c r="SPL11" s="2"/>
      <c r="SPM11" s="2"/>
      <c r="SPN11" s="2"/>
      <c r="SPO11" s="2"/>
      <c r="SPP11" s="2"/>
      <c r="SPQ11" s="2"/>
      <c r="SPR11" s="2"/>
      <c r="SPS11" s="2"/>
      <c r="SPT11" s="2"/>
      <c r="SPU11" s="2"/>
      <c r="SPV11" s="2"/>
      <c r="SPW11" s="2"/>
      <c r="SPX11" s="2"/>
      <c r="SPY11" s="2"/>
      <c r="SPZ11" s="2"/>
      <c r="SQA11" s="2"/>
      <c r="SQB11" s="2"/>
      <c r="SQC11" s="2"/>
      <c r="SQD11" s="2"/>
      <c r="SQE11" s="2"/>
      <c r="SQF11" s="2"/>
      <c r="SQG11" s="2"/>
      <c r="SQH11" s="2"/>
      <c r="SQI11" s="2"/>
      <c r="SQJ11" s="2"/>
      <c r="SQK11" s="2"/>
      <c r="SQL11" s="2"/>
      <c r="SQM11" s="2"/>
      <c r="SQN11" s="2"/>
      <c r="SQO11" s="2"/>
      <c r="SQP11" s="2"/>
      <c r="SQQ11" s="2"/>
      <c r="SQR11" s="2"/>
      <c r="SQS11" s="2"/>
      <c r="SQT11" s="2"/>
      <c r="SQU11" s="2"/>
      <c r="SQV11" s="2"/>
      <c r="SQW11" s="2"/>
      <c r="SQX11" s="2"/>
      <c r="SQY11" s="2"/>
      <c r="SQZ11" s="2"/>
      <c r="SRA11" s="2"/>
      <c r="SRB11" s="2"/>
      <c r="SRC11" s="2"/>
      <c r="SRD11" s="2"/>
      <c r="SRE11" s="2"/>
      <c r="SRF11" s="2"/>
      <c r="SRG11" s="2"/>
      <c r="SRH11" s="2"/>
      <c r="SRI11" s="2"/>
      <c r="SRJ11" s="2"/>
      <c r="SRK11" s="2"/>
      <c r="SRL11" s="2"/>
      <c r="SRM11" s="2"/>
      <c r="SRN11" s="2"/>
      <c r="SRO11" s="2"/>
      <c r="SRP11" s="2"/>
      <c r="SRQ11" s="2"/>
      <c r="SRR11" s="2"/>
      <c r="SRS11" s="2"/>
      <c r="SRT11" s="2"/>
      <c r="SRU11" s="2"/>
      <c r="SRV11" s="2"/>
      <c r="SRW11" s="2"/>
      <c r="SRX11" s="2"/>
      <c r="SRY11" s="2"/>
      <c r="SRZ11" s="2"/>
      <c r="SSA11" s="2"/>
      <c r="SSB11" s="2"/>
      <c r="SSC11" s="2"/>
      <c r="SSD11" s="2"/>
      <c r="SSE11" s="2"/>
      <c r="SSF11" s="2"/>
      <c r="SSG11" s="2"/>
      <c r="SSH11" s="2"/>
      <c r="SSI11" s="2"/>
      <c r="SSJ11" s="2"/>
      <c r="SSK11" s="2"/>
      <c r="SSL11" s="2"/>
      <c r="SSM11" s="2"/>
      <c r="SSN11" s="2"/>
      <c r="SSO11" s="2"/>
      <c r="SSP11" s="2"/>
      <c r="SSQ11" s="2"/>
      <c r="SSR11" s="2"/>
      <c r="SSS11" s="2"/>
      <c r="SST11" s="2"/>
      <c r="SSU11" s="2"/>
      <c r="SSV11" s="2"/>
      <c r="SSW11" s="2"/>
      <c r="SSX11" s="2"/>
      <c r="SSY11" s="2"/>
      <c r="SSZ11" s="2"/>
      <c r="STA11" s="2"/>
      <c r="STB11" s="2"/>
      <c r="STC11" s="2"/>
      <c r="STD11" s="2"/>
      <c r="STE11" s="2"/>
      <c r="STF11" s="2"/>
      <c r="STG11" s="2"/>
      <c r="STH11" s="2"/>
      <c r="STI11" s="2"/>
      <c r="STJ11" s="2"/>
      <c r="STK11" s="2"/>
      <c r="STL11" s="2"/>
      <c r="STM11" s="2"/>
      <c r="STN11" s="2"/>
      <c r="STO11" s="2"/>
      <c r="STP11" s="2"/>
      <c r="STQ11" s="2"/>
      <c r="STR11" s="2"/>
      <c r="STS11" s="2"/>
      <c r="STT11" s="2"/>
      <c r="STU11" s="2"/>
      <c r="STV11" s="2"/>
      <c r="STW11" s="2"/>
      <c r="STX11" s="2"/>
      <c r="STY11" s="2"/>
      <c r="STZ11" s="2"/>
      <c r="SUA11" s="2"/>
      <c r="SUB11" s="2"/>
      <c r="SUC11" s="2"/>
      <c r="SUD11" s="2"/>
      <c r="SUE11" s="2"/>
      <c r="SUF11" s="2"/>
      <c r="SUG11" s="2"/>
      <c r="SUH11" s="2"/>
      <c r="SUI11" s="2"/>
      <c r="SUJ11" s="2"/>
      <c r="SUK11" s="2"/>
      <c r="SUL11" s="2"/>
      <c r="SUM11" s="2"/>
      <c r="SUN11" s="2"/>
      <c r="SUO11" s="2"/>
      <c r="SUP11" s="2"/>
      <c r="SUQ11" s="2"/>
      <c r="SUR11" s="2"/>
      <c r="SUS11" s="2"/>
      <c r="SUT11" s="2"/>
      <c r="SUU11" s="2"/>
      <c r="SUV11" s="2"/>
      <c r="SUW11" s="2"/>
      <c r="SUX11" s="2"/>
      <c r="SUY11" s="2"/>
      <c r="SUZ11" s="2"/>
      <c r="SVA11" s="2"/>
      <c r="SVB11" s="2"/>
      <c r="SVC11" s="2"/>
      <c r="SVD11" s="2"/>
      <c r="SVE11" s="2"/>
      <c r="SVF11" s="2"/>
      <c r="SVG11" s="2"/>
      <c r="SVH11" s="2"/>
      <c r="SVI11" s="2"/>
      <c r="SVJ11" s="2"/>
      <c r="SVK11" s="2"/>
      <c r="SVL11" s="2"/>
      <c r="SVM11" s="2"/>
      <c r="SVN11" s="2"/>
      <c r="SVO11" s="2"/>
      <c r="SVP11" s="2"/>
      <c r="SVQ11" s="2"/>
      <c r="SVR11" s="2"/>
      <c r="SVS11" s="2"/>
      <c r="SVT11" s="2"/>
      <c r="SVU11" s="2"/>
      <c r="SVV11" s="2"/>
      <c r="SVW11" s="2"/>
      <c r="SVX11" s="2"/>
      <c r="SVY11" s="2"/>
      <c r="SVZ11" s="2"/>
      <c r="SWA11" s="2"/>
      <c r="SWB11" s="2"/>
      <c r="SWC11" s="2"/>
      <c r="SWD11" s="2"/>
      <c r="SWE11" s="2"/>
      <c r="SWF11" s="2"/>
      <c r="SWG11" s="2"/>
      <c r="SWH11" s="2"/>
      <c r="SWI11" s="2"/>
      <c r="SWJ11" s="2"/>
      <c r="SWK11" s="2"/>
      <c r="SWL11" s="2"/>
      <c r="SWM11" s="2"/>
      <c r="SWN11" s="2"/>
      <c r="SWO11" s="2"/>
      <c r="SWP11" s="2"/>
      <c r="SWQ11" s="2"/>
      <c r="SWR11" s="2"/>
      <c r="SWS11" s="2"/>
      <c r="SWT11" s="2"/>
      <c r="SWU11" s="2"/>
      <c r="SWV11" s="2"/>
      <c r="SWW11" s="2"/>
      <c r="SWX11" s="2"/>
      <c r="SWY11" s="2"/>
      <c r="SWZ11" s="2"/>
      <c r="SXA11" s="2"/>
      <c r="SXB11" s="2"/>
      <c r="SXC11" s="2"/>
      <c r="SXD11" s="2"/>
      <c r="SXE11" s="2"/>
      <c r="SXF11" s="2"/>
      <c r="SXG11" s="2"/>
      <c r="SXH11" s="2"/>
      <c r="SXI11" s="2"/>
      <c r="SXJ11" s="2"/>
      <c r="SXK11" s="2"/>
      <c r="SXL11" s="2"/>
      <c r="SXM11" s="2"/>
      <c r="SXN11" s="2"/>
      <c r="SXO11" s="2"/>
      <c r="SXP11" s="2"/>
      <c r="SXQ11" s="2"/>
      <c r="SXR11" s="2"/>
      <c r="SXS11" s="2"/>
      <c r="SXT11" s="2"/>
      <c r="SXU11" s="2"/>
      <c r="SXV11" s="2"/>
      <c r="SXW11" s="2"/>
      <c r="SXX11" s="2"/>
      <c r="SXY11" s="2"/>
      <c r="SXZ11" s="2"/>
      <c r="SYA11" s="2"/>
      <c r="SYB11" s="2"/>
      <c r="SYC11" s="2"/>
      <c r="SYD11" s="2"/>
      <c r="SYE11" s="2"/>
      <c r="SYF11" s="2"/>
      <c r="SYG11" s="2"/>
      <c r="SYH11" s="2"/>
      <c r="SYI11" s="2"/>
      <c r="SYJ11" s="2"/>
      <c r="SYK11" s="2"/>
      <c r="SYL11" s="2"/>
      <c r="SYM11" s="2"/>
      <c r="SYN11" s="2"/>
      <c r="SYO11" s="2"/>
      <c r="SYP11" s="2"/>
      <c r="SYQ11" s="2"/>
      <c r="SYR11" s="2"/>
      <c r="SYS11" s="2"/>
      <c r="SYT11" s="2"/>
      <c r="SYU11" s="2"/>
      <c r="SYV11" s="2"/>
      <c r="SYW11" s="2"/>
      <c r="SYX11" s="2"/>
      <c r="SYY11" s="2"/>
      <c r="SYZ11" s="2"/>
      <c r="SZA11" s="2"/>
      <c r="SZB11" s="2"/>
      <c r="SZC11" s="2"/>
      <c r="SZD11" s="2"/>
      <c r="SZE11" s="2"/>
      <c r="SZF11" s="2"/>
      <c r="SZG11" s="2"/>
      <c r="SZH11" s="2"/>
      <c r="SZI11" s="2"/>
      <c r="SZJ11" s="2"/>
      <c r="SZK11" s="2"/>
      <c r="SZL11" s="2"/>
      <c r="SZM11" s="2"/>
      <c r="SZN11" s="2"/>
      <c r="SZO11" s="2"/>
      <c r="SZP11" s="2"/>
      <c r="SZQ11" s="2"/>
      <c r="SZR11" s="2"/>
      <c r="SZS11" s="2"/>
      <c r="SZT11" s="2"/>
      <c r="SZU11" s="2"/>
      <c r="SZV11" s="2"/>
      <c r="SZW11" s="2"/>
      <c r="SZX11" s="2"/>
      <c r="SZY11" s="2"/>
      <c r="SZZ11" s="2"/>
      <c r="TAA11" s="2"/>
      <c r="TAB11" s="2"/>
      <c r="TAC11" s="2"/>
      <c r="TAD11" s="2"/>
      <c r="TAE11" s="2"/>
      <c r="TAF11" s="2"/>
      <c r="TAG11" s="2"/>
      <c r="TAH11" s="2"/>
      <c r="TAI11" s="2"/>
      <c r="TAJ11" s="2"/>
      <c r="TAK11" s="2"/>
      <c r="TAL11" s="2"/>
      <c r="TAM11" s="2"/>
      <c r="TAN11" s="2"/>
      <c r="TAO11" s="2"/>
      <c r="TAP11" s="2"/>
      <c r="TAQ11" s="2"/>
      <c r="TAR11" s="2"/>
      <c r="TAS11" s="2"/>
      <c r="TAT11" s="2"/>
      <c r="TAU11" s="2"/>
      <c r="TAV11" s="2"/>
      <c r="TAW11" s="2"/>
      <c r="TAX11" s="2"/>
      <c r="TAY11" s="2"/>
      <c r="TAZ11" s="2"/>
      <c r="TBA11" s="2"/>
      <c r="TBB11" s="2"/>
      <c r="TBC11" s="2"/>
      <c r="TBD11" s="2"/>
      <c r="TBE11" s="2"/>
      <c r="TBF11" s="2"/>
      <c r="TBG11" s="2"/>
      <c r="TBH11" s="2"/>
      <c r="TBI11" s="2"/>
      <c r="TBJ11" s="2"/>
      <c r="TBK11" s="2"/>
      <c r="TBL11" s="2"/>
      <c r="TBM11" s="2"/>
      <c r="TBN11" s="2"/>
      <c r="TBO11" s="2"/>
      <c r="TBP11" s="2"/>
      <c r="TBQ11" s="2"/>
      <c r="TBR11" s="2"/>
      <c r="TBS11" s="2"/>
      <c r="TBT11" s="2"/>
      <c r="TBU11" s="2"/>
      <c r="TBV11" s="2"/>
      <c r="TBW11" s="2"/>
      <c r="TBX11" s="2"/>
      <c r="TBY11" s="2"/>
      <c r="TBZ11" s="2"/>
      <c r="TCA11" s="2"/>
      <c r="TCB11" s="2"/>
      <c r="TCC11" s="2"/>
      <c r="TCD11" s="2"/>
      <c r="TCE11" s="2"/>
      <c r="TCF11" s="2"/>
      <c r="TCG11" s="2"/>
      <c r="TCH11" s="2"/>
      <c r="TCI11" s="2"/>
      <c r="TCJ11" s="2"/>
      <c r="TCK11" s="2"/>
      <c r="TCL11" s="2"/>
      <c r="TCM11" s="2"/>
      <c r="TCN11" s="2"/>
      <c r="TCO11" s="2"/>
      <c r="TCP11" s="2"/>
      <c r="TCQ11" s="2"/>
      <c r="TCR11" s="2"/>
      <c r="TCS11" s="2"/>
      <c r="TCT11" s="2"/>
      <c r="TCU11" s="2"/>
      <c r="TCV11" s="2"/>
      <c r="TCW11" s="2"/>
      <c r="TCX11" s="2"/>
      <c r="TCY11" s="2"/>
      <c r="TCZ11" s="2"/>
      <c r="TDA11" s="2"/>
      <c r="TDB11" s="2"/>
      <c r="TDC11" s="2"/>
      <c r="TDD11" s="2"/>
      <c r="TDE11" s="2"/>
      <c r="TDF11" s="2"/>
      <c r="TDG11" s="2"/>
      <c r="TDH11" s="2"/>
      <c r="TDI11" s="2"/>
      <c r="TDJ11" s="2"/>
      <c r="TDK11" s="2"/>
      <c r="TDL11" s="2"/>
      <c r="TDM11" s="2"/>
      <c r="TDN11" s="2"/>
      <c r="TDO11" s="2"/>
      <c r="TDP11" s="2"/>
      <c r="TDQ11" s="2"/>
      <c r="TDR11" s="2"/>
      <c r="TDS11" s="2"/>
      <c r="TDT11" s="2"/>
      <c r="TDU11" s="2"/>
      <c r="TDV11" s="2"/>
      <c r="TDW11" s="2"/>
      <c r="TDX11" s="2"/>
      <c r="TDY11" s="2"/>
      <c r="TDZ11" s="2"/>
      <c r="TEA11" s="2"/>
      <c r="TEB11" s="2"/>
      <c r="TEC11" s="2"/>
      <c r="TED11" s="2"/>
      <c r="TEE11" s="2"/>
      <c r="TEF11" s="2"/>
      <c r="TEG11" s="2"/>
      <c r="TEH11" s="2"/>
      <c r="TEI11" s="2"/>
      <c r="TEJ11" s="2"/>
      <c r="TEK11" s="2"/>
      <c r="TEL11" s="2"/>
      <c r="TEM11" s="2"/>
      <c r="TEN11" s="2"/>
      <c r="TEO11" s="2"/>
      <c r="TEP11" s="2"/>
      <c r="TEQ11" s="2"/>
      <c r="TER11" s="2"/>
      <c r="TES11" s="2"/>
      <c r="TET11" s="2"/>
      <c r="TEU11" s="2"/>
      <c r="TEV11" s="2"/>
      <c r="TEW11" s="2"/>
      <c r="TEX11" s="2"/>
      <c r="TEY11" s="2"/>
      <c r="TEZ11" s="2"/>
      <c r="TFA11" s="2"/>
      <c r="TFB11" s="2"/>
      <c r="TFC11" s="2"/>
      <c r="TFD11" s="2"/>
      <c r="TFE11" s="2"/>
      <c r="TFF11" s="2"/>
      <c r="TFG11" s="2"/>
      <c r="TFH11" s="2"/>
      <c r="TFI11" s="2"/>
      <c r="TFJ11" s="2"/>
      <c r="TFK11" s="2"/>
      <c r="TFL11" s="2"/>
      <c r="TFM11" s="2"/>
      <c r="TFN11" s="2"/>
      <c r="TFO11" s="2"/>
      <c r="TFP11" s="2"/>
      <c r="TFQ11" s="2"/>
      <c r="TFR11" s="2"/>
      <c r="TFS11" s="2"/>
      <c r="TFT11" s="2"/>
      <c r="TFU11" s="2"/>
      <c r="TFV11" s="2"/>
      <c r="TFW11" s="2"/>
      <c r="TFX11" s="2"/>
      <c r="TFY11" s="2"/>
      <c r="TFZ11" s="2"/>
      <c r="TGA11" s="2"/>
      <c r="TGB11" s="2"/>
      <c r="TGC11" s="2"/>
      <c r="TGD11" s="2"/>
      <c r="TGE11" s="2"/>
      <c r="TGF11" s="2"/>
      <c r="TGG11" s="2"/>
      <c r="TGH11" s="2"/>
      <c r="TGI11" s="2"/>
      <c r="TGJ11" s="2"/>
      <c r="TGK11" s="2"/>
      <c r="TGL11" s="2"/>
      <c r="TGM11" s="2"/>
      <c r="TGN11" s="2"/>
      <c r="TGO11" s="2"/>
      <c r="TGP11" s="2"/>
      <c r="TGQ11" s="2"/>
      <c r="TGR11" s="2"/>
      <c r="TGS11" s="2"/>
      <c r="TGT11" s="2"/>
      <c r="TGU11" s="2"/>
      <c r="TGV11" s="2"/>
      <c r="TGW11" s="2"/>
      <c r="TGX11" s="2"/>
      <c r="TGY11" s="2"/>
      <c r="TGZ11" s="2"/>
      <c r="THA11" s="2"/>
      <c r="THB11" s="2"/>
      <c r="THC11" s="2"/>
      <c r="THD11" s="2"/>
      <c r="THE11" s="2"/>
      <c r="THF11" s="2"/>
      <c r="THG11" s="2"/>
      <c r="THH11" s="2"/>
      <c r="THI11" s="2"/>
      <c r="THJ11" s="2"/>
      <c r="THK11" s="2"/>
      <c r="THL11" s="2"/>
      <c r="THM11" s="2"/>
      <c r="THN11" s="2"/>
      <c r="THO11" s="2"/>
      <c r="THP11" s="2"/>
      <c r="THQ11" s="2"/>
      <c r="THR11" s="2"/>
      <c r="THS11" s="2"/>
      <c r="THT11" s="2"/>
      <c r="THU11" s="2"/>
      <c r="THV11" s="2"/>
      <c r="THW11" s="2"/>
      <c r="THX11" s="2"/>
      <c r="THY11" s="2"/>
      <c r="THZ11" s="2"/>
      <c r="TIA11" s="2"/>
      <c r="TIB11" s="2"/>
      <c r="TIC11" s="2"/>
      <c r="TID11" s="2"/>
      <c r="TIE11" s="2"/>
      <c r="TIF11" s="2"/>
      <c r="TIG11" s="2"/>
      <c r="TIH11" s="2"/>
      <c r="TII11" s="2"/>
      <c r="TIJ11" s="2"/>
      <c r="TIK11" s="2"/>
      <c r="TIL11" s="2"/>
      <c r="TIM11" s="2"/>
      <c r="TIN11" s="2"/>
      <c r="TIO11" s="2"/>
      <c r="TIP11" s="2"/>
      <c r="TIQ11" s="2"/>
      <c r="TIR11" s="2"/>
      <c r="TIS11" s="2"/>
      <c r="TIT11" s="2"/>
      <c r="TIU11" s="2"/>
      <c r="TIV11" s="2"/>
      <c r="TIW11" s="2"/>
      <c r="TIX11" s="2"/>
      <c r="TIY11" s="2"/>
      <c r="TIZ11" s="2"/>
      <c r="TJA11" s="2"/>
      <c r="TJB11" s="2"/>
      <c r="TJC11" s="2"/>
      <c r="TJD11" s="2"/>
      <c r="TJE11" s="2"/>
      <c r="TJF11" s="2"/>
      <c r="TJG11" s="2"/>
      <c r="TJH11" s="2"/>
      <c r="TJI11" s="2"/>
      <c r="TJJ11" s="2"/>
      <c r="TJK11" s="2"/>
      <c r="TJL11" s="2"/>
      <c r="TJM11" s="2"/>
      <c r="TJN11" s="2"/>
      <c r="TJO11" s="2"/>
      <c r="TJP11" s="2"/>
      <c r="TJQ11" s="2"/>
      <c r="TJR11" s="2"/>
      <c r="TJS11" s="2"/>
      <c r="TJT11" s="2"/>
      <c r="TJU11" s="2"/>
      <c r="TJV11" s="2"/>
      <c r="TJW11" s="2"/>
      <c r="TJX11" s="2"/>
      <c r="TJY11" s="2"/>
      <c r="TJZ11" s="2"/>
      <c r="TKA11" s="2"/>
      <c r="TKB11" s="2"/>
      <c r="TKC11" s="2"/>
      <c r="TKD11" s="2"/>
      <c r="TKE11" s="2"/>
      <c r="TKF11" s="2"/>
      <c r="TKG11" s="2"/>
      <c r="TKH11" s="2"/>
      <c r="TKI11" s="2"/>
      <c r="TKJ11" s="2"/>
      <c r="TKK11" s="2"/>
      <c r="TKL11" s="2"/>
      <c r="TKM11" s="2"/>
      <c r="TKN11" s="2"/>
      <c r="TKO11" s="2"/>
      <c r="TKP11" s="2"/>
      <c r="TKQ11" s="2"/>
      <c r="TKR11" s="2"/>
      <c r="TKS11" s="2"/>
      <c r="TKT11" s="2"/>
      <c r="TKU11" s="2"/>
      <c r="TKV11" s="2"/>
      <c r="TKW11" s="2"/>
      <c r="TKX11" s="2"/>
      <c r="TKY11" s="2"/>
      <c r="TKZ11" s="2"/>
      <c r="TLA11" s="2"/>
      <c r="TLB11" s="2"/>
      <c r="TLC11" s="2"/>
      <c r="TLD11" s="2"/>
      <c r="TLE11" s="2"/>
      <c r="TLF11" s="2"/>
      <c r="TLG11" s="2"/>
      <c r="TLH11" s="2"/>
      <c r="TLI11" s="2"/>
      <c r="TLJ11" s="2"/>
      <c r="TLK11" s="2"/>
      <c r="TLL11" s="2"/>
      <c r="TLM11" s="2"/>
      <c r="TLN11" s="2"/>
      <c r="TLO11" s="2"/>
      <c r="TLP11" s="2"/>
      <c r="TLQ11" s="2"/>
      <c r="TLR11" s="2"/>
      <c r="TLS11" s="2"/>
      <c r="TLT11" s="2"/>
      <c r="TLU11" s="2"/>
      <c r="TLV11" s="2"/>
      <c r="TLW11" s="2"/>
      <c r="TLX11" s="2"/>
      <c r="TLY11" s="2"/>
      <c r="TLZ11" s="2"/>
      <c r="TMA11" s="2"/>
      <c r="TMB11" s="2"/>
      <c r="TMC11" s="2"/>
      <c r="TMD11" s="2"/>
      <c r="TME11" s="2"/>
      <c r="TMF11" s="2"/>
      <c r="TMG11" s="2"/>
      <c r="TMH11" s="2"/>
      <c r="TMI11" s="2"/>
      <c r="TMJ11" s="2"/>
      <c r="TMK11" s="2"/>
      <c r="TML11" s="2"/>
      <c r="TMM11" s="2"/>
      <c r="TMN11" s="2"/>
      <c r="TMO11" s="2"/>
      <c r="TMP11" s="2"/>
      <c r="TMQ11" s="2"/>
      <c r="TMR11" s="2"/>
      <c r="TMS11" s="2"/>
      <c r="TMT11" s="2"/>
      <c r="TMU11" s="2"/>
      <c r="TMV11" s="2"/>
      <c r="TMW11" s="2"/>
      <c r="TMX11" s="2"/>
      <c r="TMY11" s="2"/>
      <c r="TMZ11" s="2"/>
      <c r="TNA11" s="2"/>
      <c r="TNB11" s="2"/>
      <c r="TNC11" s="2"/>
      <c r="TND11" s="2"/>
      <c r="TNE11" s="2"/>
      <c r="TNF11" s="2"/>
      <c r="TNG11" s="2"/>
      <c r="TNH11" s="2"/>
      <c r="TNI11" s="2"/>
      <c r="TNJ11" s="2"/>
      <c r="TNK11" s="2"/>
      <c r="TNL11" s="2"/>
      <c r="TNM11" s="2"/>
      <c r="TNN11" s="2"/>
      <c r="TNO11" s="2"/>
      <c r="TNP11" s="2"/>
      <c r="TNQ11" s="2"/>
      <c r="TNR11" s="2"/>
      <c r="TNS11" s="2"/>
      <c r="TNT11" s="2"/>
      <c r="TNU11" s="2"/>
      <c r="TNV11" s="2"/>
      <c r="TNW11" s="2"/>
      <c r="TNX11" s="2"/>
      <c r="TNY11" s="2"/>
      <c r="TNZ11" s="2"/>
      <c r="TOA11" s="2"/>
      <c r="TOB11" s="2"/>
      <c r="TOC11" s="2"/>
      <c r="TOD11" s="2"/>
      <c r="TOE11" s="2"/>
      <c r="TOF11" s="2"/>
      <c r="TOG11" s="2"/>
      <c r="TOH11" s="2"/>
      <c r="TOI11" s="2"/>
      <c r="TOJ11" s="2"/>
      <c r="TOK11" s="2"/>
      <c r="TOL11" s="2"/>
      <c r="TOM11" s="2"/>
      <c r="TON11" s="2"/>
      <c r="TOO11" s="2"/>
      <c r="TOP11" s="2"/>
      <c r="TOQ11" s="2"/>
      <c r="TOR11" s="2"/>
      <c r="TOS11" s="2"/>
      <c r="TOT11" s="2"/>
      <c r="TOU11" s="2"/>
      <c r="TOV11" s="2"/>
      <c r="TOW11" s="2"/>
      <c r="TOX11" s="2"/>
      <c r="TOY11" s="2"/>
      <c r="TOZ11" s="2"/>
      <c r="TPA11" s="2"/>
      <c r="TPB11" s="2"/>
      <c r="TPC11" s="2"/>
      <c r="TPD11" s="2"/>
      <c r="TPE11" s="2"/>
      <c r="TPF11" s="2"/>
      <c r="TPG11" s="2"/>
      <c r="TPH11" s="2"/>
      <c r="TPI11" s="2"/>
      <c r="TPJ11" s="2"/>
      <c r="TPK11" s="2"/>
      <c r="TPL11" s="2"/>
      <c r="TPM11" s="2"/>
      <c r="TPN11" s="2"/>
      <c r="TPO11" s="2"/>
      <c r="TPP11" s="2"/>
      <c r="TPQ11" s="2"/>
      <c r="TPR11" s="2"/>
      <c r="TPS11" s="2"/>
      <c r="TPT11" s="2"/>
      <c r="TPU11" s="2"/>
      <c r="TPV11" s="2"/>
      <c r="TPW11" s="2"/>
      <c r="TPX11" s="2"/>
      <c r="TPY11" s="2"/>
      <c r="TPZ11" s="2"/>
      <c r="TQA11" s="2"/>
      <c r="TQB11" s="2"/>
      <c r="TQC11" s="2"/>
      <c r="TQD11" s="2"/>
      <c r="TQE11" s="2"/>
      <c r="TQF11" s="2"/>
      <c r="TQG11" s="2"/>
      <c r="TQH11" s="2"/>
      <c r="TQI11" s="2"/>
      <c r="TQJ11" s="2"/>
      <c r="TQK11" s="2"/>
      <c r="TQL11" s="2"/>
      <c r="TQM11" s="2"/>
      <c r="TQN11" s="2"/>
      <c r="TQO11" s="2"/>
      <c r="TQP11" s="2"/>
      <c r="TQQ11" s="2"/>
      <c r="TQR11" s="2"/>
      <c r="TQS11" s="2"/>
      <c r="TQT11" s="2"/>
      <c r="TQU11" s="2"/>
      <c r="TQV11" s="2"/>
      <c r="TQW11" s="2"/>
      <c r="TQX11" s="2"/>
      <c r="TQY11" s="2"/>
      <c r="TQZ11" s="2"/>
      <c r="TRA11" s="2"/>
      <c r="TRB11" s="2"/>
      <c r="TRC11" s="2"/>
      <c r="TRD11" s="2"/>
      <c r="TRE11" s="2"/>
      <c r="TRF11" s="2"/>
      <c r="TRG11" s="2"/>
      <c r="TRH11" s="2"/>
      <c r="TRI11" s="2"/>
      <c r="TRJ11" s="2"/>
      <c r="TRK11" s="2"/>
      <c r="TRL11" s="2"/>
      <c r="TRM11" s="2"/>
      <c r="TRN11" s="2"/>
      <c r="TRO11" s="2"/>
      <c r="TRP11" s="2"/>
      <c r="TRQ11" s="2"/>
      <c r="TRR11" s="2"/>
      <c r="TRS11" s="2"/>
      <c r="TRT11" s="2"/>
      <c r="TRU11" s="2"/>
      <c r="TRV11" s="2"/>
      <c r="TRW11" s="2"/>
      <c r="TRX11" s="2"/>
      <c r="TRY11" s="2"/>
      <c r="TRZ11" s="2"/>
      <c r="TSA11" s="2"/>
      <c r="TSB11" s="2"/>
      <c r="TSC11" s="2"/>
      <c r="TSD11" s="2"/>
      <c r="TSE11" s="2"/>
      <c r="TSF11" s="2"/>
      <c r="TSG11" s="2"/>
      <c r="TSH11" s="2"/>
      <c r="TSI11" s="2"/>
      <c r="TSJ11" s="2"/>
      <c r="TSK11" s="2"/>
      <c r="TSL11" s="2"/>
      <c r="TSM11" s="2"/>
      <c r="TSN11" s="2"/>
      <c r="TSO11" s="2"/>
      <c r="TSP11" s="2"/>
      <c r="TSQ11" s="2"/>
      <c r="TSR11" s="2"/>
      <c r="TSS11" s="2"/>
      <c r="TST11" s="2"/>
      <c r="TSU11" s="2"/>
      <c r="TSV11" s="2"/>
      <c r="TSW11" s="2"/>
      <c r="TSX11" s="2"/>
      <c r="TSY11" s="2"/>
      <c r="TSZ11" s="2"/>
      <c r="TTA11" s="2"/>
      <c r="TTB11" s="2"/>
      <c r="TTC11" s="2"/>
      <c r="TTD11" s="2"/>
      <c r="TTE11" s="2"/>
      <c r="TTF11" s="2"/>
      <c r="TTG11" s="2"/>
      <c r="TTH11" s="2"/>
      <c r="TTI11" s="2"/>
      <c r="TTJ11" s="2"/>
      <c r="TTK11" s="2"/>
      <c r="TTL11" s="2"/>
      <c r="TTM11" s="2"/>
      <c r="TTN11" s="2"/>
      <c r="TTO11" s="2"/>
      <c r="TTP11" s="2"/>
      <c r="TTQ11" s="2"/>
      <c r="TTR11" s="2"/>
      <c r="TTS11" s="2"/>
      <c r="TTT11" s="2"/>
      <c r="TTU11" s="2"/>
      <c r="TTV11" s="2"/>
      <c r="TTW11" s="2"/>
      <c r="TTX11" s="2"/>
      <c r="TTY11" s="2"/>
      <c r="TTZ11" s="2"/>
      <c r="TUA11" s="2"/>
      <c r="TUB11" s="2"/>
      <c r="TUC11" s="2"/>
      <c r="TUD11" s="2"/>
      <c r="TUE11" s="2"/>
      <c r="TUF11" s="2"/>
      <c r="TUG11" s="2"/>
      <c r="TUH11" s="2"/>
      <c r="TUI11" s="2"/>
      <c r="TUJ11" s="2"/>
      <c r="TUK11" s="2"/>
      <c r="TUL11" s="2"/>
      <c r="TUM11" s="2"/>
      <c r="TUN11" s="2"/>
      <c r="TUO11" s="2"/>
      <c r="TUP11" s="2"/>
      <c r="TUQ11" s="2"/>
      <c r="TUR11" s="2"/>
      <c r="TUS11" s="2"/>
      <c r="TUT11" s="2"/>
      <c r="TUU11" s="2"/>
      <c r="TUV11" s="2"/>
      <c r="TUW11" s="2"/>
      <c r="TUX11" s="2"/>
      <c r="TUY11" s="2"/>
      <c r="TUZ11" s="2"/>
      <c r="TVA11" s="2"/>
      <c r="TVB11" s="2"/>
      <c r="TVC11" s="2"/>
      <c r="TVD11" s="2"/>
      <c r="TVE11" s="2"/>
      <c r="TVF11" s="2"/>
      <c r="TVG11" s="2"/>
      <c r="TVH11" s="2"/>
      <c r="TVI11" s="2"/>
      <c r="TVJ11" s="2"/>
      <c r="TVK11" s="2"/>
      <c r="TVL11" s="2"/>
      <c r="TVM11" s="2"/>
      <c r="TVN11" s="2"/>
      <c r="TVO11" s="2"/>
      <c r="TVP11" s="2"/>
      <c r="TVQ11" s="2"/>
      <c r="TVR11" s="2"/>
      <c r="TVS11" s="2"/>
      <c r="TVT11" s="2"/>
      <c r="TVU11" s="2"/>
      <c r="TVV11" s="2"/>
      <c r="TVW11" s="2"/>
      <c r="TVX11" s="2"/>
      <c r="TVY11" s="2"/>
      <c r="TVZ11" s="2"/>
      <c r="TWA11" s="2"/>
      <c r="TWB11" s="2"/>
      <c r="TWC11" s="2"/>
      <c r="TWD11" s="2"/>
      <c r="TWE11" s="2"/>
      <c r="TWF11" s="2"/>
      <c r="TWG11" s="2"/>
      <c r="TWH11" s="2"/>
      <c r="TWI11" s="2"/>
      <c r="TWJ11" s="2"/>
      <c r="TWK11" s="2"/>
      <c r="TWL11" s="2"/>
      <c r="TWM11" s="2"/>
      <c r="TWN11" s="2"/>
      <c r="TWO11" s="2"/>
      <c r="TWP11" s="2"/>
      <c r="TWQ11" s="2"/>
      <c r="TWR11" s="2"/>
      <c r="TWS11" s="2"/>
      <c r="TWT11" s="2"/>
      <c r="TWU11" s="2"/>
      <c r="TWV11" s="2"/>
      <c r="TWW11" s="2"/>
      <c r="TWX11" s="2"/>
      <c r="TWY11" s="2"/>
      <c r="TWZ11" s="2"/>
      <c r="TXA11" s="2"/>
      <c r="TXB11" s="2"/>
      <c r="TXC11" s="2"/>
      <c r="TXD11" s="2"/>
      <c r="TXE11" s="2"/>
      <c r="TXF11" s="2"/>
      <c r="TXG11" s="2"/>
      <c r="TXH11" s="2"/>
      <c r="TXI11" s="2"/>
      <c r="TXJ11" s="2"/>
      <c r="TXK11" s="2"/>
      <c r="TXL11" s="2"/>
      <c r="TXM11" s="2"/>
      <c r="TXN11" s="2"/>
      <c r="TXO11" s="2"/>
      <c r="TXP11" s="2"/>
      <c r="TXQ11" s="2"/>
      <c r="TXR11" s="2"/>
      <c r="TXS11" s="2"/>
      <c r="TXT11" s="2"/>
      <c r="TXU11" s="2"/>
      <c r="TXV11" s="2"/>
      <c r="TXW11" s="2"/>
      <c r="TXX11" s="2"/>
      <c r="TXY11" s="2"/>
      <c r="TXZ11" s="2"/>
      <c r="TYA11" s="2"/>
      <c r="TYB11" s="2"/>
      <c r="TYC11" s="2"/>
      <c r="TYD11" s="2"/>
      <c r="TYE11" s="2"/>
      <c r="TYF11" s="2"/>
      <c r="TYG11" s="2"/>
      <c r="TYH11" s="2"/>
      <c r="TYI11" s="2"/>
      <c r="TYJ11" s="2"/>
      <c r="TYK11" s="2"/>
      <c r="TYL11" s="2"/>
      <c r="TYM11" s="2"/>
      <c r="TYN11" s="2"/>
      <c r="TYO11" s="2"/>
      <c r="TYP11" s="2"/>
      <c r="TYQ11" s="2"/>
      <c r="TYR11" s="2"/>
      <c r="TYS11" s="2"/>
      <c r="TYT11" s="2"/>
      <c r="TYU11" s="2"/>
      <c r="TYV11" s="2"/>
      <c r="TYW11" s="2"/>
      <c r="TYX11" s="2"/>
      <c r="TYY11" s="2"/>
      <c r="TYZ11" s="2"/>
      <c r="TZA11" s="2"/>
      <c r="TZB11" s="2"/>
      <c r="TZC11" s="2"/>
      <c r="TZD11" s="2"/>
      <c r="TZE11" s="2"/>
      <c r="TZF11" s="2"/>
      <c r="TZG11" s="2"/>
      <c r="TZH11" s="2"/>
      <c r="TZI11" s="2"/>
      <c r="TZJ11" s="2"/>
      <c r="TZK11" s="2"/>
      <c r="TZL11" s="2"/>
      <c r="TZM11" s="2"/>
      <c r="TZN11" s="2"/>
      <c r="TZO11" s="2"/>
      <c r="TZP11" s="2"/>
      <c r="TZQ11" s="2"/>
      <c r="TZR11" s="2"/>
      <c r="TZS11" s="2"/>
      <c r="TZT11" s="2"/>
      <c r="TZU11" s="2"/>
      <c r="TZV11" s="2"/>
      <c r="TZW11" s="2"/>
      <c r="TZX11" s="2"/>
      <c r="TZY11" s="2"/>
      <c r="TZZ11" s="2"/>
      <c r="UAA11" s="2"/>
      <c r="UAB11" s="2"/>
      <c r="UAC11" s="2"/>
      <c r="UAD11" s="2"/>
      <c r="UAE11" s="2"/>
      <c r="UAF11" s="2"/>
      <c r="UAG11" s="2"/>
      <c r="UAH11" s="2"/>
      <c r="UAI11" s="2"/>
      <c r="UAJ11" s="2"/>
      <c r="UAK11" s="2"/>
      <c r="UAL11" s="2"/>
      <c r="UAM11" s="2"/>
      <c r="UAN11" s="2"/>
      <c r="UAO11" s="2"/>
      <c r="UAP11" s="2"/>
      <c r="UAQ11" s="2"/>
      <c r="UAR11" s="2"/>
      <c r="UAS11" s="2"/>
      <c r="UAT11" s="2"/>
      <c r="UAU11" s="2"/>
      <c r="UAV11" s="2"/>
      <c r="UAW11" s="2"/>
      <c r="UAX11" s="2"/>
      <c r="UAY11" s="2"/>
      <c r="UAZ11" s="2"/>
      <c r="UBA11" s="2"/>
      <c r="UBB11" s="2"/>
      <c r="UBC11" s="2"/>
      <c r="UBD11" s="2"/>
      <c r="UBE11" s="2"/>
      <c r="UBF11" s="2"/>
      <c r="UBG11" s="2"/>
      <c r="UBH11" s="2"/>
      <c r="UBI11" s="2"/>
      <c r="UBJ11" s="2"/>
      <c r="UBK11" s="2"/>
      <c r="UBL11" s="2"/>
      <c r="UBM11" s="2"/>
      <c r="UBN11" s="2"/>
      <c r="UBO11" s="2"/>
      <c r="UBP11" s="2"/>
      <c r="UBQ11" s="2"/>
      <c r="UBR11" s="2"/>
      <c r="UBS11" s="2"/>
      <c r="UBT11" s="2"/>
      <c r="UBU11" s="2"/>
      <c r="UBV11" s="2"/>
      <c r="UBW11" s="2"/>
      <c r="UBX11" s="2"/>
      <c r="UBY11" s="2"/>
      <c r="UBZ11" s="2"/>
      <c r="UCA11" s="2"/>
      <c r="UCB11" s="2"/>
      <c r="UCC11" s="2"/>
      <c r="UCD11" s="2"/>
      <c r="UCE11" s="2"/>
      <c r="UCF11" s="2"/>
      <c r="UCG11" s="2"/>
      <c r="UCH11" s="2"/>
      <c r="UCI11" s="2"/>
      <c r="UCJ11" s="2"/>
      <c r="UCK11" s="2"/>
      <c r="UCL11" s="2"/>
      <c r="UCM11" s="2"/>
      <c r="UCN11" s="2"/>
      <c r="UCO11" s="2"/>
      <c r="UCP11" s="2"/>
      <c r="UCQ11" s="2"/>
      <c r="UCR11" s="2"/>
      <c r="UCS11" s="2"/>
      <c r="UCT11" s="2"/>
      <c r="UCU11" s="2"/>
      <c r="UCV11" s="2"/>
      <c r="UCW11" s="2"/>
      <c r="UCX11" s="2"/>
      <c r="UCY11" s="2"/>
      <c r="UCZ11" s="2"/>
      <c r="UDA11" s="2"/>
      <c r="UDB11" s="2"/>
      <c r="UDC11" s="2"/>
      <c r="UDD11" s="2"/>
      <c r="UDE11" s="2"/>
      <c r="UDF11" s="2"/>
      <c r="UDG11" s="2"/>
      <c r="UDH11" s="2"/>
      <c r="UDI11" s="2"/>
      <c r="UDJ11" s="2"/>
      <c r="UDK11" s="2"/>
      <c r="UDL11" s="2"/>
      <c r="UDM11" s="2"/>
      <c r="UDN11" s="2"/>
      <c r="UDO11" s="2"/>
      <c r="UDP11" s="2"/>
      <c r="UDQ11" s="2"/>
      <c r="UDR11" s="2"/>
      <c r="UDS11" s="2"/>
      <c r="UDT11" s="2"/>
      <c r="UDU11" s="2"/>
      <c r="UDV11" s="2"/>
      <c r="UDW11" s="2"/>
      <c r="UDX11" s="2"/>
      <c r="UDY11" s="2"/>
      <c r="UDZ11" s="2"/>
      <c r="UEA11" s="2"/>
      <c r="UEB11" s="2"/>
      <c r="UEC11" s="2"/>
      <c r="UED11" s="2"/>
      <c r="UEE11" s="2"/>
      <c r="UEF11" s="2"/>
      <c r="UEG11" s="2"/>
      <c r="UEH11" s="2"/>
      <c r="UEI11" s="2"/>
      <c r="UEJ11" s="2"/>
      <c r="UEK11" s="2"/>
      <c r="UEL11" s="2"/>
      <c r="UEM11" s="2"/>
      <c r="UEN11" s="2"/>
      <c r="UEO11" s="2"/>
      <c r="UEP11" s="2"/>
      <c r="UEQ11" s="2"/>
      <c r="UER11" s="2"/>
      <c r="UES11" s="2"/>
      <c r="UET11" s="2"/>
      <c r="UEU11" s="2"/>
      <c r="UEV11" s="2"/>
      <c r="UEW11" s="2"/>
      <c r="UEX11" s="2"/>
      <c r="UEY11" s="2"/>
      <c r="UEZ11" s="2"/>
      <c r="UFA11" s="2"/>
      <c r="UFB11" s="2"/>
      <c r="UFC11" s="2"/>
      <c r="UFD11" s="2"/>
      <c r="UFE11" s="2"/>
      <c r="UFF11" s="2"/>
      <c r="UFG11" s="2"/>
      <c r="UFH11" s="2"/>
      <c r="UFI11" s="2"/>
      <c r="UFJ11" s="2"/>
      <c r="UFK11" s="2"/>
      <c r="UFL11" s="2"/>
      <c r="UFM11" s="2"/>
      <c r="UFN11" s="2"/>
      <c r="UFO11" s="2"/>
      <c r="UFP11" s="2"/>
      <c r="UFQ11" s="2"/>
      <c r="UFR11" s="2"/>
      <c r="UFS11" s="2"/>
      <c r="UFT11" s="2"/>
      <c r="UFU11" s="2"/>
      <c r="UFV11" s="2"/>
      <c r="UFW11" s="2"/>
      <c r="UFX11" s="2"/>
      <c r="UFY11" s="2"/>
      <c r="UFZ11" s="2"/>
      <c r="UGA11" s="2"/>
      <c r="UGB11" s="2"/>
      <c r="UGC11" s="2"/>
      <c r="UGD11" s="2"/>
      <c r="UGE11" s="2"/>
      <c r="UGF11" s="2"/>
      <c r="UGG11" s="2"/>
      <c r="UGH11" s="2"/>
      <c r="UGI11" s="2"/>
      <c r="UGJ11" s="2"/>
      <c r="UGK11" s="2"/>
      <c r="UGL11" s="2"/>
      <c r="UGM11" s="2"/>
      <c r="UGN11" s="2"/>
      <c r="UGO11" s="2"/>
      <c r="UGP11" s="2"/>
      <c r="UGQ11" s="2"/>
      <c r="UGR11" s="2"/>
      <c r="UGS11" s="2"/>
      <c r="UGT11" s="2"/>
      <c r="UGU11" s="2"/>
      <c r="UGV11" s="2"/>
      <c r="UGW11" s="2"/>
      <c r="UGX11" s="2"/>
      <c r="UGY11" s="2"/>
      <c r="UGZ11" s="2"/>
      <c r="UHA11" s="2"/>
      <c r="UHB11" s="2"/>
      <c r="UHC11" s="2"/>
      <c r="UHD11" s="2"/>
      <c r="UHE11" s="2"/>
      <c r="UHF11" s="2"/>
      <c r="UHG11" s="2"/>
      <c r="UHH11" s="2"/>
      <c r="UHI11" s="2"/>
      <c r="UHJ11" s="2"/>
      <c r="UHK11" s="2"/>
      <c r="UHL11" s="2"/>
      <c r="UHM11" s="2"/>
      <c r="UHN11" s="2"/>
      <c r="UHO11" s="2"/>
      <c r="UHP11" s="2"/>
      <c r="UHQ11" s="2"/>
      <c r="UHR11" s="2"/>
      <c r="UHS11" s="2"/>
      <c r="UHT11" s="2"/>
      <c r="UHU11" s="2"/>
      <c r="UHV11" s="2"/>
      <c r="UHW11" s="2"/>
      <c r="UHX11" s="2"/>
      <c r="UHY11" s="2"/>
      <c r="UHZ11" s="2"/>
      <c r="UIA11" s="2"/>
      <c r="UIB11" s="2"/>
      <c r="UIC11" s="2"/>
      <c r="UID11" s="2"/>
      <c r="UIE11" s="2"/>
      <c r="UIF11" s="2"/>
      <c r="UIG11" s="2"/>
      <c r="UIH11" s="2"/>
      <c r="UII11" s="2"/>
      <c r="UIJ11" s="2"/>
      <c r="UIK11" s="2"/>
      <c r="UIL11" s="2"/>
      <c r="UIM11" s="2"/>
      <c r="UIN11" s="2"/>
      <c r="UIO11" s="2"/>
      <c r="UIP11" s="2"/>
      <c r="UIQ11" s="2"/>
      <c r="UIR11" s="2"/>
      <c r="UIS11" s="2"/>
      <c r="UIT11" s="2"/>
      <c r="UIU11" s="2"/>
      <c r="UIV11" s="2"/>
      <c r="UIW11" s="2"/>
      <c r="UIX11" s="2"/>
      <c r="UIY11" s="2"/>
      <c r="UIZ11" s="2"/>
      <c r="UJA11" s="2"/>
      <c r="UJB11" s="2"/>
      <c r="UJC11" s="2"/>
      <c r="UJD11" s="2"/>
      <c r="UJE11" s="2"/>
      <c r="UJF11" s="2"/>
      <c r="UJG11" s="2"/>
      <c r="UJH11" s="2"/>
      <c r="UJI11" s="2"/>
      <c r="UJJ11" s="2"/>
      <c r="UJK11" s="2"/>
      <c r="UJL11" s="2"/>
      <c r="UJM11" s="2"/>
      <c r="UJN11" s="2"/>
      <c r="UJO11" s="2"/>
      <c r="UJP11" s="2"/>
      <c r="UJQ11" s="2"/>
      <c r="UJR11" s="2"/>
      <c r="UJS11" s="2"/>
      <c r="UJT11" s="2"/>
      <c r="UJU11" s="2"/>
      <c r="UJV11" s="2"/>
      <c r="UJW11" s="2"/>
      <c r="UJX11" s="2"/>
      <c r="UJY11" s="2"/>
      <c r="UJZ11" s="2"/>
      <c r="UKA11" s="2"/>
      <c r="UKB11" s="2"/>
      <c r="UKC11" s="2"/>
      <c r="UKD11" s="2"/>
      <c r="UKE11" s="2"/>
      <c r="UKF11" s="2"/>
      <c r="UKG11" s="2"/>
      <c r="UKH11" s="2"/>
      <c r="UKI11" s="2"/>
      <c r="UKJ11" s="2"/>
      <c r="UKK11" s="2"/>
      <c r="UKL11" s="2"/>
      <c r="UKM11" s="2"/>
      <c r="UKN11" s="2"/>
      <c r="UKO11" s="2"/>
      <c r="UKP11" s="2"/>
      <c r="UKQ11" s="2"/>
      <c r="UKR11" s="2"/>
      <c r="UKS11" s="2"/>
      <c r="UKT11" s="2"/>
      <c r="UKU11" s="2"/>
      <c r="UKV11" s="2"/>
      <c r="UKW11" s="2"/>
      <c r="UKX11" s="2"/>
      <c r="UKY11" s="2"/>
      <c r="UKZ11" s="2"/>
      <c r="ULA11" s="2"/>
      <c r="ULB11" s="2"/>
      <c r="ULC11" s="2"/>
      <c r="ULD11" s="2"/>
      <c r="ULE11" s="2"/>
      <c r="ULF11" s="2"/>
      <c r="ULG11" s="2"/>
      <c r="ULH11" s="2"/>
      <c r="ULI11" s="2"/>
      <c r="ULJ11" s="2"/>
      <c r="ULK11" s="2"/>
      <c r="ULL11" s="2"/>
      <c r="ULM11" s="2"/>
      <c r="ULN11" s="2"/>
      <c r="ULO11" s="2"/>
      <c r="ULP11" s="2"/>
      <c r="ULQ11" s="2"/>
      <c r="ULR11" s="2"/>
      <c r="ULS11" s="2"/>
      <c r="ULT11" s="2"/>
      <c r="ULU11" s="2"/>
      <c r="ULV11" s="2"/>
      <c r="ULW11" s="2"/>
      <c r="ULX11" s="2"/>
      <c r="ULY11" s="2"/>
      <c r="ULZ11" s="2"/>
      <c r="UMA11" s="2"/>
      <c r="UMB11" s="2"/>
      <c r="UMC11" s="2"/>
      <c r="UMD11" s="2"/>
      <c r="UME11" s="2"/>
      <c r="UMF11" s="2"/>
      <c r="UMG11" s="2"/>
      <c r="UMH11" s="2"/>
      <c r="UMI11" s="2"/>
      <c r="UMJ11" s="2"/>
      <c r="UMK11" s="2"/>
      <c r="UML11" s="2"/>
      <c r="UMM11" s="2"/>
      <c r="UMN11" s="2"/>
      <c r="UMO11" s="2"/>
      <c r="UMP11" s="2"/>
      <c r="UMQ11" s="2"/>
      <c r="UMR11" s="2"/>
      <c r="UMS11" s="2"/>
      <c r="UMT11" s="2"/>
      <c r="UMU11" s="2"/>
      <c r="UMV11" s="2"/>
      <c r="UMW11" s="2"/>
      <c r="UMX11" s="2"/>
      <c r="UMY11" s="2"/>
      <c r="UMZ11" s="2"/>
      <c r="UNA11" s="2"/>
      <c r="UNB11" s="2"/>
      <c r="UNC11" s="2"/>
      <c r="UND11" s="2"/>
      <c r="UNE11" s="2"/>
      <c r="UNF11" s="2"/>
      <c r="UNG11" s="2"/>
      <c r="UNH11" s="2"/>
      <c r="UNI11" s="2"/>
      <c r="UNJ11" s="2"/>
      <c r="UNK11" s="2"/>
      <c r="UNL11" s="2"/>
      <c r="UNM11" s="2"/>
      <c r="UNN11" s="2"/>
      <c r="UNO11" s="2"/>
      <c r="UNP11" s="2"/>
      <c r="UNQ11" s="2"/>
      <c r="UNR11" s="2"/>
      <c r="UNS11" s="2"/>
      <c r="UNT11" s="2"/>
      <c r="UNU11" s="2"/>
      <c r="UNV11" s="2"/>
      <c r="UNW11" s="2"/>
      <c r="UNX11" s="2"/>
      <c r="UNY11" s="2"/>
      <c r="UNZ11" s="2"/>
      <c r="UOA11" s="2"/>
      <c r="UOB11" s="2"/>
      <c r="UOC11" s="2"/>
      <c r="UOD11" s="2"/>
      <c r="UOE11" s="2"/>
      <c r="UOF11" s="2"/>
      <c r="UOG11" s="2"/>
      <c r="UOH11" s="2"/>
      <c r="UOI11" s="2"/>
      <c r="UOJ11" s="2"/>
      <c r="UOK11" s="2"/>
      <c r="UOL11" s="2"/>
      <c r="UOM11" s="2"/>
      <c r="UON11" s="2"/>
      <c r="UOO11" s="2"/>
      <c r="UOP11" s="2"/>
      <c r="UOQ11" s="2"/>
      <c r="UOR11" s="2"/>
      <c r="UOS11" s="2"/>
      <c r="UOT11" s="2"/>
      <c r="UOU11" s="2"/>
      <c r="UOV11" s="2"/>
      <c r="UOW11" s="2"/>
      <c r="UOX11" s="2"/>
      <c r="UOY11" s="2"/>
      <c r="UOZ11" s="2"/>
      <c r="UPA11" s="2"/>
      <c r="UPB11" s="2"/>
      <c r="UPC11" s="2"/>
      <c r="UPD11" s="2"/>
      <c r="UPE11" s="2"/>
      <c r="UPF11" s="2"/>
      <c r="UPG11" s="2"/>
      <c r="UPH11" s="2"/>
      <c r="UPI11" s="2"/>
      <c r="UPJ11" s="2"/>
      <c r="UPK11" s="2"/>
      <c r="UPL11" s="2"/>
      <c r="UPM11" s="2"/>
      <c r="UPN11" s="2"/>
      <c r="UPO11" s="2"/>
      <c r="UPP11" s="2"/>
      <c r="UPQ11" s="2"/>
      <c r="UPR11" s="2"/>
      <c r="UPS11" s="2"/>
      <c r="UPT11" s="2"/>
      <c r="UPU11" s="2"/>
      <c r="UPV11" s="2"/>
      <c r="UPW11" s="2"/>
      <c r="UPX11" s="2"/>
      <c r="UPY11" s="2"/>
      <c r="UPZ11" s="2"/>
      <c r="UQA11" s="2"/>
      <c r="UQB11" s="2"/>
      <c r="UQC11" s="2"/>
      <c r="UQD11" s="2"/>
      <c r="UQE11" s="2"/>
      <c r="UQF11" s="2"/>
      <c r="UQG11" s="2"/>
      <c r="UQH11" s="2"/>
      <c r="UQI11" s="2"/>
      <c r="UQJ11" s="2"/>
      <c r="UQK11" s="2"/>
      <c r="UQL11" s="2"/>
      <c r="UQM11" s="2"/>
      <c r="UQN11" s="2"/>
      <c r="UQO11" s="2"/>
      <c r="UQP11" s="2"/>
      <c r="UQQ11" s="2"/>
      <c r="UQR11" s="2"/>
      <c r="UQS11" s="2"/>
      <c r="UQT11" s="2"/>
      <c r="UQU11" s="2"/>
      <c r="UQV11" s="2"/>
      <c r="UQW11" s="2"/>
      <c r="UQX11" s="2"/>
      <c r="UQY11" s="2"/>
      <c r="UQZ11" s="2"/>
      <c r="URA11" s="2"/>
      <c r="URB11" s="2"/>
      <c r="URC11" s="2"/>
      <c r="URD11" s="2"/>
      <c r="URE11" s="2"/>
      <c r="URF11" s="2"/>
      <c r="URG11" s="2"/>
      <c r="URH11" s="2"/>
      <c r="URI11" s="2"/>
      <c r="URJ11" s="2"/>
      <c r="URK11" s="2"/>
      <c r="URL11" s="2"/>
      <c r="URM11" s="2"/>
      <c r="URN11" s="2"/>
      <c r="URO11" s="2"/>
      <c r="URP11" s="2"/>
      <c r="URQ11" s="2"/>
      <c r="URR11" s="2"/>
      <c r="URS11" s="2"/>
      <c r="URT11" s="2"/>
      <c r="URU11" s="2"/>
      <c r="URV11" s="2"/>
      <c r="URW11" s="2"/>
      <c r="URX11" s="2"/>
      <c r="URY11" s="2"/>
      <c r="URZ11" s="2"/>
      <c r="USA11" s="2"/>
      <c r="USB11" s="2"/>
      <c r="USC11" s="2"/>
      <c r="USD11" s="2"/>
      <c r="USE11" s="2"/>
      <c r="USF11" s="2"/>
      <c r="USG11" s="2"/>
      <c r="USH11" s="2"/>
      <c r="USI11" s="2"/>
      <c r="USJ11" s="2"/>
      <c r="USK11" s="2"/>
      <c r="USL11" s="2"/>
      <c r="USM11" s="2"/>
      <c r="USN11" s="2"/>
      <c r="USO11" s="2"/>
      <c r="USP11" s="2"/>
      <c r="USQ11" s="2"/>
      <c r="USR11" s="2"/>
      <c r="USS11" s="2"/>
      <c r="UST11" s="2"/>
      <c r="USU11" s="2"/>
      <c r="USV11" s="2"/>
      <c r="USW11" s="2"/>
      <c r="USX11" s="2"/>
      <c r="USY11" s="2"/>
      <c r="USZ11" s="2"/>
      <c r="UTA11" s="2"/>
      <c r="UTB11" s="2"/>
      <c r="UTC11" s="2"/>
      <c r="UTD11" s="2"/>
      <c r="UTE11" s="2"/>
      <c r="UTF11" s="2"/>
      <c r="UTG11" s="2"/>
      <c r="UTH11" s="2"/>
      <c r="UTI11" s="2"/>
      <c r="UTJ11" s="2"/>
      <c r="UTK11" s="2"/>
      <c r="UTL11" s="2"/>
      <c r="UTM11" s="2"/>
      <c r="UTN11" s="2"/>
      <c r="UTO11" s="2"/>
      <c r="UTP11" s="2"/>
      <c r="UTQ11" s="2"/>
      <c r="UTR11" s="2"/>
      <c r="UTS11" s="2"/>
      <c r="UTT11" s="2"/>
      <c r="UTU11" s="2"/>
      <c r="UTV11" s="2"/>
      <c r="UTW11" s="2"/>
      <c r="UTX11" s="2"/>
      <c r="UTY11" s="2"/>
      <c r="UTZ11" s="2"/>
      <c r="UUA11" s="2"/>
      <c r="UUB11" s="2"/>
      <c r="UUC11" s="2"/>
      <c r="UUD11" s="2"/>
      <c r="UUE11" s="2"/>
      <c r="UUF11" s="2"/>
      <c r="UUG11" s="2"/>
      <c r="UUH11" s="2"/>
      <c r="UUI11" s="2"/>
      <c r="UUJ11" s="2"/>
      <c r="UUK11" s="2"/>
      <c r="UUL11" s="2"/>
      <c r="UUM11" s="2"/>
      <c r="UUN11" s="2"/>
      <c r="UUO11" s="2"/>
      <c r="UUP11" s="2"/>
      <c r="UUQ11" s="2"/>
      <c r="UUR11" s="2"/>
      <c r="UUS11" s="2"/>
      <c r="UUT11" s="2"/>
      <c r="UUU11" s="2"/>
      <c r="UUV11" s="2"/>
      <c r="UUW11" s="2"/>
      <c r="UUX11" s="2"/>
      <c r="UUY11" s="2"/>
      <c r="UUZ11" s="2"/>
      <c r="UVA11" s="2"/>
      <c r="UVB11" s="2"/>
      <c r="UVC11" s="2"/>
      <c r="UVD11" s="2"/>
      <c r="UVE11" s="2"/>
      <c r="UVF11" s="2"/>
      <c r="UVG11" s="2"/>
      <c r="UVH11" s="2"/>
      <c r="UVI11" s="2"/>
      <c r="UVJ11" s="2"/>
      <c r="UVK11" s="2"/>
      <c r="UVL11" s="2"/>
      <c r="UVM11" s="2"/>
      <c r="UVN11" s="2"/>
      <c r="UVO11" s="2"/>
      <c r="UVP11" s="2"/>
      <c r="UVQ11" s="2"/>
      <c r="UVR11" s="2"/>
      <c r="UVS11" s="2"/>
      <c r="UVT11" s="2"/>
      <c r="UVU11" s="2"/>
      <c r="UVV11" s="2"/>
      <c r="UVW11" s="2"/>
      <c r="UVX11" s="2"/>
      <c r="UVY11" s="2"/>
      <c r="UVZ11" s="2"/>
      <c r="UWA11" s="2"/>
      <c r="UWB11" s="2"/>
      <c r="UWC11" s="2"/>
      <c r="UWD11" s="2"/>
      <c r="UWE11" s="2"/>
      <c r="UWF11" s="2"/>
      <c r="UWG11" s="2"/>
      <c r="UWH11" s="2"/>
      <c r="UWI11" s="2"/>
      <c r="UWJ11" s="2"/>
      <c r="UWK11" s="2"/>
      <c r="UWL11" s="2"/>
      <c r="UWM11" s="2"/>
      <c r="UWN11" s="2"/>
      <c r="UWO11" s="2"/>
      <c r="UWP11" s="2"/>
      <c r="UWQ11" s="2"/>
      <c r="UWR11" s="2"/>
      <c r="UWS11" s="2"/>
      <c r="UWT11" s="2"/>
      <c r="UWU11" s="2"/>
      <c r="UWV11" s="2"/>
      <c r="UWW11" s="2"/>
      <c r="UWX11" s="2"/>
      <c r="UWY11" s="2"/>
      <c r="UWZ11" s="2"/>
      <c r="UXA11" s="2"/>
      <c r="UXB11" s="2"/>
      <c r="UXC11" s="2"/>
      <c r="UXD11" s="2"/>
      <c r="UXE11" s="2"/>
      <c r="UXF11" s="2"/>
      <c r="UXG11" s="2"/>
      <c r="UXH11" s="2"/>
      <c r="UXI11" s="2"/>
      <c r="UXJ11" s="2"/>
      <c r="UXK11" s="2"/>
      <c r="UXL11" s="2"/>
      <c r="UXM11" s="2"/>
      <c r="UXN11" s="2"/>
      <c r="UXO11" s="2"/>
      <c r="UXP11" s="2"/>
      <c r="UXQ11" s="2"/>
      <c r="UXR11" s="2"/>
      <c r="UXS11" s="2"/>
      <c r="UXT11" s="2"/>
      <c r="UXU11" s="2"/>
      <c r="UXV11" s="2"/>
      <c r="UXW11" s="2"/>
      <c r="UXX11" s="2"/>
      <c r="UXY11" s="2"/>
      <c r="UXZ11" s="2"/>
      <c r="UYA11" s="2"/>
      <c r="UYB11" s="2"/>
      <c r="UYC11" s="2"/>
      <c r="UYD11" s="2"/>
      <c r="UYE11" s="2"/>
      <c r="UYF11" s="2"/>
      <c r="UYG11" s="2"/>
      <c r="UYH11" s="2"/>
      <c r="UYI11" s="2"/>
      <c r="UYJ11" s="2"/>
      <c r="UYK11" s="2"/>
      <c r="UYL11" s="2"/>
      <c r="UYM11" s="2"/>
      <c r="UYN11" s="2"/>
      <c r="UYO11" s="2"/>
      <c r="UYP11" s="2"/>
      <c r="UYQ11" s="2"/>
      <c r="UYR11" s="2"/>
      <c r="UYS11" s="2"/>
      <c r="UYT11" s="2"/>
      <c r="UYU11" s="2"/>
      <c r="UYV11" s="2"/>
      <c r="UYW11" s="2"/>
      <c r="UYX11" s="2"/>
      <c r="UYY11" s="2"/>
      <c r="UYZ11" s="2"/>
      <c r="UZA11" s="2"/>
      <c r="UZB11" s="2"/>
      <c r="UZC11" s="2"/>
      <c r="UZD11" s="2"/>
      <c r="UZE11" s="2"/>
      <c r="UZF11" s="2"/>
      <c r="UZG11" s="2"/>
      <c r="UZH11" s="2"/>
      <c r="UZI11" s="2"/>
      <c r="UZJ11" s="2"/>
      <c r="UZK11" s="2"/>
      <c r="UZL11" s="2"/>
      <c r="UZM11" s="2"/>
      <c r="UZN11" s="2"/>
      <c r="UZO11" s="2"/>
      <c r="UZP11" s="2"/>
      <c r="UZQ11" s="2"/>
      <c r="UZR11" s="2"/>
      <c r="UZS11" s="2"/>
      <c r="UZT11" s="2"/>
      <c r="UZU11" s="2"/>
      <c r="UZV11" s="2"/>
      <c r="UZW11" s="2"/>
      <c r="UZX11" s="2"/>
      <c r="UZY11" s="2"/>
      <c r="UZZ11" s="2"/>
      <c r="VAA11" s="2"/>
      <c r="VAB11" s="2"/>
      <c r="VAC11" s="2"/>
      <c r="VAD11" s="2"/>
      <c r="VAE11" s="2"/>
      <c r="VAF11" s="2"/>
      <c r="VAG11" s="2"/>
      <c r="VAH11" s="2"/>
      <c r="VAI11" s="2"/>
      <c r="VAJ11" s="2"/>
      <c r="VAK11" s="2"/>
      <c r="VAL11" s="2"/>
      <c r="VAM11" s="2"/>
      <c r="VAN11" s="2"/>
      <c r="VAO11" s="2"/>
      <c r="VAP11" s="2"/>
      <c r="VAQ11" s="2"/>
      <c r="VAR11" s="2"/>
      <c r="VAS11" s="2"/>
      <c r="VAT11" s="2"/>
      <c r="VAU11" s="2"/>
      <c r="VAV11" s="2"/>
      <c r="VAW11" s="2"/>
      <c r="VAX11" s="2"/>
      <c r="VAY11" s="2"/>
      <c r="VAZ11" s="2"/>
      <c r="VBA11" s="2"/>
      <c r="VBB11" s="2"/>
      <c r="VBC11" s="2"/>
      <c r="VBD11" s="2"/>
      <c r="VBE11" s="2"/>
      <c r="VBF11" s="2"/>
      <c r="VBG11" s="2"/>
      <c r="VBH11" s="2"/>
      <c r="VBI11" s="2"/>
      <c r="VBJ11" s="2"/>
      <c r="VBK11" s="2"/>
      <c r="VBL11" s="2"/>
      <c r="VBM11" s="2"/>
      <c r="VBN11" s="2"/>
      <c r="VBO11" s="2"/>
      <c r="VBP11" s="2"/>
      <c r="VBQ11" s="2"/>
      <c r="VBR11" s="2"/>
      <c r="VBS11" s="2"/>
      <c r="VBT11" s="2"/>
      <c r="VBU11" s="2"/>
      <c r="VBV11" s="2"/>
      <c r="VBW11" s="2"/>
      <c r="VBX11" s="2"/>
      <c r="VBY11" s="2"/>
      <c r="VBZ11" s="2"/>
      <c r="VCA11" s="2"/>
      <c r="VCB11" s="2"/>
      <c r="VCC11" s="2"/>
      <c r="VCD11" s="2"/>
      <c r="VCE11" s="2"/>
      <c r="VCF11" s="2"/>
      <c r="VCG11" s="2"/>
      <c r="VCH11" s="2"/>
      <c r="VCI11" s="2"/>
      <c r="VCJ11" s="2"/>
      <c r="VCK11" s="2"/>
      <c r="VCL11" s="2"/>
      <c r="VCM11" s="2"/>
      <c r="VCN11" s="2"/>
      <c r="VCO11" s="2"/>
      <c r="VCP11" s="2"/>
      <c r="VCQ11" s="2"/>
      <c r="VCR11" s="2"/>
      <c r="VCS11" s="2"/>
      <c r="VCT11" s="2"/>
      <c r="VCU11" s="2"/>
      <c r="VCV11" s="2"/>
      <c r="VCW11" s="2"/>
      <c r="VCX11" s="2"/>
      <c r="VCY11" s="2"/>
      <c r="VCZ11" s="2"/>
      <c r="VDA11" s="2"/>
      <c r="VDB11" s="2"/>
      <c r="VDC11" s="2"/>
      <c r="VDD11" s="2"/>
      <c r="VDE11" s="2"/>
      <c r="VDF11" s="2"/>
      <c r="VDG11" s="2"/>
      <c r="VDH11" s="2"/>
      <c r="VDI11" s="2"/>
      <c r="VDJ11" s="2"/>
      <c r="VDK11" s="2"/>
      <c r="VDL11" s="2"/>
      <c r="VDM11" s="2"/>
      <c r="VDN11" s="2"/>
      <c r="VDO11" s="2"/>
      <c r="VDP11" s="2"/>
      <c r="VDQ11" s="2"/>
      <c r="VDR11" s="2"/>
      <c r="VDS11" s="2"/>
      <c r="VDT11" s="2"/>
      <c r="VDU11" s="2"/>
      <c r="VDV11" s="2"/>
      <c r="VDW11" s="2"/>
      <c r="VDX11" s="2"/>
      <c r="VDY11" s="2"/>
      <c r="VDZ11" s="2"/>
      <c r="VEA11" s="2"/>
      <c r="VEB11" s="2"/>
      <c r="VEC11" s="2"/>
      <c r="VED11" s="2"/>
      <c r="VEE11" s="2"/>
      <c r="VEF11" s="2"/>
      <c r="VEG11" s="2"/>
      <c r="VEH11" s="2"/>
      <c r="VEI11" s="2"/>
      <c r="VEJ11" s="2"/>
      <c r="VEK11" s="2"/>
      <c r="VEL11" s="2"/>
      <c r="VEM11" s="2"/>
      <c r="VEN11" s="2"/>
      <c r="VEO11" s="2"/>
      <c r="VEP11" s="2"/>
      <c r="VEQ11" s="2"/>
      <c r="VER11" s="2"/>
      <c r="VES11" s="2"/>
      <c r="VET11" s="2"/>
      <c r="VEU11" s="2"/>
      <c r="VEV11" s="2"/>
      <c r="VEW11" s="2"/>
      <c r="VEX11" s="2"/>
      <c r="VEY11" s="2"/>
      <c r="VEZ11" s="2"/>
      <c r="VFA11" s="2"/>
      <c r="VFB11" s="2"/>
      <c r="VFC11" s="2"/>
      <c r="VFD11" s="2"/>
      <c r="VFE11" s="2"/>
      <c r="VFF11" s="2"/>
      <c r="VFG11" s="2"/>
      <c r="VFH11" s="2"/>
      <c r="VFI11" s="2"/>
      <c r="VFJ11" s="2"/>
      <c r="VFK11" s="2"/>
      <c r="VFL11" s="2"/>
      <c r="VFM11" s="2"/>
      <c r="VFN11" s="2"/>
      <c r="VFO11" s="2"/>
      <c r="VFP11" s="2"/>
      <c r="VFQ11" s="2"/>
      <c r="VFR11" s="2"/>
      <c r="VFS11" s="2"/>
      <c r="VFT11" s="2"/>
      <c r="VFU11" s="2"/>
      <c r="VFV11" s="2"/>
      <c r="VFW11" s="2"/>
      <c r="VFX11" s="2"/>
      <c r="VFY11" s="2"/>
      <c r="VFZ11" s="2"/>
      <c r="VGA11" s="2"/>
      <c r="VGB11" s="2"/>
      <c r="VGC11" s="2"/>
      <c r="VGD11" s="2"/>
      <c r="VGE11" s="2"/>
      <c r="VGF11" s="2"/>
      <c r="VGG11" s="2"/>
      <c r="VGH11" s="2"/>
      <c r="VGI11" s="2"/>
      <c r="VGJ11" s="2"/>
      <c r="VGK11" s="2"/>
      <c r="VGL11" s="2"/>
      <c r="VGM11" s="2"/>
      <c r="VGN11" s="2"/>
      <c r="VGO11" s="2"/>
      <c r="VGP11" s="2"/>
      <c r="VGQ11" s="2"/>
      <c r="VGR11" s="2"/>
      <c r="VGS11" s="2"/>
      <c r="VGT11" s="2"/>
      <c r="VGU11" s="2"/>
      <c r="VGV11" s="2"/>
      <c r="VGW11" s="2"/>
      <c r="VGX11" s="2"/>
      <c r="VGY11" s="2"/>
      <c r="VGZ11" s="2"/>
      <c r="VHA11" s="2"/>
      <c r="VHB11" s="2"/>
      <c r="VHC11" s="2"/>
      <c r="VHD11" s="2"/>
      <c r="VHE11" s="2"/>
      <c r="VHF11" s="2"/>
      <c r="VHG11" s="2"/>
      <c r="VHH11" s="2"/>
      <c r="VHI11" s="2"/>
      <c r="VHJ11" s="2"/>
      <c r="VHK11" s="2"/>
      <c r="VHL11" s="2"/>
      <c r="VHM11" s="2"/>
      <c r="VHN11" s="2"/>
      <c r="VHO11" s="2"/>
      <c r="VHP11" s="2"/>
      <c r="VHQ11" s="2"/>
      <c r="VHR11" s="2"/>
      <c r="VHS11" s="2"/>
      <c r="VHT11" s="2"/>
      <c r="VHU11" s="2"/>
      <c r="VHV11" s="2"/>
      <c r="VHW11" s="2"/>
      <c r="VHX11" s="2"/>
      <c r="VHY11" s="2"/>
      <c r="VHZ11" s="2"/>
      <c r="VIA11" s="2"/>
      <c r="VIB11" s="2"/>
      <c r="VIC11" s="2"/>
      <c r="VID11" s="2"/>
      <c r="VIE11" s="2"/>
      <c r="VIF11" s="2"/>
      <c r="VIG11" s="2"/>
      <c r="VIH11" s="2"/>
      <c r="VII11" s="2"/>
      <c r="VIJ11" s="2"/>
      <c r="VIK11" s="2"/>
      <c r="VIL11" s="2"/>
      <c r="VIM11" s="2"/>
      <c r="VIN11" s="2"/>
      <c r="VIO11" s="2"/>
      <c r="VIP11" s="2"/>
      <c r="VIQ11" s="2"/>
      <c r="VIR11" s="2"/>
      <c r="VIS11" s="2"/>
      <c r="VIT11" s="2"/>
      <c r="VIU11" s="2"/>
      <c r="VIV11" s="2"/>
      <c r="VIW11" s="2"/>
      <c r="VIX11" s="2"/>
      <c r="VIY11" s="2"/>
      <c r="VIZ11" s="2"/>
      <c r="VJA11" s="2"/>
      <c r="VJB11" s="2"/>
      <c r="VJC11" s="2"/>
      <c r="VJD11" s="2"/>
      <c r="VJE11" s="2"/>
      <c r="VJF11" s="2"/>
      <c r="VJG11" s="2"/>
      <c r="VJH11" s="2"/>
      <c r="VJI11" s="2"/>
      <c r="VJJ11" s="2"/>
      <c r="VJK11" s="2"/>
      <c r="VJL11" s="2"/>
      <c r="VJM11" s="2"/>
      <c r="VJN11" s="2"/>
      <c r="VJO11" s="2"/>
      <c r="VJP11" s="2"/>
      <c r="VJQ11" s="2"/>
      <c r="VJR11" s="2"/>
      <c r="VJS11" s="2"/>
      <c r="VJT11" s="2"/>
      <c r="VJU11" s="2"/>
      <c r="VJV11" s="2"/>
      <c r="VJW11" s="2"/>
      <c r="VJX11" s="2"/>
      <c r="VJY11" s="2"/>
      <c r="VJZ11" s="2"/>
      <c r="VKA11" s="2"/>
      <c r="VKB11" s="2"/>
      <c r="VKC11" s="2"/>
      <c r="VKD11" s="2"/>
      <c r="VKE11" s="2"/>
      <c r="VKF11" s="2"/>
      <c r="VKG11" s="2"/>
      <c r="VKH11" s="2"/>
      <c r="VKI11" s="2"/>
      <c r="VKJ11" s="2"/>
      <c r="VKK11" s="2"/>
      <c r="VKL11" s="2"/>
      <c r="VKM11" s="2"/>
      <c r="VKN11" s="2"/>
      <c r="VKO11" s="2"/>
      <c r="VKP11" s="2"/>
      <c r="VKQ11" s="2"/>
      <c r="VKR11" s="2"/>
      <c r="VKS11" s="2"/>
      <c r="VKT11" s="2"/>
      <c r="VKU11" s="2"/>
      <c r="VKV11" s="2"/>
      <c r="VKW11" s="2"/>
      <c r="VKX11" s="2"/>
      <c r="VKY11" s="2"/>
      <c r="VKZ11" s="2"/>
      <c r="VLA11" s="2"/>
      <c r="VLB11" s="2"/>
      <c r="VLC11" s="2"/>
      <c r="VLD11" s="2"/>
      <c r="VLE11" s="2"/>
      <c r="VLF11" s="2"/>
      <c r="VLG11" s="2"/>
      <c r="VLH11" s="2"/>
      <c r="VLI11" s="2"/>
      <c r="VLJ11" s="2"/>
      <c r="VLK11" s="2"/>
      <c r="VLL11" s="2"/>
      <c r="VLM11" s="2"/>
      <c r="VLN11" s="2"/>
      <c r="VLO11" s="2"/>
      <c r="VLP11" s="2"/>
      <c r="VLQ11" s="2"/>
      <c r="VLR11" s="2"/>
      <c r="VLS11" s="2"/>
      <c r="VLT11" s="2"/>
      <c r="VLU11" s="2"/>
      <c r="VLV11" s="2"/>
      <c r="VLW11" s="2"/>
      <c r="VLX11" s="2"/>
      <c r="VLY11" s="2"/>
      <c r="VLZ11" s="2"/>
      <c r="VMA11" s="2"/>
      <c r="VMB11" s="2"/>
      <c r="VMC11" s="2"/>
      <c r="VMD11" s="2"/>
      <c r="VME11" s="2"/>
      <c r="VMF11" s="2"/>
      <c r="VMG11" s="2"/>
      <c r="VMH11" s="2"/>
      <c r="VMI11" s="2"/>
      <c r="VMJ11" s="2"/>
      <c r="VMK11" s="2"/>
      <c r="VML11" s="2"/>
      <c r="VMM11" s="2"/>
      <c r="VMN11" s="2"/>
      <c r="VMO11" s="2"/>
      <c r="VMP11" s="2"/>
      <c r="VMQ11" s="2"/>
      <c r="VMR11" s="2"/>
      <c r="VMS11" s="2"/>
      <c r="VMT11" s="2"/>
      <c r="VMU11" s="2"/>
      <c r="VMV11" s="2"/>
      <c r="VMW11" s="2"/>
      <c r="VMX11" s="2"/>
      <c r="VMY11" s="2"/>
      <c r="VMZ11" s="2"/>
      <c r="VNA11" s="2"/>
      <c r="VNB11" s="2"/>
      <c r="VNC11" s="2"/>
      <c r="VND11" s="2"/>
      <c r="VNE11" s="2"/>
      <c r="VNF11" s="2"/>
      <c r="VNG11" s="2"/>
      <c r="VNH11" s="2"/>
      <c r="VNI11" s="2"/>
      <c r="VNJ11" s="2"/>
      <c r="VNK11" s="2"/>
      <c r="VNL11" s="2"/>
      <c r="VNM11" s="2"/>
      <c r="VNN11" s="2"/>
      <c r="VNO11" s="2"/>
      <c r="VNP11" s="2"/>
      <c r="VNQ11" s="2"/>
      <c r="VNR11" s="2"/>
      <c r="VNS11" s="2"/>
      <c r="VNT11" s="2"/>
      <c r="VNU11" s="2"/>
      <c r="VNV11" s="2"/>
      <c r="VNW11" s="2"/>
      <c r="VNX11" s="2"/>
      <c r="VNY11" s="2"/>
      <c r="VNZ11" s="2"/>
      <c r="VOA11" s="2"/>
      <c r="VOB11" s="2"/>
      <c r="VOC11" s="2"/>
      <c r="VOD11" s="2"/>
      <c r="VOE11" s="2"/>
      <c r="VOF11" s="2"/>
      <c r="VOG11" s="2"/>
      <c r="VOH11" s="2"/>
      <c r="VOI11" s="2"/>
      <c r="VOJ11" s="2"/>
      <c r="VOK11" s="2"/>
      <c r="VOL11" s="2"/>
      <c r="VOM11" s="2"/>
      <c r="VON11" s="2"/>
      <c r="VOO11" s="2"/>
      <c r="VOP11" s="2"/>
      <c r="VOQ11" s="2"/>
      <c r="VOR11" s="2"/>
      <c r="VOS11" s="2"/>
      <c r="VOT11" s="2"/>
      <c r="VOU11" s="2"/>
      <c r="VOV11" s="2"/>
      <c r="VOW11" s="2"/>
      <c r="VOX11" s="2"/>
      <c r="VOY11" s="2"/>
      <c r="VOZ11" s="2"/>
      <c r="VPA11" s="2"/>
      <c r="VPB11" s="2"/>
      <c r="VPC11" s="2"/>
      <c r="VPD11" s="2"/>
      <c r="VPE11" s="2"/>
      <c r="VPF11" s="2"/>
      <c r="VPG11" s="2"/>
      <c r="VPH11" s="2"/>
      <c r="VPI11" s="2"/>
      <c r="VPJ11" s="2"/>
      <c r="VPK11" s="2"/>
      <c r="VPL11" s="2"/>
      <c r="VPM11" s="2"/>
      <c r="VPN11" s="2"/>
      <c r="VPO11" s="2"/>
      <c r="VPP11" s="2"/>
      <c r="VPQ11" s="2"/>
      <c r="VPR11" s="2"/>
      <c r="VPS11" s="2"/>
      <c r="VPT11" s="2"/>
      <c r="VPU11" s="2"/>
      <c r="VPV11" s="2"/>
      <c r="VPW11" s="2"/>
      <c r="VPX11" s="2"/>
      <c r="VPY11" s="2"/>
      <c r="VPZ11" s="2"/>
      <c r="VQA11" s="2"/>
      <c r="VQB11" s="2"/>
      <c r="VQC11" s="2"/>
      <c r="VQD11" s="2"/>
      <c r="VQE11" s="2"/>
      <c r="VQF11" s="2"/>
      <c r="VQG11" s="2"/>
      <c r="VQH11" s="2"/>
      <c r="VQI11" s="2"/>
      <c r="VQJ11" s="2"/>
      <c r="VQK11" s="2"/>
      <c r="VQL11" s="2"/>
      <c r="VQM11" s="2"/>
      <c r="VQN11" s="2"/>
      <c r="VQO11" s="2"/>
      <c r="VQP11" s="2"/>
      <c r="VQQ11" s="2"/>
      <c r="VQR11" s="2"/>
      <c r="VQS11" s="2"/>
      <c r="VQT11" s="2"/>
      <c r="VQU11" s="2"/>
      <c r="VQV11" s="2"/>
      <c r="VQW11" s="2"/>
      <c r="VQX11" s="2"/>
      <c r="VQY11" s="2"/>
      <c r="VQZ11" s="2"/>
      <c r="VRA11" s="2"/>
      <c r="VRB11" s="2"/>
      <c r="VRC11" s="2"/>
      <c r="VRD11" s="2"/>
      <c r="VRE11" s="2"/>
      <c r="VRF11" s="2"/>
      <c r="VRG11" s="2"/>
      <c r="VRH11" s="2"/>
      <c r="VRI11" s="2"/>
      <c r="VRJ11" s="2"/>
      <c r="VRK11" s="2"/>
      <c r="VRL11" s="2"/>
      <c r="VRM11" s="2"/>
      <c r="VRN11" s="2"/>
      <c r="VRO11" s="2"/>
      <c r="VRP11" s="2"/>
      <c r="VRQ11" s="2"/>
      <c r="VRR11" s="2"/>
      <c r="VRS11" s="2"/>
      <c r="VRT11" s="2"/>
      <c r="VRU11" s="2"/>
      <c r="VRV11" s="2"/>
      <c r="VRW11" s="2"/>
      <c r="VRX11" s="2"/>
      <c r="VRY11" s="2"/>
      <c r="VRZ11" s="2"/>
      <c r="VSA11" s="2"/>
      <c r="VSB11" s="2"/>
      <c r="VSC11" s="2"/>
      <c r="VSD11" s="2"/>
      <c r="VSE11" s="2"/>
      <c r="VSF11" s="2"/>
      <c r="VSG11" s="2"/>
      <c r="VSH11" s="2"/>
      <c r="VSI11" s="2"/>
      <c r="VSJ11" s="2"/>
      <c r="VSK11" s="2"/>
      <c r="VSL11" s="2"/>
      <c r="VSM11" s="2"/>
      <c r="VSN11" s="2"/>
      <c r="VSO11" s="2"/>
      <c r="VSP11" s="2"/>
      <c r="VSQ11" s="2"/>
      <c r="VSR11" s="2"/>
      <c r="VSS11" s="2"/>
      <c r="VST11" s="2"/>
      <c r="VSU11" s="2"/>
      <c r="VSV11" s="2"/>
      <c r="VSW11" s="2"/>
      <c r="VSX11" s="2"/>
      <c r="VSY11" s="2"/>
      <c r="VSZ11" s="2"/>
      <c r="VTA11" s="2"/>
      <c r="VTB11" s="2"/>
      <c r="VTC11" s="2"/>
      <c r="VTD11" s="2"/>
      <c r="VTE11" s="2"/>
      <c r="VTF11" s="2"/>
      <c r="VTG11" s="2"/>
      <c r="VTH11" s="2"/>
      <c r="VTI11" s="2"/>
      <c r="VTJ11" s="2"/>
      <c r="VTK11" s="2"/>
      <c r="VTL11" s="2"/>
      <c r="VTM11" s="2"/>
      <c r="VTN11" s="2"/>
      <c r="VTO11" s="2"/>
      <c r="VTP11" s="2"/>
      <c r="VTQ11" s="2"/>
      <c r="VTR11" s="2"/>
      <c r="VTS11" s="2"/>
      <c r="VTT11" s="2"/>
      <c r="VTU11" s="2"/>
      <c r="VTV11" s="2"/>
      <c r="VTW11" s="2"/>
      <c r="VTX11" s="2"/>
      <c r="VTY11" s="2"/>
      <c r="VTZ11" s="2"/>
      <c r="VUA11" s="2"/>
      <c r="VUB11" s="2"/>
      <c r="VUC11" s="2"/>
      <c r="VUD11" s="2"/>
      <c r="VUE11" s="2"/>
      <c r="VUF11" s="2"/>
      <c r="VUG11" s="2"/>
      <c r="VUH11" s="2"/>
      <c r="VUI11" s="2"/>
      <c r="VUJ11" s="2"/>
      <c r="VUK11" s="2"/>
      <c r="VUL11" s="2"/>
      <c r="VUM11" s="2"/>
      <c r="VUN11" s="2"/>
      <c r="VUO11" s="2"/>
      <c r="VUP11" s="2"/>
      <c r="VUQ11" s="2"/>
      <c r="VUR11" s="2"/>
      <c r="VUS11" s="2"/>
      <c r="VUT11" s="2"/>
      <c r="VUU11" s="2"/>
      <c r="VUV11" s="2"/>
      <c r="VUW11" s="2"/>
      <c r="VUX11" s="2"/>
      <c r="VUY11" s="2"/>
      <c r="VUZ11" s="2"/>
      <c r="VVA11" s="2"/>
      <c r="VVB11" s="2"/>
      <c r="VVC11" s="2"/>
      <c r="VVD11" s="2"/>
      <c r="VVE11" s="2"/>
      <c r="VVF11" s="2"/>
      <c r="VVG11" s="2"/>
      <c r="VVH11" s="2"/>
      <c r="VVI11" s="2"/>
      <c r="VVJ11" s="2"/>
      <c r="VVK11" s="2"/>
      <c r="VVL11" s="2"/>
      <c r="VVM11" s="2"/>
      <c r="VVN11" s="2"/>
      <c r="VVO11" s="2"/>
      <c r="VVP11" s="2"/>
      <c r="VVQ11" s="2"/>
      <c r="VVR11" s="2"/>
      <c r="VVS11" s="2"/>
      <c r="VVT11" s="2"/>
      <c r="VVU11" s="2"/>
      <c r="VVV11" s="2"/>
      <c r="VVW11" s="2"/>
      <c r="VVX11" s="2"/>
      <c r="VVY11" s="2"/>
      <c r="VVZ11" s="2"/>
      <c r="VWA11" s="2"/>
      <c r="VWB11" s="2"/>
      <c r="VWC11" s="2"/>
      <c r="VWD11" s="2"/>
      <c r="VWE11" s="2"/>
      <c r="VWF11" s="2"/>
      <c r="VWG11" s="2"/>
      <c r="VWH11" s="2"/>
      <c r="VWI11" s="2"/>
      <c r="VWJ11" s="2"/>
      <c r="VWK11" s="2"/>
      <c r="VWL11" s="2"/>
      <c r="VWM11" s="2"/>
      <c r="VWN11" s="2"/>
      <c r="VWO11" s="2"/>
      <c r="VWP11" s="2"/>
      <c r="VWQ11" s="2"/>
      <c r="VWR11" s="2"/>
      <c r="VWS11" s="2"/>
      <c r="VWT11" s="2"/>
      <c r="VWU11" s="2"/>
      <c r="VWV11" s="2"/>
      <c r="VWW11" s="2"/>
      <c r="VWX11" s="2"/>
      <c r="VWY11" s="2"/>
      <c r="VWZ11" s="2"/>
      <c r="VXA11" s="2"/>
      <c r="VXB11" s="2"/>
      <c r="VXC11" s="2"/>
      <c r="VXD11" s="2"/>
      <c r="VXE11" s="2"/>
      <c r="VXF11" s="2"/>
      <c r="VXG11" s="2"/>
      <c r="VXH11" s="2"/>
      <c r="VXI11" s="2"/>
      <c r="VXJ11" s="2"/>
      <c r="VXK11" s="2"/>
      <c r="VXL11" s="2"/>
      <c r="VXM11" s="2"/>
      <c r="VXN11" s="2"/>
      <c r="VXO11" s="2"/>
      <c r="VXP11" s="2"/>
      <c r="VXQ11" s="2"/>
      <c r="VXR11" s="2"/>
      <c r="VXS11" s="2"/>
      <c r="VXT11" s="2"/>
      <c r="VXU11" s="2"/>
      <c r="VXV11" s="2"/>
      <c r="VXW11" s="2"/>
      <c r="VXX11" s="2"/>
      <c r="VXY11" s="2"/>
      <c r="VXZ11" s="2"/>
      <c r="VYA11" s="2"/>
      <c r="VYB11" s="2"/>
      <c r="VYC11" s="2"/>
      <c r="VYD11" s="2"/>
      <c r="VYE11" s="2"/>
      <c r="VYF11" s="2"/>
      <c r="VYG11" s="2"/>
      <c r="VYH11" s="2"/>
      <c r="VYI11" s="2"/>
      <c r="VYJ11" s="2"/>
      <c r="VYK11" s="2"/>
      <c r="VYL11" s="2"/>
      <c r="VYM11" s="2"/>
      <c r="VYN11" s="2"/>
      <c r="VYO11" s="2"/>
      <c r="VYP11" s="2"/>
      <c r="VYQ11" s="2"/>
      <c r="VYR11" s="2"/>
      <c r="VYS11" s="2"/>
      <c r="VYT11" s="2"/>
      <c r="VYU11" s="2"/>
      <c r="VYV11" s="2"/>
      <c r="VYW11" s="2"/>
      <c r="VYX11" s="2"/>
      <c r="VYY11" s="2"/>
      <c r="VYZ11" s="2"/>
      <c r="VZA11" s="2"/>
      <c r="VZB11" s="2"/>
      <c r="VZC11" s="2"/>
      <c r="VZD11" s="2"/>
      <c r="VZE11" s="2"/>
      <c r="VZF11" s="2"/>
      <c r="VZG11" s="2"/>
      <c r="VZH11" s="2"/>
      <c r="VZI11" s="2"/>
      <c r="VZJ11" s="2"/>
      <c r="VZK11" s="2"/>
      <c r="VZL11" s="2"/>
      <c r="VZM11" s="2"/>
      <c r="VZN11" s="2"/>
      <c r="VZO11" s="2"/>
      <c r="VZP11" s="2"/>
      <c r="VZQ11" s="2"/>
      <c r="VZR11" s="2"/>
      <c r="VZS11" s="2"/>
      <c r="VZT11" s="2"/>
      <c r="VZU11" s="2"/>
      <c r="VZV11" s="2"/>
      <c r="VZW11" s="2"/>
      <c r="VZX11" s="2"/>
      <c r="VZY11" s="2"/>
      <c r="VZZ11" s="2"/>
      <c r="WAA11" s="2"/>
      <c r="WAB11" s="2"/>
      <c r="WAC11" s="2"/>
      <c r="WAD11" s="2"/>
      <c r="WAE11" s="2"/>
      <c r="WAF11" s="2"/>
      <c r="WAG11" s="2"/>
      <c r="WAH11" s="2"/>
      <c r="WAI11" s="2"/>
      <c r="WAJ11" s="2"/>
      <c r="WAK11" s="2"/>
      <c r="WAL11" s="2"/>
      <c r="WAM11" s="2"/>
      <c r="WAN11" s="2"/>
      <c r="WAO11" s="2"/>
      <c r="WAP11" s="2"/>
      <c r="WAQ11" s="2"/>
      <c r="WAR11" s="2"/>
      <c r="WAS11" s="2"/>
      <c r="WAT11" s="2"/>
      <c r="WAU11" s="2"/>
      <c r="WAV11" s="2"/>
      <c r="WAW11" s="2"/>
      <c r="WAX11" s="2"/>
      <c r="WAY11" s="2"/>
      <c r="WAZ11" s="2"/>
      <c r="WBA11" s="2"/>
      <c r="WBB11" s="2"/>
      <c r="WBC11" s="2"/>
      <c r="WBD11" s="2"/>
      <c r="WBE11" s="2"/>
      <c r="WBF11" s="2"/>
      <c r="WBG11" s="2"/>
      <c r="WBH11" s="2"/>
      <c r="WBI11" s="2"/>
      <c r="WBJ11" s="2"/>
      <c r="WBK11" s="2"/>
      <c r="WBL11" s="2"/>
      <c r="WBM11" s="2"/>
      <c r="WBN11" s="2"/>
      <c r="WBO11" s="2"/>
      <c r="WBP11" s="2"/>
      <c r="WBQ11" s="2"/>
      <c r="WBR11" s="2"/>
      <c r="WBS11" s="2"/>
      <c r="WBT11" s="2"/>
      <c r="WBU11" s="2"/>
      <c r="WBV11" s="2"/>
      <c r="WBW11" s="2"/>
      <c r="WBX11" s="2"/>
      <c r="WBY11" s="2"/>
      <c r="WBZ11" s="2"/>
      <c r="WCA11" s="2"/>
      <c r="WCB11" s="2"/>
      <c r="WCC11" s="2"/>
      <c r="WCD11" s="2"/>
      <c r="WCE11" s="2"/>
      <c r="WCF11" s="2"/>
      <c r="WCG11" s="2"/>
      <c r="WCH11" s="2"/>
      <c r="WCI11" s="2"/>
      <c r="WCJ11" s="2"/>
      <c r="WCK11" s="2"/>
      <c r="WCL11" s="2"/>
      <c r="WCM11" s="2"/>
      <c r="WCN11" s="2"/>
      <c r="WCO11" s="2"/>
      <c r="WCP11" s="2"/>
      <c r="WCQ11" s="2"/>
      <c r="WCR11" s="2"/>
      <c r="WCS11" s="2"/>
      <c r="WCT11" s="2"/>
      <c r="WCU11" s="2"/>
      <c r="WCV11" s="2"/>
      <c r="WCW11" s="2"/>
      <c r="WCX11" s="2"/>
      <c r="WCY11" s="2"/>
      <c r="WCZ11" s="2"/>
      <c r="WDA11" s="2"/>
      <c r="WDB11" s="2"/>
      <c r="WDC11" s="2"/>
      <c r="WDD11" s="2"/>
      <c r="WDE11" s="2"/>
      <c r="WDF11" s="2"/>
      <c r="WDG11" s="2"/>
      <c r="WDH11" s="2"/>
      <c r="WDI11" s="2"/>
      <c r="WDJ11" s="2"/>
      <c r="WDK11" s="2"/>
      <c r="WDL11" s="2"/>
      <c r="WDM11" s="2"/>
      <c r="WDN11" s="2"/>
      <c r="WDO11" s="2"/>
      <c r="WDP11" s="2"/>
      <c r="WDQ11" s="2"/>
      <c r="WDR11" s="2"/>
      <c r="WDS11" s="2"/>
      <c r="WDT11" s="2"/>
      <c r="WDU11" s="2"/>
      <c r="WDV11" s="2"/>
      <c r="WDW11" s="2"/>
      <c r="WDX11" s="2"/>
      <c r="WDY11" s="2"/>
      <c r="WDZ11" s="2"/>
      <c r="WEA11" s="2"/>
      <c r="WEB11" s="2"/>
      <c r="WEC11" s="2"/>
      <c r="WED11" s="2"/>
      <c r="WEE11" s="2"/>
      <c r="WEF11" s="2"/>
      <c r="WEG11" s="2"/>
      <c r="WEH11" s="2"/>
      <c r="WEI11" s="2"/>
      <c r="WEJ11" s="2"/>
      <c r="WEK11" s="2"/>
      <c r="WEL11" s="2"/>
      <c r="WEM11" s="2"/>
      <c r="WEN11" s="2"/>
      <c r="WEO11" s="2"/>
      <c r="WEP11" s="2"/>
      <c r="WEQ11" s="2"/>
      <c r="WER11" s="2"/>
      <c r="WES11" s="2"/>
      <c r="WET11" s="2"/>
      <c r="WEU11" s="2"/>
      <c r="WEV11" s="2"/>
      <c r="WEW11" s="2"/>
      <c r="WEX11" s="2"/>
      <c r="WEY11" s="2"/>
      <c r="WEZ11" s="2"/>
      <c r="WFA11" s="2"/>
      <c r="WFB11" s="2"/>
      <c r="WFC11" s="2"/>
      <c r="WFD11" s="2"/>
      <c r="WFE11" s="2"/>
      <c r="WFF11" s="2"/>
      <c r="WFG11" s="2"/>
      <c r="WFH11" s="2"/>
      <c r="WFI11" s="2"/>
      <c r="WFJ11" s="2"/>
      <c r="WFK11" s="2"/>
      <c r="WFL11" s="2"/>
      <c r="WFM11" s="2"/>
      <c r="WFN11" s="2"/>
      <c r="WFO11" s="2"/>
      <c r="WFP11" s="2"/>
      <c r="WFQ11" s="2"/>
      <c r="WFR11" s="2"/>
      <c r="WFS11" s="2"/>
      <c r="WFT11" s="2"/>
      <c r="WFU11" s="2"/>
      <c r="WFV11" s="2"/>
      <c r="WFW11" s="2"/>
      <c r="WFX11" s="2"/>
      <c r="WFY11" s="2"/>
      <c r="WFZ11" s="2"/>
      <c r="WGA11" s="2"/>
      <c r="WGB11" s="2"/>
      <c r="WGC11" s="2"/>
      <c r="WGD11" s="2"/>
      <c r="WGE11" s="2"/>
      <c r="WGF11" s="2"/>
      <c r="WGG11" s="2"/>
      <c r="WGH11" s="2"/>
      <c r="WGI11" s="2"/>
      <c r="WGJ11" s="2"/>
      <c r="WGK11" s="2"/>
      <c r="WGL11" s="2"/>
      <c r="WGM11" s="2"/>
      <c r="WGN11" s="2"/>
      <c r="WGO11" s="2"/>
      <c r="WGP11" s="2"/>
      <c r="WGQ11" s="2"/>
      <c r="WGR11" s="2"/>
      <c r="WGS11" s="2"/>
      <c r="WGT11" s="2"/>
      <c r="WGU11" s="2"/>
      <c r="WGV11" s="2"/>
      <c r="WGW11" s="2"/>
      <c r="WGX11" s="2"/>
      <c r="WGY11" s="2"/>
      <c r="WGZ11" s="2"/>
      <c r="WHA11" s="2"/>
      <c r="WHB11" s="2"/>
      <c r="WHC11" s="2"/>
      <c r="WHD11" s="2"/>
      <c r="WHE11" s="2"/>
      <c r="WHF11" s="2"/>
      <c r="WHG11" s="2"/>
      <c r="WHH11" s="2"/>
      <c r="WHI11" s="2"/>
      <c r="WHJ11" s="2"/>
      <c r="WHK11" s="2"/>
      <c r="WHL11" s="2"/>
      <c r="WHM11" s="2"/>
      <c r="WHN11" s="2"/>
      <c r="WHO11" s="2"/>
      <c r="WHP11" s="2"/>
      <c r="WHQ11" s="2"/>
      <c r="WHR11" s="2"/>
      <c r="WHS11" s="2"/>
      <c r="WHT11" s="2"/>
      <c r="WHU11" s="2"/>
      <c r="WHV11" s="2"/>
      <c r="WHW11" s="2"/>
      <c r="WHX11" s="2"/>
      <c r="WHY11" s="2"/>
      <c r="WHZ11" s="2"/>
      <c r="WIA11" s="2"/>
      <c r="WIB11" s="2"/>
      <c r="WIC11" s="2"/>
      <c r="WID11" s="2"/>
      <c r="WIE11" s="2"/>
      <c r="WIF11" s="2"/>
      <c r="WIG11" s="2"/>
      <c r="WIH11" s="2"/>
      <c r="WII11" s="2"/>
      <c r="WIJ11" s="2"/>
      <c r="WIK11" s="2"/>
      <c r="WIL11" s="2"/>
      <c r="WIM11" s="2"/>
      <c r="WIN11" s="2"/>
      <c r="WIO11" s="2"/>
      <c r="WIP11" s="2"/>
      <c r="WIQ11" s="2"/>
      <c r="WIR11" s="2"/>
      <c r="WIS11" s="2"/>
      <c r="WIT11" s="2"/>
      <c r="WIU11" s="2"/>
      <c r="WIV11" s="2"/>
      <c r="WIW11" s="2"/>
      <c r="WIX11" s="2"/>
      <c r="WIY11" s="2"/>
      <c r="WIZ11" s="2"/>
      <c r="WJA11" s="2"/>
      <c r="WJB11" s="2"/>
      <c r="WJC11" s="2"/>
      <c r="WJD11" s="2"/>
      <c r="WJE11" s="2"/>
      <c r="WJF11" s="2"/>
      <c r="WJG11" s="2"/>
      <c r="WJH11" s="2"/>
      <c r="WJI11" s="2"/>
      <c r="WJJ11" s="2"/>
      <c r="WJK11" s="2"/>
      <c r="WJL11" s="2"/>
      <c r="WJM11" s="2"/>
      <c r="WJN11" s="2"/>
      <c r="WJO11" s="2"/>
      <c r="WJP11" s="2"/>
      <c r="WJQ11" s="2"/>
      <c r="WJR11" s="2"/>
      <c r="WJS11" s="2"/>
      <c r="WJT11" s="2"/>
      <c r="WJU11" s="2"/>
      <c r="WJV11" s="2"/>
      <c r="WJW11" s="2"/>
      <c r="WJX11" s="2"/>
      <c r="WJY11" s="2"/>
      <c r="WJZ11" s="2"/>
      <c r="WKA11" s="2"/>
      <c r="WKB11" s="2"/>
      <c r="WKC11" s="2"/>
      <c r="WKD11" s="2"/>
      <c r="WKE11" s="2"/>
      <c r="WKF11" s="2"/>
      <c r="WKG11" s="2"/>
      <c r="WKH11" s="2"/>
      <c r="WKI11" s="2"/>
      <c r="WKJ11" s="2"/>
      <c r="WKK11" s="2"/>
      <c r="WKL11" s="2"/>
      <c r="WKM11" s="2"/>
      <c r="WKN11" s="2"/>
      <c r="WKO11" s="2"/>
      <c r="WKP11" s="2"/>
      <c r="WKQ11" s="2"/>
      <c r="WKR11" s="2"/>
      <c r="WKS11" s="2"/>
      <c r="WKT11" s="2"/>
      <c r="WKU11" s="2"/>
      <c r="WKV11" s="2"/>
      <c r="WKW11" s="2"/>
      <c r="WKX11" s="2"/>
      <c r="WKY11" s="2"/>
      <c r="WKZ11" s="2"/>
      <c r="WLA11" s="2"/>
      <c r="WLB11" s="2"/>
      <c r="WLC11" s="2"/>
      <c r="WLD11" s="2"/>
      <c r="WLE11" s="2"/>
      <c r="WLF11" s="2"/>
      <c r="WLG11" s="2"/>
      <c r="WLH11" s="2"/>
      <c r="WLI11" s="2"/>
      <c r="WLJ11" s="2"/>
      <c r="WLK11" s="2"/>
      <c r="WLL11" s="2"/>
      <c r="WLM11" s="2"/>
      <c r="WLN11" s="2"/>
      <c r="WLO11" s="2"/>
      <c r="WLP11" s="2"/>
      <c r="WLQ11" s="2"/>
      <c r="WLR11" s="2"/>
      <c r="WLS11" s="2"/>
      <c r="WLT11" s="2"/>
      <c r="WLU11" s="2"/>
      <c r="WLV11" s="2"/>
      <c r="WLW11" s="2"/>
      <c r="WLX11" s="2"/>
      <c r="WLY11" s="2"/>
      <c r="WLZ11" s="2"/>
      <c r="WMA11" s="2"/>
      <c r="WMB11" s="2"/>
      <c r="WMC11" s="2"/>
      <c r="WMD11" s="2"/>
      <c r="WME11" s="2"/>
      <c r="WMF11" s="2"/>
      <c r="WMG11" s="2"/>
      <c r="WMH11" s="2"/>
      <c r="WMI11" s="2"/>
      <c r="WMJ11" s="2"/>
      <c r="WMK11" s="2"/>
      <c r="WML11" s="2"/>
      <c r="WMM11" s="2"/>
      <c r="WMN11" s="2"/>
      <c r="WMO11" s="2"/>
      <c r="WMP11" s="2"/>
      <c r="WMQ11" s="2"/>
      <c r="WMR11" s="2"/>
      <c r="WMS11" s="2"/>
      <c r="WMT11" s="2"/>
      <c r="WMU11" s="2"/>
      <c r="WMV11" s="2"/>
      <c r="WMW11" s="2"/>
      <c r="WMX11" s="2"/>
      <c r="WMY11" s="2"/>
      <c r="WMZ11" s="2"/>
      <c r="WNA11" s="2"/>
      <c r="WNB11" s="2"/>
      <c r="WNC11" s="2"/>
      <c r="WND11" s="2"/>
      <c r="WNE11" s="2"/>
      <c r="WNF11" s="2"/>
      <c r="WNG11" s="2"/>
      <c r="WNH11" s="2"/>
      <c r="WNI11" s="2"/>
      <c r="WNJ11" s="2"/>
      <c r="WNK11" s="2"/>
      <c r="WNL11" s="2"/>
      <c r="WNM11" s="2"/>
      <c r="WNN11" s="2"/>
      <c r="WNO11" s="2"/>
      <c r="WNP11" s="2"/>
      <c r="WNQ11" s="2"/>
      <c r="WNR11" s="2"/>
      <c r="WNS11" s="2"/>
      <c r="WNT11" s="2"/>
      <c r="WNU11" s="2"/>
      <c r="WNV11" s="2"/>
      <c r="WNW11" s="2"/>
      <c r="WNX11" s="2"/>
      <c r="WNY11" s="2"/>
      <c r="WNZ11" s="2"/>
      <c r="WOA11" s="2"/>
      <c r="WOB11" s="2"/>
      <c r="WOC11" s="2"/>
      <c r="WOD11" s="2"/>
      <c r="WOE11" s="2"/>
      <c r="WOF11" s="2"/>
      <c r="WOG11" s="2"/>
      <c r="WOH11" s="2"/>
      <c r="WOI11" s="2"/>
      <c r="WOJ11" s="2"/>
      <c r="WOK11" s="2"/>
      <c r="WOL11" s="2"/>
      <c r="WOM11" s="2"/>
      <c r="WON11" s="2"/>
      <c r="WOO11" s="2"/>
      <c r="WOP11" s="2"/>
      <c r="WOQ11" s="2"/>
      <c r="WOR11" s="2"/>
      <c r="WOS11" s="2"/>
      <c r="WOT11" s="2"/>
      <c r="WOU11" s="2"/>
      <c r="WOV11" s="2"/>
      <c r="WOW11" s="2"/>
      <c r="WOX11" s="2"/>
      <c r="WOY11" s="2"/>
      <c r="WOZ11" s="2"/>
      <c r="WPA11" s="2"/>
      <c r="WPB11" s="2"/>
      <c r="WPC11" s="2"/>
      <c r="WPD11" s="2"/>
      <c r="WPE11" s="2"/>
      <c r="WPF11" s="2"/>
      <c r="WPG11" s="2"/>
      <c r="WPH11" s="2"/>
      <c r="WPI11" s="2"/>
      <c r="WPJ11" s="2"/>
      <c r="WPK11" s="2"/>
      <c r="WPL11" s="2"/>
      <c r="WPM11" s="2"/>
      <c r="WPN11" s="2"/>
      <c r="WPO11" s="2"/>
      <c r="WPP11" s="2"/>
      <c r="WPQ11" s="2"/>
      <c r="WPR11" s="2"/>
      <c r="WPS11" s="2"/>
      <c r="WPT11" s="2"/>
      <c r="WPU11" s="2"/>
      <c r="WPV11" s="2"/>
      <c r="WPW11" s="2"/>
      <c r="WPX11" s="2"/>
      <c r="WPY11" s="2"/>
      <c r="WPZ11" s="2"/>
      <c r="WQA11" s="2"/>
      <c r="WQB11" s="2"/>
      <c r="WQC11" s="2"/>
      <c r="WQD11" s="2"/>
      <c r="WQE11" s="2"/>
      <c r="WQF11" s="2"/>
      <c r="WQG11" s="2"/>
      <c r="WQH11" s="2"/>
      <c r="WQI11" s="2"/>
      <c r="WQJ11" s="2"/>
      <c r="WQK11" s="2"/>
      <c r="WQL11" s="2"/>
      <c r="WQM11" s="2"/>
      <c r="WQN11" s="2"/>
      <c r="WQO11" s="2"/>
      <c r="WQP11" s="2"/>
      <c r="WQQ11" s="2"/>
      <c r="WQR11" s="2"/>
      <c r="WQS11" s="2"/>
      <c r="WQT11" s="2"/>
      <c r="WQU11" s="2"/>
      <c r="WQV11" s="2"/>
      <c r="WQW11" s="2"/>
      <c r="WQX11" s="2"/>
      <c r="WQY11" s="2"/>
      <c r="WQZ11" s="2"/>
      <c r="WRA11" s="2"/>
      <c r="WRB11" s="2"/>
      <c r="WRC11" s="2"/>
      <c r="WRD11" s="2"/>
      <c r="WRE11" s="2"/>
      <c r="WRF11" s="2"/>
      <c r="WRG11" s="2"/>
      <c r="WRH11" s="2"/>
      <c r="WRI11" s="2"/>
      <c r="WRJ11" s="2"/>
      <c r="WRK11" s="2"/>
      <c r="WRL11" s="2"/>
      <c r="WRM11" s="2"/>
      <c r="WRN11" s="2"/>
      <c r="WRO11" s="2"/>
      <c r="WRP11" s="2"/>
      <c r="WRQ11" s="2"/>
      <c r="WRR11" s="2"/>
      <c r="WRS11" s="2"/>
      <c r="WRT11" s="2"/>
      <c r="WRU11" s="2"/>
      <c r="WRV11" s="2"/>
      <c r="WRW11" s="2"/>
      <c r="WRX11" s="2"/>
      <c r="WRY11" s="2"/>
      <c r="WRZ11" s="2"/>
      <c r="WSA11" s="2"/>
      <c r="WSB11" s="2"/>
      <c r="WSC11" s="2"/>
      <c r="WSD11" s="2"/>
      <c r="WSE11" s="2"/>
      <c r="WSF11" s="2"/>
      <c r="WSG11" s="2"/>
      <c r="WSH11" s="2"/>
      <c r="WSI11" s="2"/>
      <c r="WSJ11" s="2"/>
      <c r="WSK11" s="2"/>
      <c r="WSL11" s="2"/>
      <c r="WSM11" s="2"/>
      <c r="WSN11" s="2"/>
      <c r="WSO11" s="2"/>
      <c r="WSP11" s="2"/>
      <c r="WSQ11" s="2"/>
      <c r="WSR11" s="2"/>
      <c r="WSS11" s="2"/>
      <c r="WST11" s="2"/>
      <c r="WSU11" s="2"/>
      <c r="WSV11" s="2"/>
      <c r="WSW11" s="2"/>
      <c r="WSX11" s="2"/>
      <c r="WSY11" s="2"/>
      <c r="WSZ11" s="2"/>
      <c r="WTA11" s="2"/>
      <c r="WTB11" s="2"/>
      <c r="WTC11" s="2"/>
      <c r="WTD11" s="2"/>
      <c r="WTE11" s="2"/>
      <c r="WTF11" s="2"/>
      <c r="WTG11" s="2"/>
      <c r="WTH11" s="2"/>
      <c r="WTI11" s="2"/>
      <c r="WTJ11" s="2"/>
      <c r="WTK11" s="2"/>
      <c r="WTL11" s="2"/>
      <c r="WTM11" s="2"/>
      <c r="WTN11" s="2"/>
      <c r="WTO11" s="2"/>
      <c r="WTP11" s="2"/>
      <c r="WTQ11" s="2"/>
      <c r="WTR11" s="2"/>
      <c r="WTS11" s="2"/>
      <c r="WTT11" s="2"/>
      <c r="WTU11" s="2"/>
      <c r="WTV11" s="2"/>
      <c r="WTW11" s="2"/>
      <c r="WTX11" s="2"/>
      <c r="WTY11" s="2"/>
      <c r="WTZ11" s="2"/>
      <c r="WUA11" s="2"/>
      <c r="WUB11" s="2"/>
      <c r="WUC11" s="2"/>
      <c r="WUD11" s="2"/>
      <c r="WUE11" s="2"/>
      <c r="WUF11" s="2"/>
      <c r="WUG11" s="2"/>
      <c r="WUH11" s="2"/>
      <c r="WUI11" s="2"/>
      <c r="WUJ11" s="2"/>
      <c r="WUK11" s="2"/>
      <c r="WUL11" s="2"/>
      <c r="WUM11" s="2"/>
      <c r="WUN11" s="2"/>
      <c r="WUO11" s="2"/>
      <c r="WUP11" s="2"/>
      <c r="WUQ11" s="2"/>
      <c r="WUR11" s="2"/>
      <c r="WUS11" s="2"/>
      <c r="WUT11" s="2"/>
      <c r="WUU11" s="2"/>
      <c r="WUV11" s="2"/>
      <c r="WUW11" s="2"/>
      <c r="WUX11" s="2"/>
      <c r="WUY11" s="2"/>
      <c r="WUZ11" s="2"/>
      <c r="WVA11" s="2"/>
      <c r="WVB11" s="2"/>
      <c r="WVC11" s="2"/>
      <c r="WVD11" s="2"/>
      <c r="WVE11" s="2"/>
      <c r="WVF11" s="2"/>
      <c r="WVG11" s="2"/>
      <c r="WVH11" s="2"/>
      <c r="WVI11" s="2"/>
      <c r="WVJ11" s="2"/>
      <c r="WVK11" s="2"/>
      <c r="WVL11" s="2"/>
      <c r="WVM11" s="2"/>
      <c r="WVN11" s="2"/>
      <c r="WVO11" s="2"/>
      <c r="WVP11" s="2"/>
      <c r="WVQ11" s="2"/>
      <c r="WVR11" s="2"/>
      <c r="WVS11" s="2"/>
      <c r="WVT11" s="2"/>
      <c r="WVU11" s="2"/>
      <c r="WVV11" s="2"/>
      <c r="WVW11" s="2"/>
      <c r="WVX11" s="2"/>
      <c r="WVY11" s="2"/>
      <c r="WVZ11" s="2"/>
      <c r="WWA11" s="2"/>
      <c r="WWB11" s="2"/>
      <c r="WWC11" s="2"/>
      <c r="WWD11" s="2"/>
      <c r="WWE11" s="2"/>
      <c r="WWF11" s="2"/>
      <c r="WWG11" s="2"/>
      <c r="WWH11" s="2"/>
      <c r="WWI11" s="2"/>
      <c r="WWJ11" s="2"/>
      <c r="WWK11" s="2"/>
      <c r="WWL11" s="2"/>
      <c r="WWM11" s="2"/>
      <c r="WWN11" s="2"/>
      <c r="WWO11" s="2"/>
      <c r="WWP11" s="2"/>
      <c r="WWQ11" s="2"/>
      <c r="WWR11" s="2"/>
      <c r="WWS11" s="2"/>
      <c r="WWT11" s="2"/>
      <c r="WWU11" s="2"/>
      <c r="WWV11" s="2"/>
      <c r="WWW11" s="2"/>
      <c r="WWX11" s="2"/>
      <c r="WWY11" s="2"/>
      <c r="WWZ11" s="2"/>
      <c r="WXA11" s="2"/>
      <c r="WXB11" s="2"/>
      <c r="WXC11" s="2"/>
      <c r="WXD11" s="2"/>
      <c r="WXE11" s="2"/>
      <c r="WXF11" s="2"/>
      <c r="WXG11" s="2"/>
      <c r="WXH11" s="2"/>
      <c r="WXI11" s="2"/>
      <c r="WXJ11" s="2"/>
      <c r="WXK11" s="2"/>
      <c r="WXL11" s="2"/>
      <c r="WXM11" s="2"/>
      <c r="WXN11" s="2"/>
      <c r="WXO11" s="2"/>
      <c r="WXP11" s="2"/>
      <c r="WXQ11" s="2"/>
      <c r="WXR11" s="2"/>
      <c r="WXS11" s="2"/>
      <c r="WXT11" s="2"/>
      <c r="WXU11" s="2"/>
      <c r="WXV11" s="2"/>
      <c r="WXW11" s="2"/>
      <c r="WXX11" s="2"/>
      <c r="WXY11" s="2"/>
      <c r="WXZ11" s="2"/>
      <c r="WYA11" s="2"/>
      <c r="WYB11" s="2"/>
      <c r="WYC11" s="2"/>
      <c r="WYD11" s="2"/>
      <c r="WYE11" s="2"/>
      <c r="WYF11" s="2"/>
      <c r="WYG11" s="2"/>
      <c r="WYH11" s="2"/>
      <c r="WYI11" s="2"/>
      <c r="WYJ11" s="2"/>
      <c r="WYK11" s="2"/>
      <c r="WYL11" s="2"/>
      <c r="WYM11" s="2"/>
      <c r="WYN11" s="2"/>
      <c r="WYO11" s="2"/>
      <c r="WYP11" s="2"/>
      <c r="WYQ11" s="2"/>
      <c r="WYR11" s="2"/>
      <c r="WYS11" s="2"/>
      <c r="WYT11" s="2"/>
      <c r="WYU11" s="2"/>
      <c r="WYV11" s="2"/>
      <c r="WYW11" s="2"/>
      <c r="WYX11" s="2"/>
      <c r="WYY11" s="2"/>
      <c r="WYZ11" s="2"/>
      <c r="WZA11" s="2"/>
      <c r="WZB11" s="2"/>
      <c r="WZC11" s="2"/>
      <c r="WZD11" s="2"/>
      <c r="WZE11" s="2"/>
      <c r="WZF11" s="2"/>
      <c r="WZG11" s="2"/>
      <c r="WZH11" s="2"/>
      <c r="WZI11" s="2"/>
      <c r="WZJ11" s="2"/>
      <c r="WZK11" s="2"/>
      <c r="WZL11" s="2"/>
      <c r="WZM11" s="2"/>
      <c r="WZN11" s="2"/>
      <c r="WZO11" s="2"/>
      <c r="WZP11" s="2"/>
      <c r="WZQ11" s="2"/>
      <c r="WZR11" s="2"/>
      <c r="WZS11" s="2"/>
      <c r="WZT11" s="2"/>
      <c r="WZU11" s="2"/>
      <c r="WZV11" s="2"/>
      <c r="WZW11" s="2"/>
      <c r="WZX11" s="2"/>
      <c r="WZY11" s="2"/>
      <c r="WZZ11" s="2"/>
      <c r="XAA11" s="2"/>
      <c r="XAB11" s="2"/>
      <c r="XAC11" s="2"/>
      <c r="XAD11" s="2"/>
      <c r="XAE11" s="2"/>
      <c r="XAF11" s="2"/>
      <c r="XAG11" s="2"/>
      <c r="XAH11" s="2"/>
      <c r="XAI11" s="2"/>
      <c r="XAJ11" s="2"/>
      <c r="XAK11" s="2"/>
      <c r="XAL11" s="2"/>
      <c r="XAM11" s="2"/>
      <c r="XAN11" s="2"/>
      <c r="XAO11" s="2"/>
      <c r="XAP11" s="2"/>
      <c r="XAQ11" s="2"/>
      <c r="XAR11" s="2"/>
      <c r="XAS11" s="2"/>
      <c r="XAT11" s="2"/>
      <c r="XAU11" s="2"/>
      <c r="XAV11" s="2"/>
      <c r="XAW11" s="2"/>
      <c r="XAX11" s="2"/>
      <c r="XAY11" s="2"/>
      <c r="XAZ11" s="2"/>
      <c r="XBA11" s="2"/>
      <c r="XBB11" s="2"/>
      <c r="XBC11" s="2"/>
      <c r="XBD11" s="2"/>
      <c r="XBE11" s="2"/>
      <c r="XBF11" s="2"/>
      <c r="XBG11" s="2"/>
      <c r="XBH11" s="2"/>
      <c r="XBI11" s="2"/>
      <c r="XBJ11" s="2"/>
      <c r="XBK11" s="2"/>
      <c r="XBL11" s="2"/>
      <c r="XBM11" s="2"/>
      <c r="XBN11" s="2"/>
      <c r="XBO11" s="2"/>
      <c r="XBP11" s="2"/>
      <c r="XBQ11" s="2"/>
      <c r="XBR11" s="2"/>
      <c r="XBS11" s="2"/>
      <c r="XBT11" s="2"/>
      <c r="XBU11" s="2"/>
      <c r="XBV11" s="2"/>
      <c r="XBW11" s="2"/>
      <c r="XBX11" s="2"/>
      <c r="XBY11" s="2"/>
      <c r="XBZ11" s="2"/>
      <c r="XCA11" s="2"/>
      <c r="XCB11" s="2"/>
      <c r="XCC11" s="2"/>
      <c r="XCD11" s="2"/>
      <c r="XCE11" s="2"/>
      <c r="XCF11" s="2"/>
      <c r="XCG11" s="2"/>
      <c r="XCH11" s="2"/>
      <c r="XCI11" s="2"/>
      <c r="XCJ11" s="2"/>
      <c r="XCK11" s="2"/>
      <c r="XCL11" s="2"/>
      <c r="XCM11" s="2"/>
      <c r="XCN11" s="2"/>
      <c r="XCO11" s="2"/>
      <c r="XCP11" s="2"/>
      <c r="XCQ11" s="2"/>
      <c r="XCR11" s="2"/>
      <c r="XCS11" s="2"/>
      <c r="XCT11" s="2"/>
      <c r="XCU11" s="2"/>
      <c r="XCV11" s="2"/>
      <c r="XCW11" s="2"/>
      <c r="XCX11" s="2"/>
      <c r="XCY11" s="2"/>
      <c r="XCZ11" s="2"/>
      <c r="XDA11" s="2"/>
      <c r="XDB11" s="2"/>
      <c r="XDC11" s="2"/>
      <c r="XDD11" s="2"/>
      <c r="XDE11" s="2"/>
      <c r="XDF11" s="2"/>
      <c r="XDG11" s="2"/>
      <c r="XDH11" s="2"/>
      <c r="XDI11" s="2"/>
      <c r="XDJ11" s="2"/>
      <c r="XDK11" s="2"/>
      <c r="XDL11" s="2"/>
      <c r="XDM11" s="2"/>
      <c r="XDN11" s="2"/>
      <c r="XDO11" s="2"/>
      <c r="XDP11" s="2"/>
      <c r="XDQ11" s="2"/>
      <c r="XDR11" s="2"/>
      <c r="XDS11" s="2"/>
      <c r="XDT11" s="2"/>
      <c r="XDU11" s="2"/>
      <c r="XDV11" s="2"/>
      <c r="XDW11" s="2"/>
      <c r="XDX11" s="2"/>
      <c r="XDY11" s="2"/>
      <c r="XDZ11" s="2"/>
      <c r="XEA11" s="2"/>
      <c r="XEB11" s="2"/>
      <c r="XEC11" s="2"/>
    </row>
    <row r="12" spans="1:16384" customFormat="1" ht="15.95" customHeight="1" x14ac:dyDescent="0.25">
      <c r="A12" s="19" t="s">
        <v>163</v>
      </c>
      <c r="B12" s="19" t="s">
        <v>164</v>
      </c>
      <c r="C12" s="33">
        <v>2</v>
      </c>
      <c r="D12" s="33">
        <v>2</v>
      </c>
      <c r="E12" s="33">
        <v>2</v>
      </c>
      <c r="F12" s="33">
        <v>30</v>
      </c>
      <c r="G12" s="33">
        <f>1-G13</f>
        <v>1</v>
      </c>
      <c r="H12" s="33" cm="1">
        <f t="array" ref="H12">G12*_xlfn.IFS(Настройки!$B$2="M",'Печатные изд.'!C12,Настройки!$B$2="L",'Печатные изд.'!D12,Настройки!$B$2="XL",'Печатные изд.'!E12)</f>
        <v>2</v>
      </c>
      <c r="I12" s="41">
        <f t="shared" si="0"/>
        <v>60</v>
      </c>
      <c r="J12" s="33" t="s">
        <v>509</v>
      </c>
      <c r="K12" s="41" cm="1">
        <f t="array" ref="K12">_xlfn.IFS(J12="Высоконагруженная",Настройки!$B$6,J12="Средне-нагруженная",Настройки!$B$7,J12="Ненагруженная",Настройки!$B$8,J12="Гибкая",Настройки!$B$9)</f>
        <v>1.21</v>
      </c>
      <c r="L12" s="41" cm="1">
        <f t="array" ref="L12">_xlfn.IFS(J12="Высоконагруженная",Настройки!$C$6,J12="Средне-нагруженная",Настройки!$C$7,J12="Ненагруженная",Настройки!$C$8,J12="Гибкая",Настройки!$C$9)/1000</f>
        <v>5</v>
      </c>
      <c r="M12" s="51">
        <f t="shared" si="1"/>
        <v>72.599999999999994</v>
      </c>
      <c r="N12" s="51">
        <f t="shared" si="2"/>
        <v>0</v>
      </c>
      <c r="O12" s="51">
        <f t="shared" si="3"/>
        <v>0</v>
      </c>
      <c r="P12" s="51">
        <f t="shared" si="4"/>
        <v>0</v>
      </c>
      <c r="Q12" s="52">
        <f t="shared" si="5"/>
        <v>363</v>
      </c>
      <c r="R12" s="43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  <c r="CEP12" s="2"/>
      <c r="CEQ12" s="2"/>
      <c r="CER12" s="2"/>
      <c r="CES12" s="2"/>
      <c r="CET12" s="2"/>
      <c r="CEU12" s="2"/>
      <c r="CEV12" s="2"/>
      <c r="CEW12" s="2"/>
      <c r="CEX12" s="2"/>
      <c r="CEY12" s="2"/>
      <c r="CEZ12" s="2"/>
      <c r="CFA12" s="2"/>
      <c r="CFB12" s="2"/>
      <c r="CFC12" s="2"/>
      <c r="CFD12" s="2"/>
      <c r="CFE12" s="2"/>
      <c r="CFF12" s="2"/>
      <c r="CFG12" s="2"/>
      <c r="CFH12" s="2"/>
      <c r="CFI12" s="2"/>
      <c r="CFJ12" s="2"/>
      <c r="CFK12" s="2"/>
      <c r="CFL12" s="2"/>
      <c r="CFM12" s="2"/>
      <c r="CFN12" s="2"/>
      <c r="CFO12" s="2"/>
      <c r="CFP12" s="2"/>
      <c r="CFQ12" s="2"/>
      <c r="CFR12" s="2"/>
      <c r="CFS12" s="2"/>
      <c r="CFT12" s="2"/>
      <c r="CFU12" s="2"/>
      <c r="CFV12" s="2"/>
      <c r="CFW12" s="2"/>
      <c r="CFX12" s="2"/>
      <c r="CFY12" s="2"/>
      <c r="CFZ12" s="2"/>
      <c r="CGA12" s="2"/>
      <c r="CGB12" s="2"/>
      <c r="CGC12" s="2"/>
      <c r="CGD12" s="2"/>
      <c r="CGE12" s="2"/>
      <c r="CGF12" s="2"/>
      <c r="CGG12" s="2"/>
      <c r="CGH12" s="2"/>
      <c r="CGI12" s="2"/>
      <c r="CGJ12" s="2"/>
      <c r="CGK12" s="2"/>
      <c r="CGL12" s="2"/>
      <c r="CGM12" s="2"/>
      <c r="CGN12" s="2"/>
      <c r="CGO12" s="2"/>
      <c r="CGP12" s="2"/>
      <c r="CGQ12" s="2"/>
      <c r="CGR12" s="2"/>
      <c r="CGS12" s="2"/>
      <c r="CGT12" s="2"/>
      <c r="CGU12" s="2"/>
      <c r="CGV12" s="2"/>
      <c r="CGW12" s="2"/>
      <c r="CGX12" s="2"/>
      <c r="CGY12" s="2"/>
      <c r="CGZ12" s="2"/>
      <c r="CHA12" s="2"/>
      <c r="CHB12" s="2"/>
      <c r="CHC12" s="2"/>
      <c r="CHD12" s="2"/>
      <c r="CHE12" s="2"/>
      <c r="CHF12" s="2"/>
      <c r="CHG12" s="2"/>
      <c r="CHH12" s="2"/>
      <c r="CHI12" s="2"/>
      <c r="CHJ12" s="2"/>
      <c r="CHK12" s="2"/>
      <c r="CHL12" s="2"/>
      <c r="CHM12" s="2"/>
      <c r="CHN12" s="2"/>
      <c r="CHO12" s="2"/>
      <c r="CHP12" s="2"/>
      <c r="CHQ12" s="2"/>
      <c r="CHR12" s="2"/>
      <c r="CHS12" s="2"/>
      <c r="CHT12" s="2"/>
      <c r="CHU12" s="2"/>
      <c r="CHV12" s="2"/>
      <c r="CHW12" s="2"/>
      <c r="CHX12" s="2"/>
      <c r="CHY12" s="2"/>
      <c r="CHZ12" s="2"/>
      <c r="CIA12" s="2"/>
      <c r="CIB12" s="2"/>
      <c r="CIC12" s="2"/>
      <c r="CID12" s="2"/>
      <c r="CIE12" s="2"/>
      <c r="CIF12" s="2"/>
      <c r="CIG12" s="2"/>
      <c r="CIH12" s="2"/>
      <c r="CII12" s="2"/>
      <c r="CIJ12" s="2"/>
      <c r="CIK12" s="2"/>
      <c r="CIL12" s="2"/>
      <c r="CIM12" s="2"/>
      <c r="CIN12" s="2"/>
      <c r="CIO12" s="2"/>
      <c r="CIP12" s="2"/>
      <c r="CIQ12" s="2"/>
      <c r="CIR12" s="2"/>
      <c r="CIS12" s="2"/>
      <c r="CIT12" s="2"/>
      <c r="CIU12" s="2"/>
      <c r="CIV12" s="2"/>
      <c r="CIW12" s="2"/>
      <c r="CIX12" s="2"/>
      <c r="CIY12" s="2"/>
      <c r="CIZ12" s="2"/>
      <c r="CJA12" s="2"/>
      <c r="CJB12" s="2"/>
      <c r="CJC12" s="2"/>
      <c r="CJD12" s="2"/>
      <c r="CJE12" s="2"/>
      <c r="CJF12" s="2"/>
      <c r="CJG12" s="2"/>
      <c r="CJH12" s="2"/>
      <c r="CJI12" s="2"/>
      <c r="CJJ12" s="2"/>
      <c r="CJK12" s="2"/>
      <c r="CJL12" s="2"/>
      <c r="CJM12" s="2"/>
      <c r="CJN12" s="2"/>
      <c r="CJO12" s="2"/>
      <c r="CJP12" s="2"/>
      <c r="CJQ12" s="2"/>
      <c r="CJR12" s="2"/>
      <c r="CJS12" s="2"/>
      <c r="CJT12" s="2"/>
      <c r="CJU12" s="2"/>
      <c r="CJV12" s="2"/>
      <c r="CJW12" s="2"/>
      <c r="CJX12" s="2"/>
      <c r="CJY12" s="2"/>
      <c r="CJZ12" s="2"/>
      <c r="CKA12" s="2"/>
      <c r="CKB12" s="2"/>
      <c r="CKC12" s="2"/>
      <c r="CKD12" s="2"/>
      <c r="CKE12" s="2"/>
      <c r="CKF12" s="2"/>
      <c r="CKG12" s="2"/>
      <c r="CKH12" s="2"/>
      <c r="CKI12" s="2"/>
      <c r="CKJ12" s="2"/>
      <c r="CKK12" s="2"/>
      <c r="CKL12" s="2"/>
      <c r="CKM12" s="2"/>
      <c r="CKN12" s="2"/>
      <c r="CKO12" s="2"/>
      <c r="CKP12" s="2"/>
      <c r="CKQ12" s="2"/>
      <c r="CKR12" s="2"/>
      <c r="CKS12" s="2"/>
      <c r="CKT12" s="2"/>
      <c r="CKU12" s="2"/>
      <c r="CKV12" s="2"/>
      <c r="CKW12" s="2"/>
      <c r="CKX12" s="2"/>
      <c r="CKY12" s="2"/>
      <c r="CKZ12" s="2"/>
      <c r="CLA12" s="2"/>
      <c r="CLB12" s="2"/>
      <c r="CLC12" s="2"/>
      <c r="CLD12" s="2"/>
      <c r="CLE12" s="2"/>
      <c r="CLF12" s="2"/>
      <c r="CLG12" s="2"/>
      <c r="CLH12" s="2"/>
      <c r="CLI12" s="2"/>
      <c r="CLJ12" s="2"/>
      <c r="CLK12" s="2"/>
      <c r="CLL12" s="2"/>
      <c r="CLM12" s="2"/>
      <c r="CLN12" s="2"/>
      <c r="CLO12" s="2"/>
      <c r="CLP12" s="2"/>
      <c r="CLQ12" s="2"/>
      <c r="CLR12" s="2"/>
      <c r="CLS12" s="2"/>
      <c r="CLT12" s="2"/>
      <c r="CLU12" s="2"/>
      <c r="CLV12" s="2"/>
      <c r="CLW12" s="2"/>
      <c r="CLX12" s="2"/>
      <c r="CLY12" s="2"/>
      <c r="CLZ12" s="2"/>
      <c r="CMA12" s="2"/>
      <c r="CMB12" s="2"/>
      <c r="CMC12" s="2"/>
      <c r="CMD12" s="2"/>
      <c r="CME12" s="2"/>
      <c r="CMF12" s="2"/>
      <c r="CMG12" s="2"/>
      <c r="CMH12" s="2"/>
      <c r="CMI12" s="2"/>
      <c r="CMJ12" s="2"/>
      <c r="CMK12" s="2"/>
      <c r="CML12" s="2"/>
      <c r="CMM12" s="2"/>
      <c r="CMN12" s="2"/>
      <c r="CMO12" s="2"/>
      <c r="CMP12" s="2"/>
      <c r="CMQ12" s="2"/>
      <c r="CMR12" s="2"/>
      <c r="CMS12" s="2"/>
      <c r="CMT12" s="2"/>
      <c r="CMU12" s="2"/>
      <c r="CMV12" s="2"/>
      <c r="CMW12" s="2"/>
      <c r="CMX12" s="2"/>
      <c r="CMY12" s="2"/>
      <c r="CMZ12" s="2"/>
      <c r="CNA12" s="2"/>
      <c r="CNB12" s="2"/>
      <c r="CNC12" s="2"/>
      <c r="CND12" s="2"/>
      <c r="CNE12" s="2"/>
      <c r="CNF12" s="2"/>
      <c r="CNG12" s="2"/>
      <c r="CNH12" s="2"/>
      <c r="CNI12" s="2"/>
      <c r="CNJ12" s="2"/>
      <c r="CNK12" s="2"/>
      <c r="CNL12" s="2"/>
      <c r="CNM12" s="2"/>
      <c r="CNN12" s="2"/>
      <c r="CNO12" s="2"/>
      <c r="CNP12" s="2"/>
      <c r="CNQ12" s="2"/>
      <c r="CNR12" s="2"/>
      <c r="CNS12" s="2"/>
      <c r="CNT12" s="2"/>
      <c r="CNU12" s="2"/>
      <c r="CNV12" s="2"/>
      <c r="CNW12" s="2"/>
      <c r="CNX12" s="2"/>
      <c r="CNY12" s="2"/>
      <c r="CNZ12" s="2"/>
      <c r="COA12" s="2"/>
      <c r="COB12" s="2"/>
      <c r="COC12" s="2"/>
      <c r="COD12" s="2"/>
      <c r="COE12" s="2"/>
      <c r="COF12" s="2"/>
      <c r="COG12" s="2"/>
      <c r="COH12" s="2"/>
      <c r="COI12" s="2"/>
      <c r="COJ12" s="2"/>
      <c r="COK12" s="2"/>
      <c r="COL12" s="2"/>
      <c r="COM12" s="2"/>
      <c r="CON12" s="2"/>
      <c r="COO12" s="2"/>
      <c r="COP12" s="2"/>
      <c r="COQ12" s="2"/>
      <c r="COR12" s="2"/>
      <c r="COS12" s="2"/>
      <c r="COT12" s="2"/>
      <c r="COU12" s="2"/>
      <c r="COV12" s="2"/>
      <c r="COW12" s="2"/>
      <c r="COX12" s="2"/>
      <c r="COY12" s="2"/>
      <c r="COZ12" s="2"/>
      <c r="CPA12" s="2"/>
      <c r="CPB12" s="2"/>
      <c r="CPC12" s="2"/>
      <c r="CPD12" s="2"/>
      <c r="CPE12" s="2"/>
      <c r="CPF12" s="2"/>
      <c r="CPG12" s="2"/>
      <c r="CPH12" s="2"/>
      <c r="CPI12" s="2"/>
      <c r="CPJ12" s="2"/>
      <c r="CPK12" s="2"/>
      <c r="CPL12" s="2"/>
      <c r="CPM12" s="2"/>
      <c r="CPN12" s="2"/>
      <c r="CPO12" s="2"/>
      <c r="CPP12" s="2"/>
      <c r="CPQ12" s="2"/>
      <c r="CPR12" s="2"/>
      <c r="CPS12" s="2"/>
      <c r="CPT12" s="2"/>
      <c r="CPU12" s="2"/>
      <c r="CPV12" s="2"/>
      <c r="CPW12" s="2"/>
      <c r="CPX12" s="2"/>
      <c r="CPY12" s="2"/>
      <c r="CPZ12" s="2"/>
      <c r="CQA12" s="2"/>
      <c r="CQB12" s="2"/>
      <c r="CQC12" s="2"/>
      <c r="CQD12" s="2"/>
      <c r="CQE12" s="2"/>
      <c r="CQF12" s="2"/>
      <c r="CQG12" s="2"/>
      <c r="CQH12" s="2"/>
      <c r="CQI12" s="2"/>
      <c r="CQJ12" s="2"/>
      <c r="CQK12" s="2"/>
      <c r="CQL12" s="2"/>
      <c r="CQM12" s="2"/>
      <c r="CQN12" s="2"/>
      <c r="CQO12" s="2"/>
      <c r="CQP12" s="2"/>
      <c r="CQQ12" s="2"/>
      <c r="CQR12" s="2"/>
      <c r="CQS12" s="2"/>
      <c r="CQT12" s="2"/>
      <c r="CQU12" s="2"/>
      <c r="CQV12" s="2"/>
      <c r="CQW12" s="2"/>
      <c r="CQX12" s="2"/>
      <c r="CQY12" s="2"/>
      <c r="CQZ12" s="2"/>
      <c r="CRA12" s="2"/>
      <c r="CRB12" s="2"/>
      <c r="CRC12" s="2"/>
      <c r="CRD12" s="2"/>
      <c r="CRE12" s="2"/>
      <c r="CRF12" s="2"/>
      <c r="CRG12" s="2"/>
      <c r="CRH12" s="2"/>
      <c r="CRI12" s="2"/>
      <c r="CRJ12" s="2"/>
      <c r="CRK12" s="2"/>
      <c r="CRL12" s="2"/>
      <c r="CRM12" s="2"/>
      <c r="CRN12" s="2"/>
      <c r="CRO12" s="2"/>
      <c r="CRP12" s="2"/>
      <c r="CRQ12" s="2"/>
      <c r="CRR12" s="2"/>
      <c r="CRS12" s="2"/>
      <c r="CRT12" s="2"/>
      <c r="CRU12" s="2"/>
      <c r="CRV12" s="2"/>
      <c r="CRW12" s="2"/>
      <c r="CRX12" s="2"/>
      <c r="CRY12" s="2"/>
      <c r="CRZ12" s="2"/>
      <c r="CSA12" s="2"/>
      <c r="CSB12" s="2"/>
      <c r="CSC12" s="2"/>
      <c r="CSD12" s="2"/>
      <c r="CSE12" s="2"/>
      <c r="CSF12" s="2"/>
      <c r="CSG12" s="2"/>
      <c r="CSH12" s="2"/>
      <c r="CSI12" s="2"/>
      <c r="CSJ12" s="2"/>
      <c r="CSK12" s="2"/>
      <c r="CSL12" s="2"/>
      <c r="CSM12" s="2"/>
      <c r="CSN12" s="2"/>
      <c r="CSO12" s="2"/>
      <c r="CSP12" s="2"/>
      <c r="CSQ12" s="2"/>
      <c r="CSR12" s="2"/>
      <c r="CSS12" s="2"/>
      <c r="CST12" s="2"/>
      <c r="CSU12" s="2"/>
      <c r="CSV12" s="2"/>
      <c r="CSW12" s="2"/>
      <c r="CSX12" s="2"/>
      <c r="CSY12" s="2"/>
      <c r="CSZ12" s="2"/>
      <c r="CTA12" s="2"/>
      <c r="CTB12" s="2"/>
      <c r="CTC12" s="2"/>
      <c r="CTD12" s="2"/>
      <c r="CTE12" s="2"/>
      <c r="CTF12" s="2"/>
      <c r="CTG12" s="2"/>
      <c r="CTH12" s="2"/>
      <c r="CTI12" s="2"/>
      <c r="CTJ12" s="2"/>
      <c r="CTK12" s="2"/>
      <c r="CTL12" s="2"/>
      <c r="CTM12" s="2"/>
      <c r="CTN12" s="2"/>
      <c r="CTO12" s="2"/>
      <c r="CTP12" s="2"/>
      <c r="CTQ12" s="2"/>
      <c r="CTR12" s="2"/>
      <c r="CTS12" s="2"/>
      <c r="CTT12" s="2"/>
      <c r="CTU12" s="2"/>
      <c r="CTV12" s="2"/>
      <c r="CTW12" s="2"/>
      <c r="CTX12" s="2"/>
      <c r="CTY12" s="2"/>
      <c r="CTZ12" s="2"/>
      <c r="CUA12" s="2"/>
      <c r="CUB12" s="2"/>
      <c r="CUC12" s="2"/>
      <c r="CUD12" s="2"/>
      <c r="CUE12" s="2"/>
      <c r="CUF12" s="2"/>
      <c r="CUG12" s="2"/>
      <c r="CUH12" s="2"/>
      <c r="CUI12" s="2"/>
      <c r="CUJ12" s="2"/>
      <c r="CUK12" s="2"/>
      <c r="CUL12" s="2"/>
      <c r="CUM12" s="2"/>
      <c r="CUN12" s="2"/>
      <c r="CUO12" s="2"/>
      <c r="CUP12" s="2"/>
      <c r="CUQ12" s="2"/>
      <c r="CUR12" s="2"/>
      <c r="CUS12" s="2"/>
      <c r="CUT12" s="2"/>
      <c r="CUU12" s="2"/>
      <c r="CUV12" s="2"/>
      <c r="CUW12" s="2"/>
      <c r="CUX12" s="2"/>
      <c r="CUY12" s="2"/>
      <c r="CUZ12" s="2"/>
      <c r="CVA12" s="2"/>
      <c r="CVB12" s="2"/>
      <c r="CVC12" s="2"/>
      <c r="CVD12" s="2"/>
      <c r="CVE12" s="2"/>
      <c r="CVF12" s="2"/>
      <c r="CVG12" s="2"/>
      <c r="CVH12" s="2"/>
      <c r="CVI12" s="2"/>
      <c r="CVJ12" s="2"/>
      <c r="CVK12" s="2"/>
      <c r="CVL12" s="2"/>
      <c r="CVM12" s="2"/>
      <c r="CVN12" s="2"/>
      <c r="CVO12" s="2"/>
      <c r="CVP12" s="2"/>
      <c r="CVQ12" s="2"/>
      <c r="CVR12" s="2"/>
      <c r="CVS12" s="2"/>
      <c r="CVT12" s="2"/>
      <c r="CVU12" s="2"/>
      <c r="CVV12" s="2"/>
      <c r="CVW12" s="2"/>
      <c r="CVX12" s="2"/>
      <c r="CVY12" s="2"/>
      <c r="CVZ12" s="2"/>
      <c r="CWA12" s="2"/>
      <c r="CWB12" s="2"/>
      <c r="CWC12" s="2"/>
      <c r="CWD12" s="2"/>
      <c r="CWE12" s="2"/>
      <c r="CWF12" s="2"/>
      <c r="CWG12" s="2"/>
      <c r="CWH12" s="2"/>
      <c r="CWI12" s="2"/>
      <c r="CWJ12" s="2"/>
      <c r="CWK12" s="2"/>
      <c r="CWL12" s="2"/>
      <c r="CWM12" s="2"/>
      <c r="CWN12" s="2"/>
      <c r="CWO12" s="2"/>
      <c r="CWP12" s="2"/>
      <c r="CWQ12" s="2"/>
      <c r="CWR12" s="2"/>
      <c r="CWS12" s="2"/>
      <c r="CWT12" s="2"/>
      <c r="CWU12" s="2"/>
      <c r="CWV12" s="2"/>
      <c r="CWW12" s="2"/>
      <c r="CWX12" s="2"/>
      <c r="CWY12" s="2"/>
      <c r="CWZ12" s="2"/>
      <c r="CXA12" s="2"/>
      <c r="CXB12" s="2"/>
      <c r="CXC12" s="2"/>
      <c r="CXD12" s="2"/>
      <c r="CXE12" s="2"/>
      <c r="CXF12" s="2"/>
      <c r="CXG12" s="2"/>
      <c r="CXH12" s="2"/>
      <c r="CXI12" s="2"/>
      <c r="CXJ12" s="2"/>
      <c r="CXK12" s="2"/>
      <c r="CXL12" s="2"/>
      <c r="CXM12" s="2"/>
      <c r="CXN12" s="2"/>
      <c r="CXO12" s="2"/>
      <c r="CXP12" s="2"/>
      <c r="CXQ12" s="2"/>
      <c r="CXR12" s="2"/>
      <c r="CXS12" s="2"/>
      <c r="CXT12" s="2"/>
      <c r="CXU12" s="2"/>
      <c r="CXV12" s="2"/>
      <c r="CXW12" s="2"/>
      <c r="CXX12" s="2"/>
      <c r="CXY12" s="2"/>
      <c r="CXZ12" s="2"/>
      <c r="CYA12" s="2"/>
      <c r="CYB12" s="2"/>
      <c r="CYC12" s="2"/>
      <c r="CYD12" s="2"/>
      <c r="CYE12" s="2"/>
      <c r="CYF12" s="2"/>
      <c r="CYG12" s="2"/>
      <c r="CYH12" s="2"/>
      <c r="CYI12" s="2"/>
      <c r="CYJ12" s="2"/>
      <c r="CYK12" s="2"/>
      <c r="CYL12" s="2"/>
      <c r="CYM12" s="2"/>
      <c r="CYN12" s="2"/>
      <c r="CYO12" s="2"/>
      <c r="CYP12" s="2"/>
      <c r="CYQ12" s="2"/>
      <c r="CYR12" s="2"/>
      <c r="CYS12" s="2"/>
      <c r="CYT12" s="2"/>
      <c r="CYU12" s="2"/>
      <c r="CYV12" s="2"/>
      <c r="CYW12" s="2"/>
      <c r="CYX12" s="2"/>
      <c r="CYY12" s="2"/>
      <c r="CYZ12" s="2"/>
      <c r="CZA12" s="2"/>
      <c r="CZB12" s="2"/>
      <c r="CZC12" s="2"/>
      <c r="CZD12" s="2"/>
      <c r="CZE12" s="2"/>
      <c r="CZF12" s="2"/>
      <c r="CZG12" s="2"/>
      <c r="CZH12" s="2"/>
      <c r="CZI12" s="2"/>
      <c r="CZJ12" s="2"/>
      <c r="CZK12" s="2"/>
      <c r="CZL12" s="2"/>
      <c r="CZM12" s="2"/>
      <c r="CZN12" s="2"/>
      <c r="CZO12" s="2"/>
      <c r="CZP12" s="2"/>
      <c r="CZQ12" s="2"/>
      <c r="CZR12" s="2"/>
      <c r="CZS12" s="2"/>
      <c r="CZT12" s="2"/>
      <c r="CZU12" s="2"/>
      <c r="CZV12" s="2"/>
      <c r="CZW12" s="2"/>
      <c r="CZX12" s="2"/>
      <c r="CZY12" s="2"/>
      <c r="CZZ12" s="2"/>
      <c r="DAA12" s="2"/>
      <c r="DAB12" s="2"/>
      <c r="DAC12" s="2"/>
      <c r="DAD12" s="2"/>
      <c r="DAE12" s="2"/>
      <c r="DAF12" s="2"/>
      <c r="DAG12" s="2"/>
      <c r="DAH12" s="2"/>
      <c r="DAI12" s="2"/>
      <c r="DAJ12" s="2"/>
      <c r="DAK12" s="2"/>
      <c r="DAL12" s="2"/>
      <c r="DAM12" s="2"/>
      <c r="DAN12" s="2"/>
      <c r="DAO12" s="2"/>
      <c r="DAP12" s="2"/>
      <c r="DAQ12" s="2"/>
      <c r="DAR12" s="2"/>
      <c r="DAS12" s="2"/>
      <c r="DAT12" s="2"/>
      <c r="DAU12" s="2"/>
      <c r="DAV12" s="2"/>
      <c r="DAW12" s="2"/>
      <c r="DAX12" s="2"/>
      <c r="DAY12" s="2"/>
      <c r="DAZ12" s="2"/>
      <c r="DBA12" s="2"/>
      <c r="DBB12" s="2"/>
      <c r="DBC12" s="2"/>
      <c r="DBD12" s="2"/>
      <c r="DBE12" s="2"/>
      <c r="DBF12" s="2"/>
      <c r="DBG12" s="2"/>
      <c r="DBH12" s="2"/>
      <c r="DBI12" s="2"/>
      <c r="DBJ12" s="2"/>
      <c r="DBK12" s="2"/>
      <c r="DBL12" s="2"/>
      <c r="DBM12" s="2"/>
      <c r="DBN12" s="2"/>
      <c r="DBO12" s="2"/>
      <c r="DBP12" s="2"/>
      <c r="DBQ12" s="2"/>
      <c r="DBR12" s="2"/>
      <c r="DBS12" s="2"/>
      <c r="DBT12" s="2"/>
      <c r="DBU12" s="2"/>
      <c r="DBV12" s="2"/>
      <c r="DBW12" s="2"/>
      <c r="DBX12" s="2"/>
      <c r="DBY12" s="2"/>
      <c r="DBZ12" s="2"/>
      <c r="DCA12" s="2"/>
      <c r="DCB12" s="2"/>
      <c r="DCC12" s="2"/>
      <c r="DCD12" s="2"/>
      <c r="DCE12" s="2"/>
      <c r="DCF12" s="2"/>
      <c r="DCG12" s="2"/>
      <c r="DCH12" s="2"/>
      <c r="DCI12" s="2"/>
      <c r="DCJ12" s="2"/>
      <c r="DCK12" s="2"/>
      <c r="DCL12" s="2"/>
      <c r="DCM12" s="2"/>
      <c r="DCN12" s="2"/>
      <c r="DCO12" s="2"/>
      <c r="DCP12" s="2"/>
      <c r="DCQ12" s="2"/>
      <c r="DCR12" s="2"/>
      <c r="DCS12" s="2"/>
      <c r="DCT12" s="2"/>
      <c r="DCU12" s="2"/>
      <c r="DCV12" s="2"/>
      <c r="DCW12" s="2"/>
      <c r="DCX12" s="2"/>
      <c r="DCY12" s="2"/>
      <c r="DCZ12" s="2"/>
      <c r="DDA12" s="2"/>
      <c r="DDB12" s="2"/>
      <c r="DDC12" s="2"/>
      <c r="DDD12" s="2"/>
      <c r="DDE12" s="2"/>
      <c r="DDF12" s="2"/>
      <c r="DDG12" s="2"/>
      <c r="DDH12" s="2"/>
      <c r="DDI12" s="2"/>
      <c r="DDJ12" s="2"/>
      <c r="DDK12" s="2"/>
      <c r="DDL12" s="2"/>
      <c r="DDM12" s="2"/>
      <c r="DDN12" s="2"/>
      <c r="DDO12" s="2"/>
      <c r="DDP12" s="2"/>
      <c r="DDQ12" s="2"/>
      <c r="DDR12" s="2"/>
      <c r="DDS12" s="2"/>
      <c r="DDT12" s="2"/>
      <c r="DDU12" s="2"/>
      <c r="DDV12" s="2"/>
      <c r="DDW12" s="2"/>
      <c r="DDX12" s="2"/>
      <c r="DDY12" s="2"/>
      <c r="DDZ12" s="2"/>
      <c r="DEA12" s="2"/>
      <c r="DEB12" s="2"/>
      <c r="DEC12" s="2"/>
      <c r="DED12" s="2"/>
      <c r="DEE12" s="2"/>
      <c r="DEF12" s="2"/>
      <c r="DEG12" s="2"/>
      <c r="DEH12" s="2"/>
      <c r="DEI12" s="2"/>
      <c r="DEJ12" s="2"/>
      <c r="DEK12" s="2"/>
      <c r="DEL12" s="2"/>
      <c r="DEM12" s="2"/>
      <c r="DEN12" s="2"/>
      <c r="DEO12" s="2"/>
      <c r="DEP12" s="2"/>
      <c r="DEQ12" s="2"/>
      <c r="DER12" s="2"/>
      <c r="DES12" s="2"/>
      <c r="DET12" s="2"/>
      <c r="DEU12" s="2"/>
      <c r="DEV12" s="2"/>
      <c r="DEW12" s="2"/>
      <c r="DEX12" s="2"/>
      <c r="DEY12" s="2"/>
      <c r="DEZ12" s="2"/>
      <c r="DFA12" s="2"/>
      <c r="DFB12" s="2"/>
      <c r="DFC12" s="2"/>
      <c r="DFD12" s="2"/>
      <c r="DFE12" s="2"/>
      <c r="DFF12" s="2"/>
      <c r="DFG12" s="2"/>
      <c r="DFH12" s="2"/>
      <c r="DFI12" s="2"/>
      <c r="DFJ12" s="2"/>
      <c r="DFK12" s="2"/>
      <c r="DFL12" s="2"/>
      <c r="DFM12" s="2"/>
      <c r="DFN12" s="2"/>
      <c r="DFO12" s="2"/>
      <c r="DFP12" s="2"/>
      <c r="DFQ12" s="2"/>
      <c r="DFR12" s="2"/>
      <c r="DFS12" s="2"/>
      <c r="DFT12" s="2"/>
      <c r="DFU12" s="2"/>
      <c r="DFV12" s="2"/>
      <c r="DFW12" s="2"/>
      <c r="DFX12" s="2"/>
      <c r="DFY12" s="2"/>
      <c r="DFZ12" s="2"/>
      <c r="DGA12" s="2"/>
      <c r="DGB12" s="2"/>
      <c r="DGC12" s="2"/>
      <c r="DGD12" s="2"/>
      <c r="DGE12" s="2"/>
      <c r="DGF12" s="2"/>
      <c r="DGG12" s="2"/>
      <c r="DGH12" s="2"/>
      <c r="DGI12" s="2"/>
      <c r="DGJ12" s="2"/>
      <c r="DGK12" s="2"/>
      <c r="DGL12" s="2"/>
      <c r="DGM12" s="2"/>
      <c r="DGN12" s="2"/>
      <c r="DGO12" s="2"/>
      <c r="DGP12" s="2"/>
      <c r="DGQ12" s="2"/>
      <c r="DGR12" s="2"/>
      <c r="DGS12" s="2"/>
      <c r="DGT12" s="2"/>
      <c r="DGU12" s="2"/>
      <c r="DGV12" s="2"/>
      <c r="DGW12" s="2"/>
      <c r="DGX12" s="2"/>
      <c r="DGY12" s="2"/>
      <c r="DGZ12" s="2"/>
      <c r="DHA12" s="2"/>
      <c r="DHB12" s="2"/>
      <c r="DHC12" s="2"/>
      <c r="DHD12" s="2"/>
      <c r="DHE12" s="2"/>
      <c r="DHF12" s="2"/>
      <c r="DHG12" s="2"/>
      <c r="DHH12" s="2"/>
      <c r="DHI12" s="2"/>
      <c r="DHJ12" s="2"/>
      <c r="DHK12" s="2"/>
      <c r="DHL12" s="2"/>
      <c r="DHM12" s="2"/>
      <c r="DHN12" s="2"/>
      <c r="DHO12" s="2"/>
      <c r="DHP12" s="2"/>
      <c r="DHQ12" s="2"/>
      <c r="DHR12" s="2"/>
      <c r="DHS12" s="2"/>
      <c r="DHT12" s="2"/>
      <c r="DHU12" s="2"/>
      <c r="DHV12" s="2"/>
      <c r="DHW12" s="2"/>
      <c r="DHX12" s="2"/>
      <c r="DHY12" s="2"/>
      <c r="DHZ12" s="2"/>
      <c r="DIA12" s="2"/>
      <c r="DIB12" s="2"/>
      <c r="DIC12" s="2"/>
      <c r="DID12" s="2"/>
      <c r="DIE12" s="2"/>
      <c r="DIF12" s="2"/>
      <c r="DIG12" s="2"/>
      <c r="DIH12" s="2"/>
      <c r="DII12" s="2"/>
      <c r="DIJ12" s="2"/>
      <c r="DIK12" s="2"/>
      <c r="DIL12" s="2"/>
      <c r="DIM12" s="2"/>
      <c r="DIN12" s="2"/>
      <c r="DIO12" s="2"/>
      <c r="DIP12" s="2"/>
      <c r="DIQ12" s="2"/>
      <c r="DIR12" s="2"/>
      <c r="DIS12" s="2"/>
      <c r="DIT12" s="2"/>
      <c r="DIU12" s="2"/>
      <c r="DIV12" s="2"/>
      <c r="DIW12" s="2"/>
      <c r="DIX12" s="2"/>
      <c r="DIY12" s="2"/>
      <c r="DIZ12" s="2"/>
      <c r="DJA12" s="2"/>
      <c r="DJB12" s="2"/>
      <c r="DJC12" s="2"/>
      <c r="DJD12" s="2"/>
      <c r="DJE12" s="2"/>
      <c r="DJF12" s="2"/>
      <c r="DJG12" s="2"/>
      <c r="DJH12" s="2"/>
      <c r="DJI12" s="2"/>
      <c r="DJJ12" s="2"/>
      <c r="DJK12" s="2"/>
      <c r="DJL12" s="2"/>
      <c r="DJM12" s="2"/>
      <c r="DJN12" s="2"/>
      <c r="DJO12" s="2"/>
      <c r="DJP12" s="2"/>
      <c r="DJQ12" s="2"/>
      <c r="DJR12" s="2"/>
      <c r="DJS12" s="2"/>
      <c r="DJT12" s="2"/>
      <c r="DJU12" s="2"/>
      <c r="DJV12" s="2"/>
      <c r="DJW12" s="2"/>
      <c r="DJX12" s="2"/>
      <c r="DJY12" s="2"/>
      <c r="DJZ12" s="2"/>
      <c r="DKA12" s="2"/>
      <c r="DKB12" s="2"/>
      <c r="DKC12" s="2"/>
      <c r="DKD12" s="2"/>
      <c r="DKE12" s="2"/>
      <c r="DKF12" s="2"/>
      <c r="DKG12" s="2"/>
      <c r="DKH12" s="2"/>
      <c r="DKI12" s="2"/>
      <c r="DKJ12" s="2"/>
      <c r="DKK12" s="2"/>
      <c r="DKL12" s="2"/>
      <c r="DKM12" s="2"/>
      <c r="DKN12" s="2"/>
      <c r="DKO12" s="2"/>
      <c r="DKP12" s="2"/>
      <c r="DKQ12" s="2"/>
      <c r="DKR12" s="2"/>
      <c r="DKS12" s="2"/>
      <c r="DKT12" s="2"/>
      <c r="DKU12" s="2"/>
      <c r="DKV12" s="2"/>
      <c r="DKW12" s="2"/>
      <c r="DKX12" s="2"/>
      <c r="DKY12" s="2"/>
      <c r="DKZ12" s="2"/>
      <c r="DLA12" s="2"/>
      <c r="DLB12" s="2"/>
      <c r="DLC12" s="2"/>
      <c r="DLD12" s="2"/>
      <c r="DLE12" s="2"/>
      <c r="DLF12" s="2"/>
      <c r="DLG12" s="2"/>
      <c r="DLH12" s="2"/>
      <c r="DLI12" s="2"/>
      <c r="DLJ12" s="2"/>
      <c r="DLK12" s="2"/>
      <c r="DLL12" s="2"/>
      <c r="DLM12" s="2"/>
      <c r="DLN12" s="2"/>
      <c r="DLO12" s="2"/>
      <c r="DLP12" s="2"/>
      <c r="DLQ12" s="2"/>
      <c r="DLR12" s="2"/>
      <c r="DLS12" s="2"/>
      <c r="DLT12" s="2"/>
      <c r="DLU12" s="2"/>
      <c r="DLV12" s="2"/>
      <c r="DLW12" s="2"/>
      <c r="DLX12" s="2"/>
      <c r="DLY12" s="2"/>
      <c r="DLZ12" s="2"/>
      <c r="DMA12" s="2"/>
      <c r="DMB12" s="2"/>
      <c r="DMC12" s="2"/>
      <c r="DMD12" s="2"/>
      <c r="DME12" s="2"/>
      <c r="DMF12" s="2"/>
      <c r="DMG12" s="2"/>
      <c r="DMH12" s="2"/>
      <c r="DMI12" s="2"/>
      <c r="DMJ12" s="2"/>
      <c r="DMK12" s="2"/>
      <c r="DML12" s="2"/>
      <c r="DMM12" s="2"/>
      <c r="DMN12" s="2"/>
      <c r="DMO12" s="2"/>
      <c r="DMP12" s="2"/>
      <c r="DMQ12" s="2"/>
      <c r="DMR12" s="2"/>
      <c r="DMS12" s="2"/>
      <c r="DMT12" s="2"/>
      <c r="DMU12" s="2"/>
      <c r="DMV12" s="2"/>
      <c r="DMW12" s="2"/>
      <c r="DMX12" s="2"/>
      <c r="DMY12" s="2"/>
      <c r="DMZ12" s="2"/>
      <c r="DNA12" s="2"/>
      <c r="DNB12" s="2"/>
      <c r="DNC12" s="2"/>
      <c r="DND12" s="2"/>
      <c r="DNE12" s="2"/>
      <c r="DNF12" s="2"/>
      <c r="DNG12" s="2"/>
      <c r="DNH12" s="2"/>
      <c r="DNI12" s="2"/>
      <c r="DNJ12" s="2"/>
      <c r="DNK12" s="2"/>
      <c r="DNL12" s="2"/>
      <c r="DNM12" s="2"/>
      <c r="DNN12" s="2"/>
      <c r="DNO12" s="2"/>
      <c r="DNP12" s="2"/>
      <c r="DNQ12" s="2"/>
      <c r="DNR12" s="2"/>
      <c r="DNS12" s="2"/>
      <c r="DNT12" s="2"/>
      <c r="DNU12" s="2"/>
      <c r="DNV12" s="2"/>
      <c r="DNW12" s="2"/>
      <c r="DNX12" s="2"/>
      <c r="DNY12" s="2"/>
      <c r="DNZ12" s="2"/>
      <c r="DOA12" s="2"/>
      <c r="DOB12" s="2"/>
      <c r="DOC12" s="2"/>
      <c r="DOD12" s="2"/>
      <c r="DOE12" s="2"/>
      <c r="DOF12" s="2"/>
      <c r="DOG12" s="2"/>
      <c r="DOH12" s="2"/>
      <c r="DOI12" s="2"/>
      <c r="DOJ12" s="2"/>
      <c r="DOK12" s="2"/>
      <c r="DOL12" s="2"/>
      <c r="DOM12" s="2"/>
      <c r="DON12" s="2"/>
      <c r="DOO12" s="2"/>
      <c r="DOP12" s="2"/>
      <c r="DOQ12" s="2"/>
      <c r="DOR12" s="2"/>
      <c r="DOS12" s="2"/>
      <c r="DOT12" s="2"/>
      <c r="DOU12" s="2"/>
      <c r="DOV12" s="2"/>
      <c r="DOW12" s="2"/>
      <c r="DOX12" s="2"/>
      <c r="DOY12" s="2"/>
      <c r="DOZ12" s="2"/>
      <c r="DPA12" s="2"/>
      <c r="DPB12" s="2"/>
      <c r="DPC12" s="2"/>
      <c r="DPD12" s="2"/>
      <c r="DPE12" s="2"/>
      <c r="DPF12" s="2"/>
      <c r="DPG12" s="2"/>
      <c r="DPH12" s="2"/>
      <c r="DPI12" s="2"/>
      <c r="DPJ12" s="2"/>
      <c r="DPK12" s="2"/>
      <c r="DPL12" s="2"/>
      <c r="DPM12" s="2"/>
      <c r="DPN12" s="2"/>
      <c r="DPO12" s="2"/>
      <c r="DPP12" s="2"/>
      <c r="DPQ12" s="2"/>
      <c r="DPR12" s="2"/>
      <c r="DPS12" s="2"/>
      <c r="DPT12" s="2"/>
      <c r="DPU12" s="2"/>
      <c r="DPV12" s="2"/>
      <c r="DPW12" s="2"/>
      <c r="DPX12" s="2"/>
      <c r="DPY12" s="2"/>
      <c r="DPZ12" s="2"/>
      <c r="DQA12" s="2"/>
      <c r="DQB12" s="2"/>
      <c r="DQC12" s="2"/>
      <c r="DQD12" s="2"/>
      <c r="DQE12" s="2"/>
      <c r="DQF12" s="2"/>
      <c r="DQG12" s="2"/>
      <c r="DQH12" s="2"/>
      <c r="DQI12" s="2"/>
      <c r="DQJ12" s="2"/>
      <c r="DQK12" s="2"/>
      <c r="DQL12" s="2"/>
      <c r="DQM12" s="2"/>
      <c r="DQN12" s="2"/>
      <c r="DQO12" s="2"/>
      <c r="DQP12" s="2"/>
      <c r="DQQ12" s="2"/>
      <c r="DQR12" s="2"/>
      <c r="DQS12" s="2"/>
      <c r="DQT12" s="2"/>
      <c r="DQU12" s="2"/>
      <c r="DQV12" s="2"/>
      <c r="DQW12" s="2"/>
      <c r="DQX12" s="2"/>
      <c r="DQY12" s="2"/>
      <c r="DQZ12" s="2"/>
      <c r="DRA12" s="2"/>
      <c r="DRB12" s="2"/>
      <c r="DRC12" s="2"/>
      <c r="DRD12" s="2"/>
      <c r="DRE12" s="2"/>
      <c r="DRF12" s="2"/>
      <c r="DRG12" s="2"/>
      <c r="DRH12" s="2"/>
      <c r="DRI12" s="2"/>
      <c r="DRJ12" s="2"/>
      <c r="DRK12" s="2"/>
      <c r="DRL12" s="2"/>
      <c r="DRM12" s="2"/>
      <c r="DRN12" s="2"/>
      <c r="DRO12" s="2"/>
      <c r="DRP12" s="2"/>
      <c r="DRQ12" s="2"/>
      <c r="DRR12" s="2"/>
      <c r="DRS12" s="2"/>
      <c r="DRT12" s="2"/>
      <c r="DRU12" s="2"/>
      <c r="DRV12" s="2"/>
      <c r="DRW12" s="2"/>
      <c r="DRX12" s="2"/>
      <c r="DRY12" s="2"/>
      <c r="DRZ12" s="2"/>
      <c r="DSA12" s="2"/>
      <c r="DSB12" s="2"/>
      <c r="DSC12" s="2"/>
      <c r="DSD12" s="2"/>
      <c r="DSE12" s="2"/>
      <c r="DSF12" s="2"/>
      <c r="DSG12" s="2"/>
      <c r="DSH12" s="2"/>
      <c r="DSI12" s="2"/>
      <c r="DSJ12" s="2"/>
      <c r="DSK12" s="2"/>
      <c r="DSL12" s="2"/>
      <c r="DSM12" s="2"/>
      <c r="DSN12" s="2"/>
      <c r="DSO12" s="2"/>
      <c r="DSP12" s="2"/>
      <c r="DSQ12" s="2"/>
      <c r="DSR12" s="2"/>
      <c r="DSS12" s="2"/>
      <c r="DST12" s="2"/>
      <c r="DSU12" s="2"/>
      <c r="DSV12" s="2"/>
      <c r="DSW12" s="2"/>
      <c r="DSX12" s="2"/>
      <c r="DSY12" s="2"/>
      <c r="DSZ12" s="2"/>
      <c r="DTA12" s="2"/>
      <c r="DTB12" s="2"/>
      <c r="DTC12" s="2"/>
      <c r="DTD12" s="2"/>
      <c r="DTE12" s="2"/>
      <c r="DTF12" s="2"/>
      <c r="DTG12" s="2"/>
      <c r="DTH12" s="2"/>
      <c r="DTI12" s="2"/>
      <c r="DTJ12" s="2"/>
      <c r="DTK12" s="2"/>
      <c r="DTL12" s="2"/>
      <c r="DTM12" s="2"/>
      <c r="DTN12" s="2"/>
      <c r="DTO12" s="2"/>
      <c r="DTP12" s="2"/>
      <c r="DTQ12" s="2"/>
      <c r="DTR12" s="2"/>
      <c r="DTS12" s="2"/>
      <c r="DTT12" s="2"/>
      <c r="DTU12" s="2"/>
      <c r="DTV12" s="2"/>
      <c r="DTW12" s="2"/>
      <c r="DTX12" s="2"/>
      <c r="DTY12" s="2"/>
      <c r="DTZ12" s="2"/>
      <c r="DUA12" s="2"/>
      <c r="DUB12" s="2"/>
      <c r="DUC12" s="2"/>
      <c r="DUD12" s="2"/>
      <c r="DUE12" s="2"/>
      <c r="DUF12" s="2"/>
      <c r="DUG12" s="2"/>
      <c r="DUH12" s="2"/>
      <c r="DUI12" s="2"/>
      <c r="DUJ12" s="2"/>
      <c r="DUK12" s="2"/>
      <c r="DUL12" s="2"/>
      <c r="DUM12" s="2"/>
      <c r="DUN12" s="2"/>
      <c r="DUO12" s="2"/>
      <c r="DUP12" s="2"/>
      <c r="DUQ12" s="2"/>
      <c r="DUR12" s="2"/>
      <c r="DUS12" s="2"/>
      <c r="DUT12" s="2"/>
      <c r="DUU12" s="2"/>
      <c r="DUV12" s="2"/>
      <c r="DUW12" s="2"/>
      <c r="DUX12" s="2"/>
      <c r="DUY12" s="2"/>
      <c r="DUZ12" s="2"/>
      <c r="DVA12" s="2"/>
      <c r="DVB12" s="2"/>
      <c r="DVC12" s="2"/>
      <c r="DVD12" s="2"/>
      <c r="DVE12" s="2"/>
      <c r="DVF12" s="2"/>
      <c r="DVG12" s="2"/>
      <c r="DVH12" s="2"/>
      <c r="DVI12" s="2"/>
      <c r="DVJ12" s="2"/>
      <c r="DVK12" s="2"/>
      <c r="DVL12" s="2"/>
      <c r="DVM12" s="2"/>
      <c r="DVN12" s="2"/>
      <c r="DVO12" s="2"/>
      <c r="DVP12" s="2"/>
      <c r="DVQ12" s="2"/>
      <c r="DVR12" s="2"/>
      <c r="DVS12" s="2"/>
      <c r="DVT12" s="2"/>
      <c r="DVU12" s="2"/>
      <c r="DVV12" s="2"/>
      <c r="DVW12" s="2"/>
      <c r="DVX12" s="2"/>
      <c r="DVY12" s="2"/>
      <c r="DVZ12" s="2"/>
      <c r="DWA12" s="2"/>
      <c r="DWB12" s="2"/>
      <c r="DWC12" s="2"/>
      <c r="DWD12" s="2"/>
      <c r="DWE12" s="2"/>
      <c r="DWF12" s="2"/>
      <c r="DWG12" s="2"/>
      <c r="DWH12" s="2"/>
      <c r="DWI12" s="2"/>
      <c r="DWJ12" s="2"/>
      <c r="DWK12" s="2"/>
      <c r="DWL12" s="2"/>
      <c r="DWM12" s="2"/>
      <c r="DWN12" s="2"/>
      <c r="DWO12" s="2"/>
      <c r="DWP12" s="2"/>
      <c r="DWQ12" s="2"/>
      <c r="DWR12" s="2"/>
      <c r="DWS12" s="2"/>
      <c r="DWT12" s="2"/>
      <c r="DWU12" s="2"/>
      <c r="DWV12" s="2"/>
      <c r="DWW12" s="2"/>
      <c r="DWX12" s="2"/>
      <c r="DWY12" s="2"/>
      <c r="DWZ12" s="2"/>
      <c r="DXA12" s="2"/>
      <c r="DXB12" s="2"/>
      <c r="DXC12" s="2"/>
      <c r="DXD12" s="2"/>
      <c r="DXE12" s="2"/>
      <c r="DXF12" s="2"/>
      <c r="DXG12" s="2"/>
      <c r="DXH12" s="2"/>
      <c r="DXI12" s="2"/>
      <c r="DXJ12" s="2"/>
      <c r="DXK12" s="2"/>
      <c r="DXL12" s="2"/>
      <c r="DXM12" s="2"/>
      <c r="DXN12" s="2"/>
      <c r="DXO12" s="2"/>
      <c r="DXP12" s="2"/>
      <c r="DXQ12" s="2"/>
      <c r="DXR12" s="2"/>
      <c r="DXS12" s="2"/>
      <c r="DXT12" s="2"/>
      <c r="DXU12" s="2"/>
      <c r="DXV12" s="2"/>
      <c r="DXW12" s="2"/>
      <c r="DXX12" s="2"/>
      <c r="DXY12" s="2"/>
      <c r="DXZ12" s="2"/>
      <c r="DYA12" s="2"/>
      <c r="DYB12" s="2"/>
      <c r="DYC12" s="2"/>
      <c r="DYD12" s="2"/>
      <c r="DYE12" s="2"/>
      <c r="DYF12" s="2"/>
      <c r="DYG12" s="2"/>
      <c r="DYH12" s="2"/>
      <c r="DYI12" s="2"/>
      <c r="DYJ12" s="2"/>
      <c r="DYK12" s="2"/>
      <c r="DYL12" s="2"/>
      <c r="DYM12" s="2"/>
      <c r="DYN12" s="2"/>
      <c r="DYO12" s="2"/>
      <c r="DYP12" s="2"/>
      <c r="DYQ12" s="2"/>
      <c r="DYR12" s="2"/>
      <c r="DYS12" s="2"/>
      <c r="DYT12" s="2"/>
      <c r="DYU12" s="2"/>
      <c r="DYV12" s="2"/>
      <c r="DYW12" s="2"/>
      <c r="DYX12" s="2"/>
      <c r="DYY12" s="2"/>
      <c r="DYZ12" s="2"/>
      <c r="DZA12" s="2"/>
      <c r="DZB12" s="2"/>
      <c r="DZC12" s="2"/>
      <c r="DZD12" s="2"/>
      <c r="DZE12" s="2"/>
      <c r="DZF12" s="2"/>
      <c r="DZG12" s="2"/>
      <c r="DZH12" s="2"/>
      <c r="DZI12" s="2"/>
      <c r="DZJ12" s="2"/>
      <c r="DZK12" s="2"/>
      <c r="DZL12" s="2"/>
      <c r="DZM12" s="2"/>
      <c r="DZN12" s="2"/>
      <c r="DZO12" s="2"/>
      <c r="DZP12" s="2"/>
      <c r="DZQ12" s="2"/>
      <c r="DZR12" s="2"/>
      <c r="DZS12" s="2"/>
      <c r="DZT12" s="2"/>
      <c r="DZU12" s="2"/>
      <c r="DZV12" s="2"/>
      <c r="DZW12" s="2"/>
      <c r="DZX12" s="2"/>
      <c r="DZY12" s="2"/>
      <c r="DZZ12" s="2"/>
      <c r="EAA12" s="2"/>
      <c r="EAB12" s="2"/>
      <c r="EAC12" s="2"/>
      <c r="EAD12" s="2"/>
      <c r="EAE12" s="2"/>
      <c r="EAF12" s="2"/>
      <c r="EAG12" s="2"/>
      <c r="EAH12" s="2"/>
      <c r="EAI12" s="2"/>
      <c r="EAJ12" s="2"/>
      <c r="EAK12" s="2"/>
      <c r="EAL12" s="2"/>
      <c r="EAM12" s="2"/>
      <c r="EAN12" s="2"/>
      <c r="EAO12" s="2"/>
      <c r="EAP12" s="2"/>
      <c r="EAQ12" s="2"/>
      <c r="EAR12" s="2"/>
      <c r="EAS12" s="2"/>
      <c r="EAT12" s="2"/>
      <c r="EAU12" s="2"/>
      <c r="EAV12" s="2"/>
      <c r="EAW12" s="2"/>
      <c r="EAX12" s="2"/>
      <c r="EAY12" s="2"/>
      <c r="EAZ12" s="2"/>
      <c r="EBA12" s="2"/>
      <c r="EBB12" s="2"/>
      <c r="EBC12" s="2"/>
      <c r="EBD12" s="2"/>
      <c r="EBE12" s="2"/>
      <c r="EBF12" s="2"/>
      <c r="EBG12" s="2"/>
      <c r="EBH12" s="2"/>
      <c r="EBI12" s="2"/>
      <c r="EBJ12" s="2"/>
      <c r="EBK12" s="2"/>
      <c r="EBL12" s="2"/>
      <c r="EBM12" s="2"/>
      <c r="EBN12" s="2"/>
      <c r="EBO12" s="2"/>
      <c r="EBP12" s="2"/>
      <c r="EBQ12" s="2"/>
      <c r="EBR12" s="2"/>
      <c r="EBS12" s="2"/>
      <c r="EBT12" s="2"/>
      <c r="EBU12" s="2"/>
      <c r="EBV12" s="2"/>
      <c r="EBW12" s="2"/>
      <c r="EBX12" s="2"/>
      <c r="EBY12" s="2"/>
      <c r="EBZ12" s="2"/>
      <c r="ECA12" s="2"/>
      <c r="ECB12" s="2"/>
      <c r="ECC12" s="2"/>
      <c r="ECD12" s="2"/>
      <c r="ECE12" s="2"/>
      <c r="ECF12" s="2"/>
      <c r="ECG12" s="2"/>
      <c r="ECH12" s="2"/>
      <c r="ECI12" s="2"/>
      <c r="ECJ12" s="2"/>
      <c r="ECK12" s="2"/>
      <c r="ECL12" s="2"/>
      <c r="ECM12" s="2"/>
      <c r="ECN12" s="2"/>
      <c r="ECO12" s="2"/>
      <c r="ECP12" s="2"/>
      <c r="ECQ12" s="2"/>
      <c r="ECR12" s="2"/>
      <c r="ECS12" s="2"/>
      <c r="ECT12" s="2"/>
      <c r="ECU12" s="2"/>
      <c r="ECV12" s="2"/>
      <c r="ECW12" s="2"/>
      <c r="ECX12" s="2"/>
      <c r="ECY12" s="2"/>
      <c r="ECZ12" s="2"/>
      <c r="EDA12" s="2"/>
      <c r="EDB12" s="2"/>
      <c r="EDC12" s="2"/>
      <c r="EDD12" s="2"/>
      <c r="EDE12" s="2"/>
      <c r="EDF12" s="2"/>
      <c r="EDG12" s="2"/>
      <c r="EDH12" s="2"/>
      <c r="EDI12" s="2"/>
      <c r="EDJ12" s="2"/>
      <c r="EDK12" s="2"/>
      <c r="EDL12" s="2"/>
      <c r="EDM12" s="2"/>
      <c r="EDN12" s="2"/>
      <c r="EDO12" s="2"/>
      <c r="EDP12" s="2"/>
      <c r="EDQ12" s="2"/>
      <c r="EDR12" s="2"/>
      <c r="EDS12" s="2"/>
      <c r="EDT12" s="2"/>
      <c r="EDU12" s="2"/>
      <c r="EDV12" s="2"/>
      <c r="EDW12" s="2"/>
      <c r="EDX12" s="2"/>
      <c r="EDY12" s="2"/>
      <c r="EDZ12" s="2"/>
      <c r="EEA12" s="2"/>
      <c r="EEB12" s="2"/>
      <c r="EEC12" s="2"/>
      <c r="EED12" s="2"/>
      <c r="EEE12" s="2"/>
      <c r="EEF12" s="2"/>
      <c r="EEG12" s="2"/>
      <c r="EEH12" s="2"/>
      <c r="EEI12" s="2"/>
      <c r="EEJ12" s="2"/>
      <c r="EEK12" s="2"/>
      <c r="EEL12" s="2"/>
      <c r="EEM12" s="2"/>
      <c r="EEN12" s="2"/>
      <c r="EEO12" s="2"/>
      <c r="EEP12" s="2"/>
      <c r="EEQ12" s="2"/>
      <c r="EER12" s="2"/>
      <c r="EES12" s="2"/>
      <c r="EET12" s="2"/>
      <c r="EEU12" s="2"/>
      <c r="EEV12" s="2"/>
      <c r="EEW12" s="2"/>
      <c r="EEX12" s="2"/>
      <c r="EEY12" s="2"/>
      <c r="EEZ12" s="2"/>
      <c r="EFA12" s="2"/>
      <c r="EFB12" s="2"/>
      <c r="EFC12" s="2"/>
      <c r="EFD12" s="2"/>
      <c r="EFE12" s="2"/>
      <c r="EFF12" s="2"/>
      <c r="EFG12" s="2"/>
      <c r="EFH12" s="2"/>
      <c r="EFI12" s="2"/>
      <c r="EFJ12" s="2"/>
      <c r="EFK12" s="2"/>
      <c r="EFL12" s="2"/>
      <c r="EFM12" s="2"/>
      <c r="EFN12" s="2"/>
      <c r="EFO12" s="2"/>
      <c r="EFP12" s="2"/>
      <c r="EFQ12" s="2"/>
      <c r="EFR12" s="2"/>
      <c r="EFS12" s="2"/>
      <c r="EFT12" s="2"/>
      <c r="EFU12" s="2"/>
      <c r="EFV12" s="2"/>
      <c r="EFW12" s="2"/>
      <c r="EFX12" s="2"/>
      <c r="EFY12" s="2"/>
      <c r="EFZ12" s="2"/>
      <c r="EGA12" s="2"/>
      <c r="EGB12" s="2"/>
      <c r="EGC12" s="2"/>
      <c r="EGD12" s="2"/>
      <c r="EGE12" s="2"/>
      <c r="EGF12" s="2"/>
      <c r="EGG12" s="2"/>
      <c r="EGH12" s="2"/>
      <c r="EGI12" s="2"/>
      <c r="EGJ12" s="2"/>
      <c r="EGK12" s="2"/>
      <c r="EGL12" s="2"/>
      <c r="EGM12" s="2"/>
      <c r="EGN12" s="2"/>
      <c r="EGO12" s="2"/>
      <c r="EGP12" s="2"/>
      <c r="EGQ12" s="2"/>
      <c r="EGR12" s="2"/>
      <c r="EGS12" s="2"/>
      <c r="EGT12" s="2"/>
      <c r="EGU12" s="2"/>
      <c r="EGV12" s="2"/>
      <c r="EGW12" s="2"/>
      <c r="EGX12" s="2"/>
      <c r="EGY12" s="2"/>
      <c r="EGZ12" s="2"/>
      <c r="EHA12" s="2"/>
      <c r="EHB12" s="2"/>
      <c r="EHC12" s="2"/>
      <c r="EHD12" s="2"/>
      <c r="EHE12" s="2"/>
      <c r="EHF12" s="2"/>
      <c r="EHG12" s="2"/>
      <c r="EHH12" s="2"/>
      <c r="EHI12" s="2"/>
      <c r="EHJ12" s="2"/>
      <c r="EHK12" s="2"/>
      <c r="EHL12" s="2"/>
      <c r="EHM12" s="2"/>
      <c r="EHN12" s="2"/>
      <c r="EHO12" s="2"/>
      <c r="EHP12" s="2"/>
      <c r="EHQ12" s="2"/>
      <c r="EHR12" s="2"/>
      <c r="EHS12" s="2"/>
      <c r="EHT12" s="2"/>
      <c r="EHU12" s="2"/>
      <c r="EHV12" s="2"/>
      <c r="EHW12" s="2"/>
      <c r="EHX12" s="2"/>
      <c r="EHY12" s="2"/>
      <c r="EHZ12" s="2"/>
      <c r="EIA12" s="2"/>
      <c r="EIB12" s="2"/>
      <c r="EIC12" s="2"/>
      <c r="EID12" s="2"/>
      <c r="EIE12" s="2"/>
      <c r="EIF12" s="2"/>
      <c r="EIG12" s="2"/>
      <c r="EIH12" s="2"/>
      <c r="EII12" s="2"/>
      <c r="EIJ12" s="2"/>
      <c r="EIK12" s="2"/>
      <c r="EIL12" s="2"/>
      <c r="EIM12" s="2"/>
      <c r="EIN12" s="2"/>
      <c r="EIO12" s="2"/>
      <c r="EIP12" s="2"/>
      <c r="EIQ12" s="2"/>
      <c r="EIR12" s="2"/>
      <c r="EIS12" s="2"/>
      <c r="EIT12" s="2"/>
      <c r="EIU12" s="2"/>
      <c r="EIV12" s="2"/>
      <c r="EIW12" s="2"/>
      <c r="EIX12" s="2"/>
      <c r="EIY12" s="2"/>
      <c r="EIZ12" s="2"/>
      <c r="EJA12" s="2"/>
      <c r="EJB12" s="2"/>
      <c r="EJC12" s="2"/>
      <c r="EJD12" s="2"/>
      <c r="EJE12" s="2"/>
      <c r="EJF12" s="2"/>
      <c r="EJG12" s="2"/>
      <c r="EJH12" s="2"/>
      <c r="EJI12" s="2"/>
      <c r="EJJ12" s="2"/>
      <c r="EJK12" s="2"/>
      <c r="EJL12" s="2"/>
      <c r="EJM12" s="2"/>
      <c r="EJN12" s="2"/>
      <c r="EJO12" s="2"/>
      <c r="EJP12" s="2"/>
      <c r="EJQ12" s="2"/>
      <c r="EJR12" s="2"/>
      <c r="EJS12" s="2"/>
      <c r="EJT12" s="2"/>
      <c r="EJU12" s="2"/>
      <c r="EJV12" s="2"/>
      <c r="EJW12" s="2"/>
      <c r="EJX12" s="2"/>
      <c r="EJY12" s="2"/>
      <c r="EJZ12" s="2"/>
      <c r="EKA12" s="2"/>
      <c r="EKB12" s="2"/>
      <c r="EKC12" s="2"/>
      <c r="EKD12" s="2"/>
      <c r="EKE12" s="2"/>
      <c r="EKF12" s="2"/>
      <c r="EKG12" s="2"/>
      <c r="EKH12" s="2"/>
      <c r="EKI12" s="2"/>
      <c r="EKJ12" s="2"/>
      <c r="EKK12" s="2"/>
      <c r="EKL12" s="2"/>
      <c r="EKM12" s="2"/>
      <c r="EKN12" s="2"/>
      <c r="EKO12" s="2"/>
      <c r="EKP12" s="2"/>
      <c r="EKQ12" s="2"/>
      <c r="EKR12" s="2"/>
      <c r="EKS12" s="2"/>
      <c r="EKT12" s="2"/>
      <c r="EKU12" s="2"/>
      <c r="EKV12" s="2"/>
      <c r="EKW12" s="2"/>
      <c r="EKX12" s="2"/>
      <c r="EKY12" s="2"/>
      <c r="EKZ12" s="2"/>
      <c r="ELA12" s="2"/>
      <c r="ELB12" s="2"/>
      <c r="ELC12" s="2"/>
      <c r="ELD12" s="2"/>
      <c r="ELE12" s="2"/>
      <c r="ELF12" s="2"/>
      <c r="ELG12" s="2"/>
      <c r="ELH12" s="2"/>
      <c r="ELI12" s="2"/>
      <c r="ELJ12" s="2"/>
      <c r="ELK12" s="2"/>
      <c r="ELL12" s="2"/>
      <c r="ELM12" s="2"/>
      <c r="ELN12" s="2"/>
      <c r="ELO12" s="2"/>
      <c r="ELP12" s="2"/>
      <c r="ELQ12" s="2"/>
      <c r="ELR12" s="2"/>
      <c r="ELS12" s="2"/>
      <c r="ELT12" s="2"/>
      <c r="ELU12" s="2"/>
      <c r="ELV12" s="2"/>
      <c r="ELW12" s="2"/>
      <c r="ELX12" s="2"/>
      <c r="ELY12" s="2"/>
      <c r="ELZ12" s="2"/>
      <c r="EMA12" s="2"/>
      <c r="EMB12" s="2"/>
      <c r="EMC12" s="2"/>
      <c r="EMD12" s="2"/>
      <c r="EME12" s="2"/>
      <c r="EMF12" s="2"/>
      <c r="EMG12" s="2"/>
      <c r="EMH12" s="2"/>
      <c r="EMI12" s="2"/>
      <c r="EMJ12" s="2"/>
      <c r="EMK12" s="2"/>
      <c r="EML12" s="2"/>
      <c r="EMM12" s="2"/>
      <c r="EMN12" s="2"/>
      <c r="EMO12" s="2"/>
      <c r="EMP12" s="2"/>
      <c r="EMQ12" s="2"/>
      <c r="EMR12" s="2"/>
      <c r="EMS12" s="2"/>
      <c r="EMT12" s="2"/>
      <c r="EMU12" s="2"/>
      <c r="EMV12" s="2"/>
      <c r="EMW12" s="2"/>
      <c r="EMX12" s="2"/>
      <c r="EMY12" s="2"/>
      <c r="EMZ12" s="2"/>
      <c r="ENA12" s="2"/>
      <c r="ENB12" s="2"/>
      <c r="ENC12" s="2"/>
      <c r="END12" s="2"/>
      <c r="ENE12" s="2"/>
      <c r="ENF12" s="2"/>
      <c r="ENG12" s="2"/>
      <c r="ENH12" s="2"/>
      <c r="ENI12" s="2"/>
      <c r="ENJ12" s="2"/>
      <c r="ENK12" s="2"/>
      <c r="ENL12" s="2"/>
      <c r="ENM12" s="2"/>
      <c r="ENN12" s="2"/>
      <c r="ENO12" s="2"/>
      <c r="ENP12" s="2"/>
      <c r="ENQ12" s="2"/>
      <c r="ENR12" s="2"/>
      <c r="ENS12" s="2"/>
      <c r="ENT12" s="2"/>
      <c r="ENU12" s="2"/>
      <c r="ENV12" s="2"/>
      <c r="ENW12" s="2"/>
      <c r="ENX12" s="2"/>
      <c r="ENY12" s="2"/>
      <c r="ENZ12" s="2"/>
      <c r="EOA12" s="2"/>
      <c r="EOB12" s="2"/>
      <c r="EOC12" s="2"/>
      <c r="EOD12" s="2"/>
      <c r="EOE12" s="2"/>
      <c r="EOF12" s="2"/>
      <c r="EOG12" s="2"/>
      <c r="EOH12" s="2"/>
      <c r="EOI12" s="2"/>
      <c r="EOJ12" s="2"/>
      <c r="EOK12" s="2"/>
      <c r="EOL12" s="2"/>
      <c r="EOM12" s="2"/>
      <c r="EON12" s="2"/>
      <c r="EOO12" s="2"/>
      <c r="EOP12" s="2"/>
      <c r="EOQ12" s="2"/>
      <c r="EOR12" s="2"/>
      <c r="EOS12" s="2"/>
      <c r="EOT12" s="2"/>
      <c r="EOU12" s="2"/>
      <c r="EOV12" s="2"/>
      <c r="EOW12" s="2"/>
      <c r="EOX12" s="2"/>
      <c r="EOY12" s="2"/>
      <c r="EOZ12" s="2"/>
      <c r="EPA12" s="2"/>
      <c r="EPB12" s="2"/>
      <c r="EPC12" s="2"/>
      <c r="EPD12" s="2"/>
      <c r="EPE12" s="2"/>
      <c r="EPF12" s="2"/>
      <c r="EPG12" s="2"/>
      <c r="EPH12" s="2"/>
      <c r="EPI12" s="2"/>
      <c r="EPJ12" s="2"/>
      <c r="EPK12" s="2"/>
      <c r="EPL12" s="2"/>
      <c r="EPM12" s="2"/>
      <c r="EPN12" s="2"/>
      <c r="EPO12" s="2"/>
      <c r="EPP12" s="2"/>
      <c r="EPQ12" s="2"/>
      <c r="EPR12" s="2"/>
      <c r="EPS12" s="2"/>
      <c r="EPT12" s="2"/>
      <c r="EPU12" s="2"/>
      <c r="EPV12" s="2"/>
      <c r="EPW12" s="2"/>
      <c r="EPX12" s="2"/>
      <c r="EPY12" s="2"/>
      <c r="EPZ12" s="2"/>
      <c r="EQA12" s="2"/>
      <c r="EQB12" s="2"/>
      <c r="EQC12" s="2"/>
      <c r="EQD12" s="2"/>
      <c r="EQE12" s="2"/>
      <c r="EQF12" s="2"/>
      <c r="EQG12" s="2"/>
      <c r="EQH12" s="2"/>
      <c r="EQI12" s="2"/>
      <c r="EQJ12" s="2"/>
      <c r="EQK12" s="2"/>
      <c r="EQL12" s="2"/>
      <c r="EQM12" s="2"/>
      <c r="EQN12" s="2"/>
      <c r="EQO12" s="2"/>
      <c r="EQP12" s="2"/>
      <c r="EQQ12" s="2"/>
      <c r="EQR12" s="2"/>
      <c r="EQS12" s="2"/>
      <c r="EQT12" s="2"/>
      <c r="EQU12" s="2"/>
      <c r="EQV12" s="2"/>
      <c r="EQW12" s="2"/>
      <c r="EQX12" s="2"/>
      <c r="EQY12" s="2"/>
      <c r="EQZ12" s="2"/>
      <c r="ERA12" s="2"/>
      <c r="ERB12" s="2"/>
      <c r="ERC12" s="2"/>
      <c r="ERD12" s="2"/>
      <c r="ERE12" s="2"/>
      <c r="ERF12" s="2"/>
      <c r="ERG12" s="2"/>
      <c r="ERH12" s="2"/>
      <c r="ERI12" s="2"/>
      <c r="ERJ12" s="2"/>
      <c r="ERK12" s="2"/>
      <c r="ERL12" s="2"/>
      <c r="ERM12" s="2"/>
      <c r="ERN12" s="2"/>
      <c r="ERO12" s="2"/>
      <c r="ERP12" s="2"/>
      <c r="ERQ12" s="2"/>
      <c r="ERR12" s="2"/>
      <c r="ERS12" s="2"/>
      <c r="ERT12" s="2"/>
      <c r="ERU12" s="2"/>
      <c r="ERV12" s="2"/>
      <c r="ERW12" s="2"/>
      <c r="ERX12" s="2"/>
      <c r="ERY12" s="2"/>
      <c r="ERZ12" s="2"/>
      <c r="ESA12" s="2"/>
      <c r="ESB12" s="2"/>
      <c r="ESC12" s="2"/>
      <c r="ESD12" s="2"/>
      <c r="ESE12" s="2"/>
      <c r="ESF12" s="2"/>
      <c r="ESG12" s="2"/>
      <c r="ESH12" s="2"/>
      <c r="ESI12" s="2"/>
      <c r="ESJ12" s="2"/>
      <c r="ESK12" s="2"/>
      <c r="ESL12" s="2"/>
      <c r="ESM12" s="2"/>
      <c r="ESN12" s="2"/>
      <c r="ESO12" s="2"/>
      <c r="ESP12" s="2"/>
      <c r="ESQ12" s="2"/>
      <c r="ESR12" s="2"/>
      <c r="ESS12" s="2"/>
      <c r="EST12" s="2"/>
      <c r="ESU12" s="2"/>
      <c r="ESV12" s="2"/>
      <c r="ESW12" s="2"/>
      <c r="ESX12" s="2"/>
      <c r="ESY12" s="2"/>
      <c r="ESZ12" s="2"/>
      <c r="ETA12" s="2"/>
      <c r="ETB12" s="2"/>
      <c r="ETC12" s="2"/>
      <c r="ETD12" s="2"/>
      <c r="ETE12" s="2"/>
      <c r="ETF12" s="2"/>
      <c r="ETG12" s="2"/>
      <c r="ETH12" s="2"/>
      <c r="ETI12" s="2"/>
      <c r="ETJ12" s="2"/>
      <c r="ETK12" s="2"/>
      <c r="ETL12" s="2"/>
      <c r="ETM12" s="2"/>
      <c r="ETN12" s="2"/>
      <c r="ETO12" s="2"/>
      <c r="ETP12" s="2"/>
      <c r="ETQ12" s="2"/>
      <c r="ETR12" s="2"/>
      <c r="ETS12" s="2"/>
      <c r="ETT12" s="2"/>
      <c r="ETU12" s="2"/>
      <c r="ETV12" s="2"/>
      <c r="ETW12" s="2"/>
      <c r="ETX12" s="2"/>
      <c r="ETY12" s="2"/>
      <c r="ETZ12" s="2"/>
      <c r="EUA12" s="2"/>
      <c r="EUB12" s="2"/>
      <c r="EUC12" s="2"/>
      <c r="EUD12" s="2"/>
      <c r="EUE12" s="2"/>
      <c r="EUF12" s="2"/>
      <c r="EUG12" s="2"/>
      <c r="EUH12" s="2"/>
      <c r="EUI12" s="2"/>
      <c r="EUJ12" s="2"/>
      <c r="EUK12" s="2"/>
      <c r="EUL12" s="2"/>
      <c r="EUM12" s="2"/>
      <c r="EUN12" s="2"/>
      <c r="EUO12" s="2"/>
      <c r="EUP12" s="2"/>
      <c r="EUQ12" s="2"/>
      <c r="EUR12" s="2"/>
      <c r="EUS12" s="2"/>
      <c r="EUT12" s="2"/>
      <c r="EUU12" s="2"/>
      <c r="EUV12" s="2"/>
      <c r="EUW12" s="2"/>
      <c r="EUX12" s="2"/>
      <c r="EUY12" s="2"/>
      <c r="EUZ12" s="2"/>
      <c r="EVA12" s="2"/>
      <c r="EVB12" s="2"/>
      <c r="EVC12" s="2"/>
      <c r="EVD12" s="2"/>
      <c r="EVE12" s="2"/>
      <c r="EVF12" s="2"/>
      <c r="EVG12" s="2"/>
      <c r="EVH12" s="2"/>
      <c r="EVI12" s="2"/>
      <c r="EVJ12" s="2"/>
      <c r="EVK12" s="2"/>
      <c r="EVL12" s="2"/>
      <c r="EVM12" s="2"/>
      <c r="EVN12" s="2"/>
      <c r="EVO12" s="2"/>
      <c r="EVP12" s="2"/>
      <c r="EVQ12" s="2"/>
      <c r="EVR12" s="2"/>
      <c r="EVS12" s="2"/>
      <c r="EVT12" s="2"/>
      <c r="EVU12" s="2"/>
      <c r="EVV12" s="2"/>
      <c r="EVW12" s="2"/>
      <c r="EVX12" s="2"/>
      <c r="EVY12" s="2"/>
      <c r="EVZ12" s="2"/>
      <c r="EWA12" s="2"/>
      <c r="EWB12" s="2"/>
      <c r="EWC12" s="2"/>
      <c r="EWD12" s="2"/>
      <c r="EWE12" s="2"/>
      <c r="EWF12" s="2"/>
      <c r="EWG12" s="2"/>
      <c r="EWH12" s="2"/>
      <c r="EWI12" s="2"/>
      <c r="EWJ12" s="2"/>
      <c r="EWK12" s="2"/>
      <c r="EWL12" s="2"/>
      <c r="EWM12" s="2"/>
      <c r="EWN12" s="2"/>
      <c r="EWO12" s="2"/>
      <c r="EWP12" s="2"/>
      <c r="EWQ12" s="2"/>
      <c r="EWR12" s="2"/>
      <c r="EWS12" s="2"/>
      <c r="EWT12" s="2"/>
      <c r="EWU12" s="2"/>
      <c r="EWV12" s="2"/>
      <c r="EWW12" s="2"/>
      <c r="EWX12" s="2"/>
      <c r="EWY12" s="2"/>
      <c r="EWZ12" s="2"/>
      <c r="EXA12" s="2"/>
      <c r="EXB12" s="2"/>
      <c r="EXC12" s="2"/>
      <c r="EXD12" s="2"/>
      <c r="EXE12" s="2"/>
      <c r="EXF12" s="2"/>
      <c r="EXG12" s="2"/>
      <c r="EXH12" s="2"/>
      <c r="EXI12" s="2"/>
      <c r="EXJ12" s="2"/>
      <c r="EXK12" s="2"/>
      <c r="EXL12" s="2"/>
      <c r="EXM12" s="2"/>
      <c r="EXN12" s="2"/>
      <c r="EXO12" s="2"/>
      <c r="EXP12" s="2"/>
      <c r="EXQ12" s="2"/>
      <c r="EXR12" s="2"/>
      <c r="EXS12" s="2"/>
      <c r="EXT12" s="2"/>
      <c r="EXU12" s="2"/>
      <c r="EXV12" s="2"/>
      <c r="EXW12" s="2"/>
      <c r="EXX12" s="2"/>
      <c r="EXY12" s="2"/>
      <c r="EXZ12" s="2"/>
      <c r="EYA12" s="2"/>
      <c r="EYB12" s="2"/>
      <c r="EYC12" s="2"/>
      <c r="EYD12" s="2"/>
      <c r="EYE12" s="2"/>
      <c r="EYF12" s="2"/>
      <c r="EYG12" s="2"/>
      <c r="EYH12" s="2"/>
      <c r="EYI12" s="2"/>
      <c r="EYJ12" s="2"/>
      <c r="EYK12" s="2"/>
      <c r="EYL12" s="2"/>
      <c r="EYM12" s="2"/>
      <c r="EYN12" s="2"/>
      <c r="EYO12" s="2"/>
      <c r="EYP12" s="2"/>
      <c r="EYQ12" s="2"/>
      <c r="EYR12" s="2"/>
      <c r="EYS12" s="2"/>
      <c r="EYT12" s="2"/>
      <c r="EYU12" s="2"/>
      <c r="EYV12" s="2"/>
      <c r="EYW12" s="2"/>
      <c r="EYX12" s="2"/>
      <c r="EYY12" s="2"/>
      <c r="EYZ12" s="2"/>
      <c r="EZA12" s="2"/>
      <c r="EZB12" s="2"/>
      <c r="EZC12" s="2"/>
      <c r="EZD12" s="2"/>
      <c r="EZE12" s="2"/>
      <c r="EZF12" s="2"/>
      <c r="EZG12" s="2"/>
      <c r="EZH12" s="2"/>
      <c r="EZI12" s="2"/>
      <c r="EZJ12" s="2"/>
      <c r="EZK12" s="2"/>
      <c r="EZL12" s="2"/>
      <c r="EZM12" s="2"/>
      <c r="EZN12" s="2"/>
      <c r="EZO12" s="2"/>
      <c r="EZP12" s="2"/>
      <c r="EZQ12" s="2"/>
      <c r="EZR12" s="2"/>
      <c r="EZS12" s="2"/>
      <c r="EZT12" s="2"/>
      <c r="EZU12" s="2"/>
      <c r="EZV12" s="2"/>
      <c r="EZW12" s="2"/>
      <c r="EZX12" s="2"/>
      <c r="EZY12" s="2"/>
      <c r="EZZ12" s="2"/>
      <c r="FAA12" s="2"/>
      <c r="FAB12" s="2"/>
      <c r="FAC12" s="2"/>
      <c r="FAD12" s="2"/>
      <c r="FAE12" s="2"/>
      <c r="FAF12" s="2"/>
      <c r="FAG12" s="2"/>
      <c r="FAH12" s="2"/>
      <c r="FAI12" s="2"/>
      <c r="FAJ12" s="2"/>
      <c r="FAK12" s="2"/>
      <c r="FAL12" s="2"/>
      <c r="FAM12" s="2"/>
      <c r="FAN12" s="2"/>
      <c r="FAO12" s="2"/>
      <c r="FAP12" s="2"/>
      <c r="FAQ12" s="2"/>
      <c r="FAR12" s="2"/>
      <c r="FAS12" s="2"/>
      <c r="FAT12" s="2"/>
      <c r="FAU12" s="2"/>
      <c r="FAV12" s="2"/>
      <c r="FAW12" s="2"/>
      <c r="FAX12" s="2"/>
      <c r="FAY12" s="2"/>
      <c r="FAZ12" s="2"/>
      <c r="FBA12" s="2"/>
      <c r="FBB12" s="2"/>
      <c r="FBC12" s="2"/>
      <c r="FBD12" s="2"/>
      <c r="FBE12" s="2"/>
      <c r="FBF12" s="2"/>
      <c r="FBG12" s="2"/>
      <c r="FBH12" s="2"/>
      <c r="FBI12" s="2"/>
      <c r="FBJ12" s="2"/>
      <c r="FBK12" s="2"/>
      <c r="FBL12" s="2"/>
      <c r="FBM12" s="2"/>
      <c r="FBN12" s="2"/>
      <c r="FBO12" s="2"/>
      <c r="FBP12" s="2"/>
      <c r="FBQ12" s="2"/>
      <c r="FBR12" s="2"/>
      <c r="FBS12" s="2"/>
      <c r="FBT12" s="2"/>
      <c r="FBU12" s="2"/>
      <c r="FBV12" s="2"/>
      <c r="FBW12" s="2"/>
      <c r="FBX12" s="2"/>
      <c r="FBY12" s="2"/>
      <c r="FBZ12" s="2"/>
      <c r="FCA12" s="2"/>
      <c r="FCB12" s="2"/>
      <c r="FCC12" s="2"/>
      <c r="FCD12" s="2"/>
      <c r="FCE12" s="2"/>
      <c r="FCF12" s="2"/>
      <c r="FCG12" s="2"/>
      <c r="FCH12" s="2"/>
      <c r="FCI12" s="2"/>
      <c r="FCJ12" s="2"/>
      <c r="FCK12" s="2"/>
      <c r="FCL12" s="2"/>
      <c r="FCM12" s="2"/>
      <c r="FCN12" s="2"/>
      <c r="FCO12" s="2"/>
      <c r="FCP12" s="2"/>
      <c r="FCQ12" s="2"/>
      <c r="FCR12" s="2"/>
      <c r="FCS12" s="2"/>
      <c r="FCT12" s="2"/>
      <c r="FCU12" s="2"/>
      <c r="FCV12" s="2"/>
      <c r="FCW12" s="2"/>
      <c r="FCX12" s="2"/>
      <c r="FCY12" s="2"/>
      <c r="FCZ12" s="2"/>
      <c r="FDA12" s="2"/>
      <c r="FDB12" s="2"/>
      <c r="FDC12" s="2"/>
      <c r="FDD12" s="2"/>
      <c r="FDE12" s="2"/>
      <c r="FDF12" s="2"/>
      <c r="FDG12" s="2"/>
      <c r="FDH12" s="2"/>
      <c r="FDI12" s="2"/>
      <c r="FDJ12" s="2"/>
      <c r="FDK12" s="2"/>
      <c r="FDL12" s="2"/>
      <c r="FDM12" s="2"/>
      <c r="FDN12" s="2"/>
      <c r="FDO12" s="2"/>
      <c r="FDP12" s="2"/>
      <c r="FDQ12" s="2"/>
      <c r="FDR12" s="2"/>
      <c r="FDS12" s="2"/>
      <c r="FDT12" s="2"/>
      <c r="FDU12" s="2"/>
      <c r="FDV12" s="2"/>
      <c r="FDW12" s="2"/>
      <c r="FDX12" s="2"/>
      <c r="FDY12" s="2"/>
      <c r="FDZ12" s="2"/>
      <c r="FEA12" s="2"/>
      <c r="FEB12" s="2"/>
      <c r="FEC12" s="2"/>
      <c r="FED12" s="2"/>
      <c r="FEE12" s="2"/>
      <c r="FEF12" s="2"/>
      <c r="FEG12" s="2"/>
      <c r="FEH12" s="2"/>
      <c r="FEI12" s="2"/>
      <c r="FEJ12" s="2"/>
      <c r="FEK12" s="2"/>
      <c r="FEL12" s="2"/>
      <c r="FEM12" s="2"/>
      <c r="FEN12" s="2"/>
      <c r="FEO12" s="2"/>
      <c r="FEP12" s="2"/>
      <c r="FEQ12" s="2"/>
      <c r="FER12" s="2"/>
      <c r="FES12" s="2"/>
      <c r="FET12" s="2"/>
      <c r="FEU12" s="2"/>
      <c r="FEV12" s="2"/>
      <c r="FEW12" s="2"/>
      <c r="FEX12" s="2"/>
      <c r="FEY12" s="2"/>
      <c r="FEZ12" s="2"/>
      <c r="FFA12" s="2"/>
      <c r="FFB12" s="2"/>
      <c r="FFC12" s="2"/>
      <c r="FFD12" s="2"/>
      <c r="FFE12" s="2"/>
      <c r="FFF12" s="2"/>
      <c r="FFG12" s="2"/>
      <c r="FFH12" s="2"/>
      <c r="FFI12" s="2"/>
      <c r="FFJ12" s="2"/>
      <c r="FFK12" s="2"/>
      <c r="FFL12" s="2"/>
      <c r="FFM12" s="2"/>
      <c r="FFN12" s="2"/>
      <c r="FFO12" s="2"/>
      <c r="FFP12" s="2"/>
      <c r="FFQ12" s="2"/>
      <c r="FFR12" s="2"/>
      <c r="FFS12" s="2"/>
      <c r="FFT12" s="2"/>
      <c r="FFU12" s="2"/>
      <c r="FFV12" s="2"/>
      <c r="FFW12" s="2"/>
      <c r="FFX12" s="2"/>
      <c r="FFY12" s="2"/>
      <c r="FFZ12" s="2"/>
      <c r="FGA12" s="2"/>
      <c r="FGB12" s="2"/>
      <c r="FGC12" s="2"/>
      <c r="FGD12" s="2"/>
      <c r="FGE12" s="2"/>
      <c r="FGF12" s="2"/>
      <c r="FGG12" s="2"/>
      <c r="FGH12" s="2"/>
      <c r="FGI12" s="2"/>
      <c r="FGJ12" s="2"/>
      <c r="FGK12" s="2"/>
      <c r="FGL12" s="2"/>
      <c r="FGM12" s="2"/>
      <c r="FGN12" s="2"/>
      <c r="FGO12" s="2"/>
      <c r="FGP12" s="2"/>
      <c r="FGQ12" s="2"/>
      <c r="FGR12" s="2"/>
      <c r="FGS12" s="2"/>
      <c r="FGT12" s="2"/>
      <c r="FGU12" s="2"/>
      <c r="FGV12" s="2"/>
      <c r="FGW12" s="2"/>
      <c r="FGX12" s="2"/>
      <c r="FGY12" s="2"/>
      <c r="FGZ12" s="2"/>
      <c r="FHA12" s="2"/>
      <c r="FHB12" s="2"/>
      <c r="FHC12" s="2"/>
      <c r="FHD12" s="2"/>
      <c r="FHE12" s="2"/>
      <c r="FHF12" s="2"/>
      <c r="FHG12" s="2"/>
      <c r="FHH12" s="2"/>
      <c r="FHI12" s="2"/>
      <c r="FHJ12" s="2"/>
      <c r="FHK12" s="2"/>
      <c r="FHL12" s="2"/>
      <c r="FHM12" s="2"/>
      <c r="FHN12" s="2"/>
      <c r="FHO12" s="2"/>
      <c r="FHP12" s="2"/>
      <c r="FHQ12" s="2"/>
      <c r="FHR12" s="2"/>
      <c r="FHS12" s="2"/>
      <c r="FHT12" s="2"/>
      <c r="FHU12" s="2"/>
      <c r="FHV12" s="2"/>
      <c r="FHW12" s="2"/>
      <c r="FHX12" s="2"/>
      <c r="FHY12" s="2"/>
      <c r="FHZ12" s="2"/>
      <c r="FIA12" s="2"/>
      <c r="FIB12" s="2"/>
      <c r="FIC12" s="2"/>
      <c r="FID12" s="2"/>
      <c r="FIE12" s="2"/>
      <c r="FIF12" s="2"/>
      <c r="FIG12" s="2"/>
      <c r="FIH12" s="2"/>
      <c r="FII12" s="2"/>
      <c r="FIJ12" s="2"/>
      <c r="FIK12" s="2"/>
      <c r="FIL12" s="2"/>
      <c r="FIM12" s="2"/>
      <c r="FIN12" s="2"/>
      <c r="FIO12" s="2"/>
      <c r="FIP12" s="2"/>
      <c r="FIQ12" s="2"/>
      <c r="FIR12" s="2"/>
      <c r="FIS12" s="2"/>
      <c r="FIT12" s="2"/>
      <c r="FIU12" s="2"/>
      <c r="FIV12" s="2"/>
      <c r="FIW12" s="2"/>
      <c r="FIX12" s="2"/>
      <c r="FIY12" s="2"/>
      <c r="FIZ12" s="2"/>
      <c r="FJA12" s="2"/>
      <c r="FJB12" s="2"/>
      <c r="FJC12" s="2"/>
      <c r="FJD12" s="2"/>
      <c r="FJE12" s="2"/>
      <c r="FJF12" s="2"/>
      <c r="FJG12" s="2"/>
      <c r="FJH12" s="2"/>
      <c r="FJI12" s="2"/>
      <c r="FJJ12" s="2"/>
      <c r="FJK12" s="2"/>
      <c r="FJL12" s="2"/>
      <c r="FJM12" s="2"/>
      <c r="FJN12" s="2"/>
      <c r="FJO12" s="2"/>
      <c r="FJP12" s="2"/>
      <c r="FJQ12" s="2"/>
      <c r="FJR12" s="2"/>
      <c r="FJS12" s="2"/>
      <c r="FJT12" s="2"/>
      <c r="FJU12" s="2"/>
      <c r="FJV12" s="2"/>
      <c r="FJW12" s="2"/>
      <c r="FJX12" s="2"/>
      <c r="FJY12" s="2"/>
      <c r="FJZ12" s="2"/>
      <c r="FKA12" s="2"/>
      <c r="FKB12" s="2"/>
      <c r="FKC12" s="2"/>
      <c r="FKD12" s="2"/>
      <c r="FKE12" s="2"/>
      <c r="FKF12" s="2"/>
      <c r="FKG12" s="2"/>
      <c r="FKH12" s="2"/>
      <c r="FKI12" s="2"/>
      <c r="FKJ12" s="2"/>
      <c r="FKK12" s="2"/>
      <c r="FKL12" s="2"/>
      <c r="FKM12" s="2"/>
      <c r="FKN12" s="2"/>
      <c r="FKO12" s="2"/>
      <c r="FKP12" s="2"/>
      <c r="FKQ12" s="2"/>
      <c r="FKR12" s="2"/>
      <c r="FKS12" s="2"/>
      <c r="FKT12" s="2"/>
      <c r="FKU12" s="2"/>
      <c r="FKV12" s="2"/>
      <c r="FKW12" s="2"/>
      <c r="FKX12" s="2"/>
      <c r="FKY12" s="2"/>
      <c r="FKZ12" s="2"/>
      <c r="FLA12" s="2"/>
      <c r="FLB12" s="2"/>
      <c r="FLC12" s="2"/>
      <c r="FLD12" s="2"/>
      <c r="FLE12" s="2"/>
      <c r="FLF12" s="2"/>
      <c r="FLG12" s="2"/>
      <c r="FLH12" s="2"/>
      <c r="FLI12" s="2"/>
      <c r="FLJ12" s="2"/>
      <c r="FLK12" s="2"/>
      <c r="FLL12" s="2"/>
      <c r="FLM12" s="2"/>
      <c r="FLN12" s="2"/>
      <c r="FLO12" s="2"/>
      <c r="FLP12" s="2"/>
      <c r="FLQ12" s="2"/>
      <c r="FLR12" s="2"/>
      <c r="FLS12" s="2"/>
      <c r="FLT12" s="2"/>
      <c r="FLU12" s="2"/>
      <c r="FLV12" s="2"/>
      <c r="FLW12" s="2"/>
      <c r="FLX12" s="2"/>
      <c r="FLY12" s="2"/>
      <c r="FLZ12" s="2"/>
      <c r="FMA12" s="2"/>
      <c r="FMB12" s="2"/>
      <c r="FMC12" s="2"/>
      <c r="FMD12" s="2"/>
      <c r="FME12" s="2"/>
      <c r="FMF12" s="2"/>
      <c r="FMG12" s="2"/>
      <c r="FMH12" s="2"/>
      <c r="FMI12" s="2"/>
      <c r="FMJ12" s="2"/>
      <c r="FMK12" s="2"/>
      <c r="FML12" s="2"/>
      <c r="FMM12" s="2"/>
      <c r="FMN12" s="2"/>
      <c r="FMO12" s="2"/>
      <c r="FMP12" s="2"/>
      <c r="FMQ12" s="2"/>
      <c r="FMR12" s="2"/>
      <c r="FMS12" s="2"/>
      <c r="FMT12" s="2"/>
      <c r="FMU12" s="2"/>
      <c r="FMV12" s="2"/>
      <c r="FMW12" s="2"/>
      <c r="FMX12" s="2"/>
      <c r="FMY12" s="2"/>
      <c r="FMZ12" s="2"/>
      <c r="FNA12" s="2"/>
      <c r="FNB12" s="2"/>
      <c r="FNC12" s="2"/>
      <c r="FND12" s="2"/>
      <c r="FNE12" s="2"/>
      <c r="FNF12" s="2"/>
      <c r="FNG12" s="2"/>
      <c r="FNH12" s="2"/>
      <c r="FNI12" s="2"/>
      <c r="FNJ12" s="2"/>
      <c r="FNK12" s="2"/>
      <c r="FNL12" s="2"/>
      <c r="FNM12" s="2"/>
      <c r="FNN12" s="2"/>
      <c r="FNO12" s="2"/>
      <c r="FNP12" s="2"/>
      <c r="FNQ12" s="2"/>
      <c r="FNR12" s="2"/>
      <c r="FNS12" s="2"/>
      <c r="FNT12" s="2"/>
      <c r="FNU12" s="2"/>
      <c r="FNV12" s="2"/>
      <c r="FNW12" s="2"/>
      <c r="FNX12" s="2"/>
      <c r="FNY12" s="2"/>
      <c r="FNZ12" s="2"/>
      <c r="FOA12" s="2"/>
      <c r="FOB12" s="2"/>
      <c r="FOC12" s="2"/>
      <c r="FOD12" s="2"/>
      <c r="FOE12" s="2"/>
      <c r="FOF12" s="2"/>
      <c r="FOG12" s="2"/>
      <c r="FOH12" s="2"/>
      <c r="FOI12" s="2"/>
      <c r="FOJ12" s="2"/>
      <c r="FOK12" s="2"/>
      <c r="FOL12" s="2"/>
      <c r="FOM12" s="2"/>
      <c r="FON12" s="2"/>
      <c r="FOO12" s="2"/>
      <c r="FOP12" s="2"/>
      <c r="FOQ12" s="2"/>
      <c r="FOR12" s="2"/>
      <c r="FOS12" s="2"/>
      <c r="FOT12" s="2"/>
      <c r="FOU12" s="2"/>
      <c r="FOV12" s="2"/>
      <c r="FOW12" s="2"/>
      <c r="FOX12" s="2"/>
      <c r="FOY12" s="2"/>
      <c r="FOZ12" s="2"/>
      <c r="FPA12" s="2"/>
      <c r="FPB12" s="2"/>
      <c r="FPC12" s="2"/>
      <c r="FPD12" s="2"/>
      <c r="FPE12" s="2"/>
      <c r="FPF12" s="2"/>
      <c r="FPG12" s="2"/>
      <c r="FPH12" s="2"/>
      <c r="FPI12" s="2"/>
      <c r="FPJ12" s="2"/>
      <c r="FPK12" s="2"/>
      <c r="FPL12" s="2"/>
      <c r="FPM12" s="2"/>
      <c r="FPN12" s="2"/>
      <c r="FPO12" s="2"/>
      <c r="FPP12" s="2"/>
      <c r="FPQ12" s="2"/>
      <c r="FPR12" s="2"/>
      <c r="FPS12" s="2"/>
      <c r="FPT12" s="2"/>
      <c r="FPU12" s="2"/>
      <c r="FPV12" s="2"/>
      <c r="FPW12" s="2"/>
      <c r="FPX12" s="2"/>
      <c r="FPY12" s="2"/>
      <c r="FPZ12" s="2"/>
      <c r="FQA12" s="2"/>
      <c r="FQB12" s="2"/>
      <c r="FQC12" s="2"/>
      <c r="FQD12" s="2"/>
      <c r="FQE12" s="2"/>
      <c r="FQF12" s="2"/>
      <c r="FQG12" s="2"/>
      <c r="FQH12" s="2"/>
      <c r="FQI12" s="2"/>
      <c r="FQJ12" s="2"/>
      <c r="FQK12" s="2"/>
      <c r="FQL12" s="2"/>
      <c r="FQM12" s="2"/>
      <c r="FQN12" s="2"/>
      <c r="FQO12" s="2"/>
      <c r="FQP12" s="2"/>
      <c r="FQQ12" s="2"/>
      <c r="FQR12" s="2"/>
      <c r="FQS12" s="2"/>
      <c r="FQT12" s="2"/>
      <c r="FQU12" s="2"/>
      <c r="FQV12" s="2"/>
      <c r="FQW12" s="2"/>
      <c r="FQX12" s="2"/>
      <c r="FQY12" s="2"/>
      <c r="FQZ12" s="2"/>
      <c r="FRA12" s="2"/>
      <c r="FRB12" s="2"/>
      <c r="FRC12" s="2"/>
      <c r="FRD12" s="2"/>
      <c r="FRE12" s="2"/>
      <c r="FRF12" s="2"/>
      <c r="FRG12" s="2"/>
      <c r="FRH12" s="2"/>
      <c r="FRI12" s="2"/>
      <c r="FRJ12" s="2"/>
      <c r="FRK12" s="2"/>
      <c r="FRL12" s="2"/>
      <c r="FRM12" s="2"/>
      <c r="FRN12" s="2"/>
      <c r="FRO12" s="2"/>
      <c r="FRP12" s="2"/>
      <c r="FRQ12" s="2"/>
      <c r="FRR12" s="2"/>
      <c r="FRS12" s="2"/>
      <c r="FRT12" s="2"/>
      <c r="FRU12" s="2"/>
      <c r="FRV12" s="2"/>
      <c r="FRW12" s="2"/>
      <c r="FRX12" s="2"/>
      <c r="FRY12" s="2"/>
      <c r="FRZ12" s="2"/>
      <c r="FSA12" s="2"/>
      <c r="FSB12" s="2"/>
      <c r="FSC12" s="2"/>
      <c r="FSD12" s="2"/>
      <c r="FSE12" s="2"/>
      <c r="FSF12" s="2"/>
      <c r="FSG12" s="2"/>
      <c r="FSH12" s="2"/>
      <c r="FSI12" s="2"/>
      <c r="FSJ12" s="2"/>
      <c r="FSK12" s="2"/>
      <c r="FSL12" s="2"/>
      <c r="FSM12" s="2"/>
      <c r="FSN12" s="2"/>
      <c r="FSO12" s="2"/>
      <c r="FSP12" s="2"/>
      <c r="FSQ12" s="2"/>
      <c r="FSR12" s="2"/>
      <c r="FSS12" s="2"/>
      <c r="FST12" s="2"/>
      <c r="FSU12" s="2"/>
      <c r="FSV12" s="2"/>
      <c r="FSW12" s="2"/>
      <c r="FSX12" s="2"/>
      <c r="FSY12" s="2"/>
      <c r="FSZ12" s="2"/>
      <c r="FTA12" s="2"/>
      <c r="FTB12" s="2"/>
      <c r="FTC12" s="2"/>
      <c r="FTD12" s="2"/>
      <c r="FTE12" s="2"/>
      <c r="FTF12" s="2"/>
      <c r="FTG12" s="2"/>
      <c r="FTH12" s="2"/>
      <c r="FTI12" s="2"/>
      <c r="FTJ12" s="2"/>
      <c r="FTK12" s="2"/>
      <c r="FTL12" s="2"/>
      <c r="FTM12" s="2"/>
      <c r="FTN12" s="2"/>
      <c r="FTO12" s="2"/>
      <c r="FTP12" s="2"/>
      <c r="FTQ12" s="2"/>
      <c r="FTR12" s="2"/>
      <c r="FTS12" s="2"/>
      <c r="FTT12" s="2"/>
      <c r="FTU12" s="2"/>
      <c r="FTV12" s="2"/>
      <c r="FTW12" s="2"/>
      <c r="FTX12" s="2"/>
      <c r="FTY12" s="2"/>
      <c r="FTZ12" s="2"/>
      <c r="FUA12" s="2"/>
      <c r="FUB12" s="2"/>
      <c r="FUC12" s="2"/>
      <c r="FUD12" s="2"/>
      <c r="FUE12" s="2"/>
      <c r="FUF12" s="2"/>
      <c r="FUG12" s="2"/>
      <c r="FUH12" s="2"/>
      <c r="FUI12" s="2"/>
      <c r="FUJ12" s="2"/>
      <c r="FUK12" s="2"/>
      <c r="FUL12" s="2"/>
      <c r="FUM12" s="2"/>
      <c r="FUN12" s="2"/>
      <c r="FUO12" s="2"/>
      <c r="FUP12" s="2"/>
      <c r="FUQ12" s="2"/>
      <c r="FUR12" s="2"/>
      <c r="FUS12" s="2"/>
      <c r="FUT12" s="2"/>
      <c r="FUU12" s="2"/>
      <c r="FUV12" s="2"/>
      <c r="FUW12" s="2"/>
      <c r="FUX12" s="2"/>
      <c r="FUY12" s="2"/>
      <c r="FUZ12" s="2"/>
      <c r="FVA12" s="2"/>
      <c r="FVB12" s="2"/>
      <c r="FVC12" s="2"/>
      <c r="FVD12" s="2"/>
      <c r="FVE12" s="2"/>
      <c r="FVF12" s="2"/>
      <c r="FVG12" s="2"/>
      <c r="FVH12" s="2"/>
      <c r="FVI12" s="2"/>
      <c r="FVJ12" s="2"/>
      <c r="FVK12" s="2"/>
      <c r="FVL12" s="2"/>
      <c r="FVM12" s="2"/>
      <c r="FVN12" s="2"/>
      <c r="FVO12" s="2"/>
      <c r="FVP12" s="2"/>
      <c r="FVQ12" s="2"/>
      <c r="FVR12" s="2"/>
      <c r="FVS12" s="2"/>
      <c r="FVT12" s="2"/>
      <c r="FVU12" s="2"/>
      <c r="FVV12" s="2"/>
      <c r="FVW12" s="2"/>
      <c r="FVX12" s="2"/>
      <c r="FVY12" s="2"/>
      <c r="FVZ12" s="2"/>
      <c r="FWA12" s="2"/>
      <c r="FWB12" s="2"/>
      <c r="FWC12" s="2"/>
      <c r="FWD12" s="2"/>
      <c r="FWE12" s="2"/>
      <c r="FWF12" s="2"/>
      <c r="FWG12" s="2"/>
      <c r="FWH12" s="2"/>
      <c r="FWI12" s="2"/>
      <c r="FWJ12" s="2"/>
      <c r="FWK12" s="2"/>
      <c r="FWL12" s="2"/>
      <c r="FWM12" s="2"/>
      <c r="FWN12" s="2"/>
      <c r="FWO12" s="2"/>
      <c r="FWP12" s="2"/>
      <c r="FWQ12" s="2"/>
      <c r="FWR12" s="2"/>
      <c r="FWS12" s="2"/>
      <c r="FWT12" s="2"/>
      <c r="FWU12" s="2"/>
      <c r="FWV12" s="2"/>
      <c r="FWW12" s="2"/>
      <c r="FWX12" s="2"/>
      <c r="FWY12" s="2"/>
      <c r="FWZ12" s="2"/>
      <c r="FXA12" s="2"/>
      <c r="FXB12" s="2"/>
      <c r="FXC12" s="2"/>
      <c r="FXD12" s="2"/>
      <c r="FXE12" s="2"/>
      <c r="FXF12" s="2"/>
      <c r="FXG12" s="2"/>
      <c r="FXH12" s="2"/>
      <c r="FXI12" s="2"/>
      <c r="FXJ12" s="2"/>
      <c r="FXK12" s="2"/>
      <c r="FXL12" s="2"/>
      <c r="FXM12" s="2"/>
      <c r="FXN12" s="2"/>
      <c r="FXO12" s="2"/>
      <c r="FXP12" s="2"/>
      <c r="FXQ12" s="2"/>
      <c r="FXR12" s="2"/>
      <c r="FXS12" s="2"/>
      <c r="FXT12" s="2"/>
      <c r="FXU12" s="2"/>
      <c r="FXV12" s="2"/>
      <c r="FXW12" s="2"/>
      <c r="FXX12" s="2"/>
      <c r="FXY12" s="2"/>
      <c r="FXZ12" s="2"/>
      <c r="FYA12" s="2"/>
      <c r="FYB12" s="2"/>
      <c r="FYC12" s="2"/>
      <c r="FYD12" s="2"/>
      <c r="FYE12" s="2"/>
      <c r="FYF12" s="2"/>
      <c r="FYG12" s="2"/>
      <c r="FYH12" s="2"/>
      <c r="FYI12" s="2"/>
      <c r="FYJ12" s="2"/>
      <c r="FYK12" s="2"/>
      <c r="FYL12" s="2"/>
      <c r="FYM12" s="2"/>
      <c r="FYN12" s="2"/>
      <c r="FYO12" s="2"/>
      <c r="FYP12" s="2"/>
      <c r="FYQ12" s="2"/>
      <c r="FYR12" s="2"/>
      <c r="FYS12" s="2"/>
      <c r="FYT12" s="2"/>
      <c r="FYU12" s="2"/>
      <c r="FYV12" s="2"/>
      <c r="FYW12" s="2"/>
      <c r="FYX12" s="2"/>
      <c r="FYY12" s="2"/>
      <c r="FYZ12" s="2"/>
      <c r="FZA12" s="2"/>
      <c r="FZB12" s="2"/>
      <c r="FZC12" s="2"/>
      <c r="FZD12" s="2"/>
      <c r="FZE12" s="2"/>
      <c r="FZF12" s="2"/>
      <c r="FZG12" s="2"/>
      <c r="FZH12" s="2"/>
      <c r="FZI12" s="2"/>
      <c r="FZJ12" s="2"/>
      <c r="FZK12" s="2"/>
      <c r="FZL12" s="2"/>
      <c r="FZM12" s="2"/>
      <c r="FZN12" s="2"/>
      <c r="FZO12" s="2"/>
      <c r="FZP12" s="2"/>
      <c r="FZQ12" s="2"/>
      <c r="FZR12" s="2"/>
      <c r="FZS12" s="2"/>
      <c r="FZT12" s="2"/>
      <c r="FZU12" s="2"/>
      <c r="FZV12" s="2"/>
      <c r="FZW12" s="2"/>
      <c r="FZX12" s="2"/>
      <c r="FZY12" s="2"/>
      <c r="FZZ12" s="2"/>
      <c r="GAA12" s="2"/>
      <c r="GAB12" s="2"/>
      <c r="GAC12" s="2"/>
      <c r="GAD12" s="2"/>
      <c r="GAE12" s="2"/>
      <c r="GAF12" s="2"/>
      <c r="GAG12" s="2"/>
      <c r="GAH12" s="2"/>
      <c r="GAI12" s="2"/>
      <c r="GAJ12" s="2"/>
      <c r="GAK12" s="2"/>
      <c r="GAL12" s="2"/>
      <c r="GAM12" s="2"/>
      <c r="GAN12" s="2"/>
      <c r="GAO12" s="2"/>
      <c r="GAP12" s="2"/>
      <c r="GAQ12" s="2"/>
      <c r="GAR12" s="2"/>
      <c r="GAS12" s="2"/>
      <c r="GAT12" s="2"/>
      <c r="GAU12" s="2"/>
      <c r="GAV12" s="2"/>
      <c r="GAW12" s="2"/>
      <c r="GAX12" s="2"/>
      <c r="GAY12" s="2"/>
      <c r="GAZ12" s="2"/>
      <c r="GBA12" s="2"/>
      <c r="GBB12" s="2"/>
      <c r="GBC12" s="2"/>
      <c r="GBD12" s="2"/>
      <c r="GBE12" s="2"/>
      <c r="GBF12" s="2"/>
      <c r="GBG12" s="2"/>
      <c r="GBH12" s="2"/>
      <c r="GBI12" s="2"/>
      <c r="GBJ12" s="2"/>
      <c r="GBK12" s="2"/>
      <c r="GBL12" s="2"/>
      <c r="GBM12" s="2"/>
      <c r="GBN12" s="2"/>
      <c r="GBO12" s="2"/>
      <c r="GBP12" s="2"/>
      <c r="GBQ12" s="2"/>
      <c r="GBR12" s="2"/>
      <c r="GBS12" s="2"/>
      <c r="GBT12" s="2"/>
      <c r="GBU12" s="2"/>
      <c r="GBV12" s="2"/>
      <c r="GBW12" s="2"/>
      <c r="GBX12" s="2"/>
      <c r="GBY12" s="2"/>
      <c r="GBZ12" s="2"/>
      <c r="GCA12" s="2"/>
      <c r="GCB12" s="2"/>
      <c r="GCC12" s="2"/>
      <c r="GCD12" s="2"/>
      <c r="GCE12" s="2"/>
      <c r="GCF12" s="2"/>
      <c r="GCG12" s="2"/>
      <c r="GCH12" s="2"/>
      <c r="GCI12" s="2"/>
      <c r="GCJ12" s="2"/>
      <c r="GCK12" s="2"/>
      <c r="GCL12" s="2"/>
      <c r="GCM12" s="2"/>
      <c r="GCN12" s="2"/>
      <c r="GCO12" s="2"/>
      <c r="GCP12" s="2"/>
      <c r="GCQ12" s="2"/>
      <c r="GCR12" s="2"/>
      <c r="GCS12" s="2"/>
      <c r="GCT12" s="2"/>
      <c r="GCU12" s="2"/>
      <c r="GCV12" s="2"/>
      <c r="GCW12" s="2"/>
      <c r="GCX12" s="2"/>
      <c r="GCY12" s="2"/>
      <c r="GCZ12" s="2"/>
      <c r="GDA12" s="2"/>
      <c r="GDB12" s="2"/>
      <c r="GDC12" s="2"/>
      <c r="GDD12" s="2"/>
      <c r="GDE12" s="2"/>
      <c r="GDF12" s="2"/>
      <c r="GDG12" s="2"/>
      <c r="GDH12" s="2"/>
      <c r="GDI12" s="2"/>
      <c r="GDJ12" s="2"/>
      <c r="GDK12" s="2"/>
      <c r="GDL12" s="2"/>
      <c r="GDM12" s="2"/>
      <c r="GDN12" s="2"/>
      <c r="GDO12" s="2"/>
      <c r="GDP12" s="2"/>
      <c r="GDQ12" s="2"/>
      <c r="GDR12" s="2"/>
      <c r="GDS12" s="2"/>
      <c r="GDT12" s="2"/>
      <c r="GDU12" s="2"/>
      <c r="GDV12" s="2"/>
      <c r="GDW12" s="2"/>
      <c r="GDX12" s="2"/>
      <c r="GDY12" s="2"/>
      <c r="GDZ12" s="2"/>
      <c r="GEA12" s="2"/>
      <c r="GEB12" s="2"/>
      <c r="GEC12" s="2"/>
      <c r="GED12" s="2"/>
      <c r="GEE12" s="2"/>
      <c r="GEF12" s="2"/>
      <c r="GEG12" s="2"/>
      <c r="GEH12" s="2"/>
      <c r="GEI12" s="2"/>
      <c r="GEJ12" s="2"/>
      <c r="GEK12" s="2"/>
      <c r="GEL12" s="2"/>
      <c r="GEM12" s="2"/>
      <c r="GEN12" s="2"/>
      <c r="GEO12" s="2"/>
      <c r="GEP12" s="2"/>
      <c r="GEQ12" s="2"/>
      <c r="GER12" s="2"/>
      <c r="GES12" s="2"/>
      <c r="GET12" s="2"/>
      <c r="GEU12" s="2"/>
      <c r="GEV12" s="2"/>
      <c r="GEW12" s="2"/>
      <c r="GEX12" s="2"/>
      <c r="GEY12" s="2"/>
      <c r="GEZ12" s="2"/>
      <c r="GFA12" s="2"/>
      <c r="GFB12" s="2"/>
      <c r="GFC12" s="2"/>
      <c r="GFD12" s="2"/>
      <c r="GFE12" s="2"/>
      <c r="GFF12" s="2"/>
      <c r="GFG12" s="2"/>
      <c r="GFH12" s="2"/>
      <c r="GFI12" s="2"/>
      <c r="GFJ12" s="2"/>
      <c r="GFK12" s="2"/>
      <c r="GFL12" s="2"/>
      <c r="GFM12" s="2"/>
      <c r="GFN12" s="2"/>
      <c r="GFO12" s="2"/>
      <c r="GFP12" s="2"/>
      <c r="GFQ12" s="2"/>
      <c r="GFR12" s="2"/>
      <c r="GFS12" s="2"/>
      <c r="GFT12" s="2"/>
      <c r="GFU12" s="2"/>
      <c r="GFV12" s="2"/>
      <c r="GFW12" s="2"/>
      <c r="GFX12" s="2"/>
      <c r="GFY12" s="2"/>
      <c r="GFZ12" s="2"/>
      <c r="GGA12" s="2"/>
      <c r="GGB12" s="2"/>
      <c r="GGC12" s="2"/>
      <c r="GGD12" s="2"/>
      <c r="GGE12" s="2"/>
      <c r="GGF12" s="2"/>
      <c r="GGG12" s="2"/>
      <c r="GGH12" s="2"/>
      <c r="GGI12" s="2"/>
      <c r="GGJ12" s="2"/>
      <c r="GGK12" s="2"/>
      <c r="GGL12" s="2"/>
      <c r="GGM12" s="2"/>
      <c r="GGN12" s="2"/>
      <c r="GGO12" s="2"/>
      <c r="GGP12" s="2"/>
      <c r="GGQ12" s="2"/>
      <c r="GGR12" s="2"/>
      <c r="GGS12" s="2"/>
      <c r="GGT12" s="2"/>
      <c r="GGU12" s="2"/>
      <c r="GGV12" s="2"/>
      <c r="GGW12" s="2"/>
      <c r="GGX12" s="2"/>
      <c r="GGY12" s="2"/>
      <c r="GGZ12" s="2"/>
      <c r="GHA12" s="2"/>
      <c r="GHB12" s="2"/>
      <c r="GHC12" s="2"/>
      <c r="GHD12" s="2"/>
      <c r="GHE12" s="2"/>
      <c r="GHF12" s="2"/>
      <c r="GHG12" s="2"/>
      <c r="GHH12" s="2"/>
      <c r="GHI12" s="2"/>
      <c r="GHJ12" s="2"/>
      <c r="GHK12" s="2"/>
      <c r="GHL12" s="2"/>
      <c r="GHM12" s="2"/>
      <c r="GHN12" s="2"/>
      <c r="GHO12" s="2"/>
      <c r="GHP12" s="2"/>
      <c r="GHQ12" s="2"/>
      <c r="GHR12" s="2"/>
      <c r="GHS12" s="2"/>
      <c r="GHT12" s="2"/>
      <c r="GHU12" s="2"/>
      <c r="GHV12" s="2"/>
      <c r="GHW12" s="2"/>
      <c r="GHX12" s="2"/>
      <c r="GHY12" s="2"/>
      <c r="GHZ12" s="2"/>
      <c r="GIA12" s="2"/>
      <c r="GIB12" s="2"/>
      <c r="GIC12" s="2"/>
      <c r="GID12" s="2"/>
      <c r="GIE12" s="2"/>
      <c r="GIF12" s="2"/>
      <c r="GIG12" s="2"/>
      <c r="GIH12" s="2"/>
      <c r="GII12" s="2"/>
      <c r="GIJ12" s="2"/>
      <c r="GIK12" s="2"/>
      <c r="GIL12" s="2"/>
      <c r="GIM12" s="2"/>
      <c r="GIN12" s="2"/>
      <c r="GIO12" s="2"/>
      <c r="GIP12" s="2"/>
      <c r="GIQ12" s="2"/>
      <c r="GIR12" s="2"/>
      <c r="GIS12" s="2"/>
      <c r="GIT12" s="2"/>
      <c r="GIU12" s="2"/>
      <c r="GIV12" s="2"/>
      <c r="GIW12" s="2"/>
      <c r="GIX12" s="2"/>
      <c r="GIY12" s="2"/>
      <c r="GIZ12" s="2"/>
      <c r="GJA12" s="2"/>
      <c r="GJB12" s="2"/>
      <c r="GJC12" s="2"/>
      <c r="GJD12" s="2"/>
      <c r="GJE12" s="2"/>
      <c r="GJF12" s="2"/>
      <c r="GJG12" s="2"/>
      <c r="GJH12" s="2"/>
      <c r="GJI12" s="2"/>
      <c r="GJJ12" s="2"/>
      <c r="GJK12" s="2"/>
      <c r="GJL12" s="2"/>
      <c r="GJM12" s="2"/>
      <c r="GJN12" s="2"/>
      <c r="GJO12" s="2"/>
      <c r="GJP12" s="2"/>
      <c r="GJQ12" s="2"/>
      <c r="GJR12" s="2"/>
      <c r="GJS12" s="2"/>
      <c r="GJT12" s="2"/>
      <c r="GJU12" s="2"/>
      <c r="GJV12" s="2"/>
      <c r="GJW12" s="2"/>
      <c r="GJX12" s="2"/>
      <c r="GJY12" s="2"/>
      <c r="GJZ12" s="2"/>
      <c r="GKA12" s="2"/>
      <c r="GKB12" s="2"/>
      <c r="GKC12" s="2"/>
      <c r="GKD12" s="2"/>
      <c r="GKE12" s="2"/>
      <c r="GKF12" s="2"/>
      <c r="GKG12" s="2"/>
      <c r="GKH12" s="2"/>
      <c r="GKI12" s="2"/>
      <c r="GKJ12" s="2"/>
      <c r="GKK12" s="2"/>
      <c r="GKL12" s="2"/>
      <c r="GKM12" s="2"/>
      <c r="GKN12" s="2"/>
      <c r="GKO12" s="2"/>
      <c r="GKP12" s="2"/>
      <c r="GKQ12" s="2"/>
      <c r="GKR12" s="2"/>
      <c r="GKS12" s="2"/>
      <c r="GKT12" s="2"/>
      <c r="GKU12" s="2"/>
      <c r="GKV12" s="2"/>
      <c r="GKW12" s="2"/>
      <c r="GKX12" s="2"/>
      <c r="GKY12" s="2"/>
      <c r="GKZ12" s="2"/>
      <c r="GLA12" s="2"/>
      <c r="GLB12" s="2"/>
      <c r="GLC12" s="2"/>
      <c r="GLD12" s="2"/>
      <c r="GLE12" s="2"/>
      <c r="GLF12" s="2"/>
      <c r="GLG12" s="2"/>
      <c r="GLH12" s="2"/>
      <c r="GLI12" s="2"/>
      <c r="GLJ12" s="2"/>
      <c r="GLK12" s="2"/>
      <c r="GLL12" s="2"/>
      <c r="GLM12" s="2"/>
      <c r="GLN12" s="2"/>
      <c r="GLO12" s="2"/>
      <c r="GLP12" s="2"/>
      <c r="GLQ12" s="2"/>
      <c r="GLR12" s="2"/>
      <c r="GLS12" s="2"/>
      <c r="GLT12" s="2"/>
      <c r="GLU12" s="2"/>
      <c r="GLV12" s="2"/>
      <c r="GLW12" s="2"/>
      <c r="GLX12" s="2"/>
      <c r="GLY12" s="2"/>
      <c r="GLZ12" s="2"/>
      <c r="GMA12" s="2"/>
      <c r="GMB12" s="2"/>
      <c r="GMC12" s="2"/>
      <c r="GMD12" s="2"/>
      <c r="GME12" s="2"/>
      <c r="GMF12" s="2"/>
      <c r="GMG12" s="2"/>
      <c r="GMH12" s="2"/>
      <c r="GMI12" s="2"/>
      <c r="GMJ12" s="2"/>
      <c r="GMK12" s="2"/>
      <c r="GML12" s="2"/>
      <c r="GMM12" s="2"/>
      <c r="GMN12" s="2"/>
      <c r="GMO12" s="2"/>
      <c r="GMP12" s="2"/>
      <c r="GMQ12" s="2"/>
      <c r="GMR12" s="2"/>
      <c r="GMS12" s="2"/>
      <c r="GMT12" s="2"/>
      <c r="GMU12" s="2"/>
      <c r="GMV12" s="2"/>
      <c r="GMW12" s="2"/>
      <c r="GMX12" s="2"/>
      <c r="GMY12" s="2"/>
      <c r="GMZ12" s="2"/>
      <c r="GNA12" s="2"/>
      <c r="GNB12" s="2"/>
      <c r="GNC12" s="2"/>
      <c r="GND12" s="2"/>
      <c r="GNE12" s="2"/>
      <c r="GNF12" s="2"/>
      <c r="GNG12" s="2"/>
      <c r="GNH12" s="2"/>
      <c r="GNI12" s="2"/>
      <c r="GNJ12" s="2"/>
      <c r="GNK12" s="2"/>
      <c r="GNL12" s="2"/>
      <c r="GNM12" s="2"/>
      <c r="GNN12" s="2"/>
      <c r="GNO12" s="2"/>
      <c r="GNP12" s="2"/>
      <c r="GNQ12" s="2"/>
      <c r="GNR12" s="2"/>
      <c r="GNS12" s="2"/>
      <c r="GNT12" s="2"/>
      <c r="GNU12" s="2"/>
      <c r="GNV12" s="2"/>
      <c r="GNW12" s="2"/>
      <c r="GNX12" s="2"/>
      <c r="GNY12" s="2"/>
      <c r="GNZ12" s="2"/>
      <c r="GOA12" s="2"/>
      <c r="GOB12" s="2"/>
      <c r="GOC12" s="2"/>
      <c r="GOD12" s="2"/>
      <c r="GOE12" s="2"/>
      <c r="GOF12" s="2"/>
      <c r="GOG12" s="2"/>
      <c r="GOH12" s="2"/>
      <c r="GOI12" s="2"/>
      <c r="GOJ12" s="2"/>
      <c r="GOK12" s="2"/>
      <c r="GOL12" s="2"/>
      <c r="GOM12" s="2"/>
      <c r="GON12" s="2"/>
      <c r="GOO12" s="2"/>
      <c r="GOP12" s="2"/>
      <c r="GOQ12" s="2"/>
      <c r="GOR12" s="2"/>
      <c r="GOS12" s="2"/>
      <c r="GOT12" s="2"/>
      <c r="GOU12" s="2"/>
      <c r="GOV12" s="2"/>
      <c r="GOW12" s="2"/>
      <c r="GOX12" s="2"/>
      <c r="GOY12" s="2"/>
      <c r="GOZ12" s="2"/>
      <c r="GPA12" s="2"/>
      <c r="GPB12" s="2"/>
      <c r="GPC12" s="2"/>
      <c r="GPD12" s="2"/>
      <c r="GPE12" s="2"/>
      <c r="GPF12" s="2"/>
      <c r="GPG12" s="2"/>
      <c r="GPH12" s="2"/>
      <c r="GPI12" s="2"/>
      <c r="GPJ12" s="2"/>
      <c r="GPK12" s="2"/>
      <c r="GPL12" s="2"/>
      <c r="GPM12" s="2"/>
      <c r="GPN12" s="2"/>
      <c r="GPO12" s="2"/>
      <c r="GPP12" s="2"/>
      <c r="GPQ12" s="2"/>
      <c r="GPR12" s="2"/>
      <c r="GPS12" s="2"/>
      <c r="GPT12" s="2"/>
      <c r="GPU12" s="2"/>
      <c r="GPV12" s="2"/>
      <c r="GPW12" s="2"/>
      <c r="GPX12" s="2"/>
      <c r="GPY12" s="2"/>
      <c r="GPZ12" s="2"/>
      <c r="GQA12" s="2"/>
      <c r="GQB12" s="2"/>
      <c r="GQC12" s="2"/>
      <c r="GQD12" s="2"/>
      <c r="GQE12" s="2"/>
      <c r="GQF12" s="2"/>
      <c r="GQG12" s="2"/>
      <c r="GQH12" s="2"/>
      <c r="GQI12" s="2"/>
      <c r="GQJ12" s="2"/>
      <c r="GQK12" s="2"/>
      <c r="GQL12" s="2"/>
      <c r="GQM12" s="2"/>
      <c r="GQN12" s="2"/>
      <c r="GQO12" s="2"/>
      <c r="GQP12" s="2"/>
      <c r="GQQ12" s="2"/>
      <c r="GQR12" s="2"/>
      <c r="GQS12" s="2"/>
      <c r="GQT12" s="2"/>
      <c r="GQU12" s="2"/>
      <c r="GQV12" s="2"/>
      <c r="GQW12" s="2"/>
      <c r="GQX12" s="2"/>
      <c r="GQY12" s="2"/>
      <c r="GQZ12" s="2"/>
      <c r="GRA12" s="2"/>
      <c r="GRB12" s="2"/>
      <c r="GRC12" s="2"/>
      <c r="GRD12" s="2"/>
      <c r="GRE12" s="2"/>
      <c r="GRF12" s="2"/>
      <c r="GRG12" s="2"/>
      <c r="GRH12" s="2"/>
      <c r="GRI12" s="2"/>
      <c r="GRJ12" s="2"/>
      <c r="GRK12" s="2"/>
      <c r="GRL12" s="2"/>
      <c r="GRM12" s="2"/>
      <c r="GRN12" s="2"/>
      <c r="GRO12" s="2"/>
      <c r="GRP12" s="2"/>
      <c r="GRQ12" s="2"/>
      <c r="GRR12" s="2"/>
      <c r="GRS12" s="2"/>
      <c r="GRT12" s="2"/>
      <c r="GRU12" s="2"/>
      <c r="GRV12" s="2"/>
      <c r="GRW12" s="2"/>
      <c r="GRX12" s="2"/>
      <c r="GRY12" s="2"/>
      <c r="GRZ12" s="2"/>
      <c r="GSA12" s="2"/>
      <c r="GSB12" s="2"/>
      <c r="GSC12" s="2"/>
      <c r="GSD12" s="2"/>
      <c r="GSE12" s="2"/>
      <c r="GSF12" s="2"/>
      <c r="GSG12" s="2"/>
      <c r="GSH12" s="2"/>
      <c r="GSI12" s="2"/>
      <c r="GSJ12" s="2"/>
      <c r="GSK12" s="2"/>
      <c r="GSL12" s="2"/>
      <c r="GSM12" s="2"/>
      <c r="GSN12" s="2"/>
      <c r="GSO12" s="2"/>
      <c r="GSP12" s="2"/>
      <c r="GSQ12" s="2"/>
      <c r="GSR12" s="2"/>
      <c r="GSS12" s="2"/>
      <c r="GST12" s="2"/>
      <c r="GSU12" s="2"/>
      <c r="GSV12" s="2"/>
      <c r="GSW12" s="2"/>
      <c r="GSX12" s="2"/>
      <c r="GSY12" s="2"/>
      <c r="GSZ12" s="2"/>
      <c r="GTA12" s="2"/>
      <c r="GTB12" s="2"/>
      <c r="GTC12" s="2"/>
      <c r="GTD12" s="2"/>
      <c r="GTE12" s="2"/>
      <c r="GTF12" s="2"/>
      <c r="GTG12" s="2"/>
      <c r="GTH12" s="2"/>
      <c r="GTI12" s="2"/>
      <c r="GTJ12" s="2"/>
      <c r="GTK12" s="2"/>
      <c r="GTL12" s="2"/>
      <c r="GTM12" s="2"/>
      <c r="GTN12" s="2"/>
      <c r="GTO12" s="2"/>
      <c r="GTP12" s="2"/>
      <c r="GTQ12" s="2"/>
      <c r="GTR12" s="2"/>
      <c r="GTS12" s="2"/>
      <c r="GTT12" s="2"/>
      <c r="GTU12" s="2"/>
      <c r="GTV12" s="2"/>
      <c r="GTW12" s="2"/>
      <c r="GTX12" s="2"/>
      <c r="GTY12" s="2"/>
      <c r="GTZ12" s="2"/>
      <c r="GUA12" s="2"/>
      <c r="GUB12" s="2"/>
      <c r="GUC12" s="2"/>
      <c r="GUD12" s="2"/>
      <c r="GUE12" s="2"/>
      <c r="GUF12" s="2"/>
      <c r="GUG12" s="2"/>
      <c r="GUH12" s="2"/>
      <c r="GUI12" s="2"/>
      <c r="GUJ12" s="2"/>
      <c r="GUK12" s="2"/>
      <c r="GUL12" s="2"/>
      <c r="GUM12" s="2"/>
      <c r="GUN12" s="2"/>
      <c r="GUO12" s="2"/>
      <c r="GUP12" s="2"/>
      <c r="GUQ12" s="2"/>
      <c r="GUR12" s="2"/>
      <c r="GUS12" s="2"/>
      <c r="GUT12" s="2"/>
      <c r="GUU12" s="2"/>
      <c r="GUV12" s="2"/>
      <c r="GUW12" s="2"/>
      <c r="GUX12" s="2"/>
      <c r="GUY12" s="2"/>
      <c r="GUZ12" s="2"/>
      <c r="GVA12" s="2"/>
      <c r="GVB12" s="2"/>
      <c r="GVC12" s="2"/>
      <c r="GVD12" s="2"/>
      <c r="GVE12" s="2"/>
      <c r="GVF12" s="2"/>
      <c r="GVG12" s="2"/>
      <c r="GVH12" s="2"/>
      <c r="GVI12" s="2"/>
      <c r="GVJ12" s="2"/>
      <c r="GVK12" s="2"/>
      <c r="GVL12" s="2"/>
      <c r="GVM12" s="2"/>
      <c r="GVN12" s="2"/>
      <c r="GVO12" s="2"/>
      <c r="GVP12" s="2"/>
      <c r="GVQ12" s="2"/>
      <c r="GVR12" s="2"/>
      <c r="GVS12" s="2"/>
      <c r="GVT12" s="2"/>
      <c r="GVU12" s="2"/>
      <c r="GVV12" s="2"/>
      <c r="GVW12" s="2"/>
      <c r="GVX12" s="2"/>
      <c r="GVY12" s="2"/>
      <c r="GVZ12" s="2"/>
      <c r="GWA12" s="2"/>
      <c r="GWB12" s="2"/>
      <c r="GWC12" s="2"/>
      <c r="GWD12" s="2"/>
      <c r="GWE12" s="2"/>
      <c r="GWF12" s="2"/>
      <c r="GWG12" s="2"/>
      <c r="GWH12" s="2"/>
      <c r="GWI12" s="2"/>
      <c r="GWJ12" s="2"/>
      <c r="GWK12" s="2"/>
      <c r="GWL12" s="2"/>
      <c r="GWM12" s="2"/>
      <c r="GWN12" s="2"/>
      <c r="GWO12" s="2"/>
      <c r="GWP12" s="2"/>
      <c r="GWQ12" s="2"/>
      <c r="GWR12" s="2"/>
      <c r="GWS12" s="2"/>
      <c r="GWT12" s="2"/>
      <c r="GWU12" s="2"/>
      <c r="GWV12" s="2"/>
      <c r="GWW12" s="2"/>
      <c r="GWX12" s="2"/>
      <c r="GWY12" s="2"/>
      <c r="GWZ12" s="2"/>
      <c r="GXA12" s="2"/>
      <c r="GXB12" s="2"/>
      <c r="GXC12" s="2"/>
      <c r="GXD12" s="2"/>
      <c r="GXE12" s="2"/>
      <c r="GXF12" s="2"/>
      <c r="GXG12" s="2"/>
      <c r="GXH12" s="2"/>
      <c r="GXI12" s="2"/>
      <c r="GXJ12" s="2"/>
      <c r="GXK12" s="2"/>
      <c r="GXL12" s="2"/>
      <c r="GXM12" s="2"/>
      <c r="GXN12" s="2"/>
      <c r="GXO12" s="2"/>
      <c r="GXP12" s="2"/>
      <c r="GXQ12" s="2"/>
      <c r="GXR12" s="2"/>
      <c r="GXS12" s="2"/>
      <c r="GXT12" s="2"/>
      <c r="GXU12" s="2"/>
      <c r="GXV12" s="2"/>
      <c r="GXW12" s="2"/>
      <c r="GXX12" s="2"/>
      <c r="GXY12" s="2"/>
      <c r="GXZ12" s="2"/>
      <c r="GYA12" s="2"/>
      <c r="GYB12" s="2"/>
      <c r="GYC12" s="2"/>
      <c r="GYD12" s="2"/>
      <c r="GYE12" s="2"/>
      <c r="GYF12" s="2"/>
      <c r="GYG12" s="2"/>
      <c r="GYH12" s="2"/>
      <c r="GYI12" s="2"/>
      <c r="GYJ12" s="2"/>
      <c r="GYK12" s="2"/>
      <c r="GYL12" s="2"/>
      <c r="GYM12" s="2"/>
      <c r="GYN12" s="2"/>
      <c r="GYO12" s="2"/>
      <c r="GYP12" s="2"/>
      <c r="GYQ12" s="2"/>
      <c r="GYR12" s="2"/>
      <c r="GYS12" s="2"/>
      <c r="GYT12" s="2"/>
      <c r="GYU12" s="2"/>
      <c r="GYV12" s="2"/>
      <c r="GYW12" s="2"/>
      <c r="GYX12" s="2"/>
      <c r="GYY12" s="2"/>
      <c r="GYZ12" s="2"/>
      <c r="GZA12" s="2"/>
      <c r="GZB12" s="2"/>
      <c r="GZC12" s="2"/>
      <c r="GZD12" s="2"/>
      <c r="GZE12" s="2"/>
      <c r="GZF12" s="2"/>
      <c r="GZG12" s="2"/>
      <c r="GZH12" s="2"/>
      <c r="GZI12" s="2"/>
      <c r="GZJ12" s="2"/>
      <c r="GZK12" s="2"/>
      <c r="GZL12" s="2"/>
      <c r="GZM12" s="2"/>
      <c r="GZN12" s="2"/>
      <c r="GZO12" s="2"/>
      <c r="GZP12" s="2"/>
      <c r="GZQ12" s="2"/>
      <c r="GZR12" s="2"/>
      <c r="GZS12" s="2"/>
      <c r="GZT12" s="2"/>
      <c r="GZU12" s="2"/>
      <c r="GZV12" s="2"/>
      <c r="GZW12" s="2"/>
      <c r="GZX12" s="2"/>
      <c r="GZY12" s="2"/>
      <c r="GZZ12" s="2"/>
      <c r="HAA12" s="2"/>
      <c r="HAB12" s="2"/>
      <c r="HAC12" s="2"/>
      <c r="HAD12" s="2"/>
      <c r="HAE12" s="2"/>
      <c r="HAF12" s="2"/>
      <c r="HAG12" s="2"/>
      <c r="HAH12" s="2"/>
      <c r="HAI12" s="2"/>
      <c r="HAJ12" s="2"/>
      <c r="HAK12" s="2"/>
      <c r="HAL12" s="2"/>
      <c r="HAM12" s="2"/>
      <c r="HAN12" s="2"/>
      <c r="HAO12" s="2"/>
      <c r="HAP12" s="2"/>
      <c r="HAQ12" s="2"/>
      <c r="HAR12" s="2"/>
      <c r="HAS12" s="2"/>
      <c r="HAT12" s="2"/>
      <c r="HAU12" s="2"/>
      <c r="HAV12" s="2"/>
      <c r="HAW12" s="2"/>
      <c r="HAX12" s="2"/>
      <c r="HAY12" s="2"/>
      <c r="HAZ12" s="2"/>
      <c r="HBA12" s="2"/>
      <c r="HBB12" s="2"/>
      <c r="HBC12" s="2"/>
      <c r="HBD12" s="2"/>
      <c r="HBE12" s="2"/>
      <c r="HBF12" s="2"/>
      <c r="HBG12" s="2"/>
      <c r="HBH12" s="2"/>
      <c r="HBI12" s="2"/>
      <c r="HBJ12" s="2"/>
      <c r="HBK12" s="2"/>
      <c r="HBL12" s="2"/>
      <c r="HBM12" s="2"/>
      <c r="HBN12" s="2"/>
      <c r="HBO12" s="2"/>
      <c r="HBP12" s="2"/>
      <c r="HBQ12" s="2"/>
      <c r="HBR12" s="2"/>
      <c r="HBS12" s="2"/>
      <c r="HBT12" s="2"/>
      <c r="HBU12" s="2"/>
      <c r="HBV12" s="2"/>
      <c r="HBW12" s="2"/>
      <c r="HBX12" s="2"/>
      <c r="HBY12" s="2"/>
      <c r="HBZ12" s="2"/>
      <c r="HCA12" s="2"/>
      <c r="HCB12" s="2"/>
      <c r="HCC12" s="2"/>
      <c r="HCD12" s="2"/>
      <c r="HCE12" s="2"/>
      <c r="HCF12" s="2"/>
      <c r="HCG12" s="2"/>
      <c r="HCH12" s="2"/>
      <c r="HCI12" s="2"/>
      <c r="HCJ12" s="2"/>
      <c r="HCK12" s="2"/>
      <c r="HCL12" s="2"/>
      <c r="HCM12" s="2"/>
      <c r="HCN12" s="2"/>
      <c r="HCO12" s="2"/>
      <c r="HCP12" s="2"/>
      <c r="HCQ12" s="2"/>
      <c r="HCR12" s="2"/>
      <c r="HCS12" s="2"/>
      <c r="HCT12" s="2"/>
      <c r="HCU12" s="2"/>
      <c r="HCV12" s="2"/>
      <c r="HCW12" s="2"/>
      <c r="HCX12" s="2"/>
      <c r="HCY12" s="2"/>
      <c r="HCZ12" s="2"/>
      <c r="HDA12" s="2"/>
      <c r="HDB12" s="2"/>
      <c r="HDC12" s="2"/>
      <c r="HDD12" s="2"/>
      <c r="HDE12" s="2"/>
      <c r="HDF12" s="2"/>
      <c r="HDG12" s="2"/>
      <c r="HDH12" s="2"/>
      <c r="HDI12" s="2"/>
      <c r="HDJ12" s="2"/>
      <c r="HDK12" s="2"/>
      <c r="HDL12" s="2"/>
      <c r="HDM12" s="2"/>
      <c r="HDN12" s="2"/>
      <c r="HDO12" s="2"/>
      <c r="HDP12" s="2"/>
      <c r="HDQ12" s="2"/>
      <c r="HDR12" s="2"/>
      <c r="HDS12" s="2"/>
      <c r="HDT12" s="2"/>
      <c r="HDU12" s="2"/>
      <c r="HDV12" s="2"/>
      <c r="HDW12" s="2"/>
      <c r="HDX12" s="2"/>
      <c r="HDY12" s="2"/>
      <c r="HDZ12" s="2"/>
      <c r="HEA12" s="2"/>
      <c r="HEB12" s="2"/>
      <c r="HEC12" s="2"/>
      <c r="HED12" s="2"/>
      <c r="HEE12" s="2"/>
      <c r="HEF12" s="2"/>
      <c r="HEG12" s="2"/>
      <c r="HEH12" s="2"/>
      <c r="HEI12" s="2"/>
      <c r="HEJ12" s="2"/>
      <c r="HEK12" s="2"/>
      <c r="HEL12" s="2"/>
      <c r="HEM12" s="2"/>
      <c r="HEN12" s="2"/>
      <c r="HEO12" s="2"/>
      <c r="HEP12" s="2"/>
      <c r="HEQ12" s="2"/>
      <c r="HER12" s="2"/>
      <c r="HES12" s="2"/>
      <c r="HET12" s="2"/>
      <c r="HEU12" s="2"/>
      <c r="HEV12" s="2"/>
      <c r="HEW12" s="2"/>
      <c r="HEX12" s="2"/>
      <c r="HEY12" s="2"/>
      <c r="HEZ12" s="2"/>
      <c r="HFA12" s="2"/>
      <c r="HFB12" s="2"/>
      <c r="HFC12" s="2"/>
      <c r="HFD12" s="2"/>
      <c r="HFE12" s="2"/>
      <c r="HFF12" s="2"/>
      <c r="HFG12" s="2"/>
      <c r="HFH12" s="2"/>
      <c r="HFI12" s="2"/>
      <c r="HFJ12" s="2"/>
      <c r="HFK12" s="2"/>
      <c r="HFL12" s="2"/>
      <c r="HFM12" s="2"/>
      <c r="HFN12" s="2"/>
      <c r="HFO12" s="2"/>
      <c r="HFP12" s="2"/>
      <c r="HFQ12" s="2"/>
      <c r="HFR12" s="2"/>
      <c r="HFS12" s="2"/>
      <c r="HFT12" s="2"/>
      <c r="HFU12" s="2"/>
      <c r="HFV12" s="2"/>
      <c r="HFW12" s="2"/>
      <c r="HFX12" s="2"/>
      <c r="HFY12" s="2"/>
      <c r="HFZ12" s="2"/>
      <c r="HGA12" s="2"/>
      <c r="HGB12" s="2"/>
      <c r="HGC12" s="2"/>
      <c r="HGD12" s="2"/>
      <c r="HGE12" s="2"/>
      <c r="HGF12" s="2"/>
      <c r="HGG12" s="2"/>
      <c r="HGH12" s="2"/>
      <c r="HGI12" s="2"/>
      <c r="HGJ12" s="2"/>
      <c r="HGK12" s="2"/>
      <c r="HGL12" s="2"/>
      <c r="HGM12" s="2"/>
      <c r="HGN12" s="2"/>
      <c r="HGO12" s="2"/>
      <c r="HGP12" s="2"/>
      <c r="HGQ12" s="2"/>
      <c r="HGR12" s="2"/>
      <c r="HGS12" s="2"/>
      <c r="HGT12" s="2"/>
      <c r="HGU12" s="2"/>
      <c r="HGV12" s="2"/>
      <c r="HGW12" s="2"/>
      <c r="HGX12" s="2"/>
      <c r="HGY12" s="2"/>
      <c r="HGZ12" s="2"/>
      <c r="HHA12" s="2"/>
      <c r="HHB12" s="2"/>
      <c r="HHC12" s="2"/>
      <c r="HHD12" s="2"/>
      <c r="HHE12" s="2"/>
      <c r="HHF12" s="2"/>
      <c r="HHG12" s="2"/>
      <c r="HHH12" s="2"/>
      <c r="HHI12" s="2"/>
      <c r="HHJ12" s="2"/>
      <c r="HHK12" s="2"/>
      <c r="HHL12" s="2"/>
      <c r="HHM12" s="2"/>
      <c r="HHN12" s="2"/>
      <c r="HHO12" s="2"/>
      <c r="HHP12" s="2"/>
      <c r="HHQ12" s="2"/>
      <c r="HHR12" s="2"/>
      <c r="HHS12" s="2"/>
      <c r="HHT12" s="2"/>
      <c r="HHU12" s="2"/>
      <c r="HHV12" s="2"/>
      <c r="HHW12" s="2"/>
      <c r="HHX12" s="2"/>
      <c r="HHY12" s="2"/>
      <c r="HHZ12" s="2"/>
      <c r="HIA12" s="2"/>
      <c r="HIB12" s="2"/>
      <c r="HIC12" s="2"/>
      <c r="HID12" s="2"/>
      <c r="HIE12" s="2"/>
      <c r="HIF12" s="2"/>
      <c r="HIG12" s="2"/>
      <c r="HIH12" s="2"/>
      <c r="HII12" s="2"/>
      <c r="HIJ12" s="2"/>
      <c r="HIK12" s="2"/>
      <c r="HIL12" s="2"/>
      <c r="HIM12" s="2"/>
      <c r="HIN12" s="2"/>
      <c r="HIO12" s="2"/>
      <c r="HIP12" s="2"/>
      <c r="HIQ12" s="2"/>
      <c r="HIR12" s="2"/>
      <c r="HIS12" s="2"/>
      <c r="HIT12" s="2"/>
      <c r="HIU12" s="2"/>
      <c r="HIV12" s="2"/>
      <c r="HIW12" s="2"/>
      <c r="HIX12" s="2"/>
      <c r="HIY12" s="2"/>
      <c r="HIZ12" s="2"/>
      <c r="HJA12" s="2"/>
      <c r="HJB12" s="2"/>
      <c r="HJC12" s="2"/>
      <c r="HJD12" s="2"/>
      <c r="HJE12" s="2"/>
      <c r="HJF12" s="2"/>
      <c r="HJG12" s="2"/>
      <c r="HJH12" s="2"/>
      <c r="HJI12" s="2"/>
      <c r="HJJ12" s="2"/>
      <c r="HJK12" s="2"/>
      <c r="HJL12" s="2"/>
      <c r="HJM12" s="2"/>
      <c r="HJN12" s="2"/>
      <c r="HJO12" s="2"/>
      <c r="HJP12" s="2"/>
      <c r="HJQ12" s="2"/>
      <c r="HJR12" s="2"/>
      <c r="HJS12" s="2"/>
      <c r="HJT12" s="2"/>
      <c r="HJU12" s="2"/>
      <c r="HJV12" s="2"/>
      <c r="HJW12" s="2"/>
      <c r="HJX12" s="2"/>
      <c r="HJY12" s="2"/>
      <c r="HJZ12" s="2"/>
      <c r="HKA12" s="2"/>
      <c r="HKB12" s="2"/>
      <c r="HKC12" s="2"/>
      <c r="HKD12" s="2"/>
      <c r="HKE12" s="2"/>
      <c r="HKF12" s="2"/>
      <c r="HKG12" s="2"/>
      <c r="HKH12" s="2"/>
      <c r="HKI12" s="2"/>
      <c r="HKJ12" s="2"/>
      <c r="HKK12" s="2"/>
      <c r="HKL12" s="2"/>
      <c r="HKM12" s="2"/>
      <c r="HKN12" s="2"/>
      <c r="HKO12" s="2"/>
      <c r="HKP12" s="2"/>
      <c r="HKQ12" s="2"/>
      <c r="HKR12" s="2"/>
      <c r="HKS12" s="2"/>
      <c r="HKT12" s="2"/>
      <c r="HKU12" s="2"/>
      <c r="HKV12" s="2"/>
      <c r="HKW12" s="2"/>
      <c r="HKX12" s="2"/>
      <c r="HKY12" s="2"/>
      <c r="HKZ12" s="2"/>
      <c r="HLA12" s="2"/>
      <c r="HLB12" s="2"/>
      <c r="HLC12" s="2"/>
      <c r="HLD12" s="2"/>
      <c r="HLE12" s="2"/>
      <c r="HLF12" s="2"/>
      <c r="HLG12" s="2"/>
      <c r="HLH12" s="2"/>
      <c r="HLI12" s="2"/>
      <c r="HLJ12" s="2"/>
      <c r="HLK12" s="2"/>
      <c r="HLL12" s="2"/>
      <c r="HLM12" s="2"/>
      <c r="HLN12" s="2"/>
      <c r="HLO12" s="2"/>
      <c r="HLP12" s="2"/>
      <c r="HLQ12" s="2"/>
      <c r="HLR12" s="2"/>
      <c r="HLS12" s="2"/>
      <c r="HLT12" s="2"/>
      <c r="HLU12" s="2"/>
      <c r="HLV12" s="2"/>
      <c r="HLW12" s="2"/>
      <c r="HLX12" s="2"/>
      <c r="HLY12" s="2"/>
      <c r="HLZ12" s="2"/>
      <c r="HMA12" s="2"/>
      <c r="HMB12" s="2"/>
      <c r="HMC12" s="2"/>
      <c r="HMD12" s="2"/>
      <c r="HME12" s="2"/>
      <c r="HMF12" s="2"/>
      <c r="HMG12" s="2"/>
      <c r="HMH12" s="2"/>
      <c r="HMI12" s="2"/>
      <c r="HMJ12" s="2"/>
      <c r="HMK12" s="2"/>
      <c r="HML12" s="2"/>
      <c r="HMM12" s="2"/>
      <c r="HMN12" s="2"/>
      <c r="HMO12" s="2"/>
      <c r="HMP12" s="2"/>
      <c r="HMQ12" s="2"/>
      <c r="HMR12" s="2"/>
      <c r="HMS12" s="2"/>
      <c r="HMT12" s="2"/>
      <c r="HMU12" s="2"/>
      <c r="HMV12" s="2"/>
      <c r="HMW12" s="2"/>
      <c r="HMX12" s="2"/>
      <c r="HMY12" s="2"/>
      <c r="HMZ12" s="2"/>
      <c r="HNA12" s="2"/>
      <c r="HNB12" s="2"/>
      <c r="HNC12" s="2"/>
      <c r="HND12" s="2"/>
      <c r="HNE12" s="2"/>
      <c r="HNF12" s="2"/>
      <c r="HNG12" s="2"/>
      <c r="HNH12" s="2"/>
      <c r="HNI12" s="2"/>
      <c r="HNJ12" s="2"/>
      <c r="HNK12" s="2"/>
      <c r="HNL12" s="2"/>
      <c r="HNM12" s="2"/>
      <c r="HNN12" s="2"/>
      <c r="HNO12" s="2"/>
      <c r="HNP12" s="2"/>
      <c r="HNQ12" s="2"/>
      <c r="HNR12" s="2"/>
      <c r="HNS12" s="2"/>
      <c r="HNT12" s="2"/>
      <c r="HNU12" s="2"/>
      <c r="HNV12" s="2"/>
      <c r="HNW12" s="2"/>
      <c r="HNX12" s="2"/>
      <c r="HNY12" s="2"/>
      <c r="HNZ12" s="2"/>
      <c r="HOA12" s="2"/>
      <c r="HOB12" s="2"/>
      <c r="HOC12" s="2"/>
      <c r="HOD12" s="2"/>
      <c r="HOE12" s="2"/>
      <c r="HOF12" s="2"/>
      <c r="HOG12" s="2"/>
      <c r="HOH12" s="2"/>
      <c r="HOI12" s="2"/>
      <c r="HOJ12" s="2"/>
      <c r="HOK12" s="2"/>
      <c r="HOL12" s="2"/>
      <c r="HOM12" s="2"/>
      <c r="HON12" s="2"/>
      <c r="HOO12" s="2"/>
      <c r="HOP12" s="2"/>
      <c r="HOQ12" s="2"/>
      <c r="HOR12" s="2"/>
      <c r="HOS12" s="2"/>
      <c r="HOT12" s="2"/>
      <c r="HOU12" s="2"/>
      <c r="HOV12" s="2"/>
      <c r="HOW12" s="2"/>
      <c r="HOX12" s="2"/>
      <c r="HOY12" s="2"/>
      <c r="HOZ12" s="2"/>
      <c r="HPA12" s="2"/>
      <c r="HPB12" s="2"/>
      <c r="HPC12" s="2"/>
      <c r="HPD12" s="2"/>
      <c r="HPE12" s="2"/>
      <c r="HPF12" s="2"/>
      <c r="HPG12" s="2"/>
      <c r="HPH12" s="2"/>
      <c r="HPI12" s="2"/>
      <c r="HPJ12" s="2"/>
      <c r="HPK12" s="2"/>
      <c r="HPL12" s="2"/>
      <c r="HPM12" s="2"/>
      <c r="HPN12" s="2"/>
      <c r="HPO12" s="2"/>
      <c r="HPP12" s="2"/>
      <c r="HPQ12" s="2"/>
      <c r="HPR12" s="2"/>
      <c r="HPS12" s="2"/>
      <c r="HPT12" s="2"/>
      <c r="HPU12" s="2"/>
      <c r="HPV12" s="2"/>
      <c r="HPW12" s="2"/>
      <c r="HPX12" s="2"/>
      <c r="HPY12" s="2"/>
      <c r="HPZ12" s="2"/>
      <c r="HQA12" s="2"/>
      <c r="HQB12" s="2"/>
      <c r="HQC12" s="2"/>
      <c r="HQD12" s="2"/>
      <c r="HQE12" s="2"/>
      <c r="HQF12" s="2"/>
      <c r="HQG12" s="2"/>
      <c r="HQH12" s="2"/>
      <c r="HQI12" s="2"/>
      <c r="HQJ12" s="2"/>
      <c r="HQK12" s="2"/>
      <c r="HQL12" s="2"/>
      <c r="HQM12" s="2"/>
      <c r="HQN12" s="2"/>
      <c r="HQO12" s="2"/>
      <c r="HQP12" s="2"/>
      <c r="HQQ12" s="2"/>
      <c r="HQR12" s="2"/>
      <c r="HQS12" s="2"/>
      <c r="HQT12" s="2"/>
      <c r="HQU12" s="2"/>
      <c r="HQV12" s="2"/>
      <c r="HQW12" s="2"/>
      <c r="HQX12" s="2"/>
      <c r="HQY12" s="2"/>
      <c r="HQZ12" s="2"/>
      <c r="HRA12" s="2"/>
      <c r="HRB12" s="2"/>
      <c r="HRC12" s="2"/>
      <c r="HRD12" s="2"/>
      <c r="HRE12" s="2"/>
      <c r="HRF12" s="2"/>
      <c r="HRG12" s="2"/>
      <c r="HRH12" s="2"/>
      <c r="HRI12" s="2"/>
      <c r="HRJ12" s="2"/>
      <c r="HRK12" s="2"/>
      <c r="HRL12" s="2"/>
      <c r="HRM12" s="2"/>
      <c r="HRN12" s="2"/>
      <c r="HRO12" s="2"/>
      <c r="HRP12" s="2"/>
      <c r="HRQ12" s="2"/>
      <c r="HRR12" s="2"/>
      <c r="HRS12" s="2"/>
      <c r="HRT12" s="2"/>
      <c r="HRU12" s="2"/>
      <c r="HRV12" s="2"/>
      <c r="HRW12" s="2"/>
      <c r="HRX12" s="2"/>
      <c r="HRY12" s="2"/>
      <c r="HRZ12" s="2"/>
      <c r="HSA12" s="2"/>
      <c r="HSB12" s="2"/>
      <c r="HSC12" s="2"/>
      <c r="HSD12" s="2"/>
      <c r="HSE12" s="2"/>
      <c r="HSF12" s="2"/>
      <c r="HSG12" s="2"/>
      <c r="HSH12" s="2"/>
      <c r="HSI12" s="2"/>
      <c r="HSJ12" s="2"/>
      <c r="HSK12" s="2"/>
      <c r="HSL12" s="2"/>
      <c r="HSM12" s="2"/>
      <c r="HSN12" s="2"/>
      <c r="HSO12" s="2"/>
      <c r="HSP12" s="2"/>
      <c r="HSQ12" s="2"/>
      <c r="HSR12" s="2"/>
      <c r="HSS12" s="2"/>
      <c r="HST12" s="2"/>
      <c r="HSU12" s="2"/>
      <c r="HSV12" s="2"/>
      <c r="HSW12" s="2"/>
      <c r="HSX12" s="2"/>
      <c r="HSY12" s="2"/>
      <c r="HSZ12" s="2"/>
      <c r="HTA12" s="2"/>
      <c r="HTB12" s="2"/>
      <c r="HTC12" s="2"/>
      <c r="HTD12" s="2"/>
      <c r="HTE12" s="2"/>
      <c r="HTF12" s="2"/>
      <c r="HTG12" s="2"/>
      <c r="HTH12" s="2"/>
      <c r="HTI12" s="2"/>
      <c r="HTJ12" s="2"/>
      <c r="HTK12" s="2"/>
      <c r="HTL12" s="2"/>
      <c r="HTM12" s="2"/>
      <c r="HTN12" s="2"/>
      <c r="HTO12" s="2"/>
      <c r="HTP12" s="2"/>
      <c r="HTQ12" s="2"/>
      <c r="HTR12" s="2"/>
      <c r="HTS12" s="2"/>
      <c r="HTT12" s="2"/>
      <c r="HTU12" s="2"/>
      <c r="HTV12" s="2"/>
      <c r="HTW12" s="2"/>
      <c r="HTX12" s="2"/>
      <c r="HTY12" s="2"/>
      <c r="HTZ12" s="2"/>
      <c r="HUA12" s="2"/>
      <c r="HUB12" s="2"/>
      <c r="HUC12" s="2"/>
      <c r="HUD12" s="2"/>
      <c r="HUE12" s="2"/>
      <c r="HUF12" s="2"/>
      <c r="HUG12" s="2"/>
      <c r="HUH12" s="2"/>
      <c r="HUI12" s="2"/>
      <c r="HUJ12" s="2"/>
      <c r="HUK12" s="2"/>
      <c r="HUL12" s="2"/>
      <c r="HUM12" s="2"/>
      <c r="HUN12" s="2"/>
      <c r="HUO12" s="2"/>
      <c r="HUP12" s="2"/>
      <c r="HUQ12" s="2"/>
      <c r="HUR12" s="2"/>
      <c r="HUS12" s="2"/>
      <c r="HUT12" s="2"/>
      <c r="HUU12" s="2"/>
      <c r="HUV12" s="2"/>
      <c r="HUW12" s="2"/>
      <c r="HUX12" s="2"/>
      <c r="HUY12" s="2"/>
      <c r="HUZ12" s="2"/>
      <c r="HVA12" s="2"/>
      <c r="HVB12" s="2"/>
      <c r="HVC12" s="2"/>
      <c r="HVD12" s="2"/>
      <c r="HVE12" s="2"/>
      <c r="HVF12" s="2"/>
      <c r="HVG12" s="2"/>
      <c r="HVH12" s="2"/>
      <c r="HVI12" s="2"/>
      <c r="HVJ12" s="2"/>
      <c r="HVK12" s="2"/>
      <c r="HVL12" s="2"/>
      <c r="HVM12" s="2"/>
      <c r="HVN12" s="2"/>
      <c r="HVO12" s="2"/>
      <c r="HVP12" s="2"/>
      <c r="HVQ12" s="2"/>
      <c r="HVR12" s="2"/>
      <c r="HVS12" s="2"/>
      <c r="HVT12" s="2"/>
      <c r="HVU12" s="2"/>
      <c r="HVV12" s="2"/>
      <c r="HVW12" s="2"/>
      <c r="HVX12" s="2"/>
      <c r="HVY12" s="2"/>
      <c r="HVZ12" s="2"/>
      <c r="HWA12" s="2"/>
      <c r="HWB12" s="2"/>
      <c r="HWC12" s="2"/>
      <c r="HWD12" s="2"/>
      <c r="HWE12" s="2"/>
      <c r="HWF12" s="2"/>
      <c r="HWG12" s="2"/>
      <c r="HWH12" s="2"/>
      <c r="HWI12" s="2"/>
      <c r="HWJ12" s="2"/>
      <c r="HWK12" s="2"/>
      <c r="HWL12" s="2"/>
      <c r="HWM12" s="2"/>
      <c r="HWN12" s="2"/>
      <c r="HWO12" s="2"/>
      <c r="HWP12" s="2"/>
      <c r="HWQ12" s="2"/>
      <c r="HWR12" s="2"/>
      <c r="HWS12" s="2"/>
      <c r="HWT12" s="2"/>
      <c r="HWU12" s="2"/>
      <c r="HWV12" s="2"/>
      <c r="HWW12" s="2"/>
      <c r="HWX12" s="2"/>
      <c r="HWY12" s="2"/>
      <c r="HWZ12" s="2"/>
      <c r="HXA12" s="2"/>
      <c r="HXB12" s="2"/>
      <c r="HXC12" s="2"/>
      <c r="HXD12" s="2"/>
      <c r="HXE12" s="2"/>
      <c r="HXF12" s="2"/>
      <c r="HXG12" s="2"/>
      <c r="HXH12" s="2"/>
      <c r="HXI12" s="2"/>
      <c r="HXJ12" s="2"/>
      <c r="HXK12" s="2"/>
      <c r="HXL12" s="2"/>
      <c r="HXM12" s="2"/>
      <c r="HXN12" s="2"/>
      <c r="HXO12" s="2"/>
      <c r="HXP12" s="2"/>
      <c r="HXQ12" s="2"/>
      <c r="HXR12" s="2"/>
      <c r="HXS12" s="2"/>
      <c r="HXT12" s="2"/>
      <c r="HXU12" s="2"/>
      <c r="HXV12" s="2"/>
      <c r="HXW12" s="2"/>
      <c r="HXX12" s="2"/>
      <c r="HXY12" s="2"/>
      <c r="HXZ12" s="2"/>
      <c r="HYA12" s="2"/>
      <c r="HYB12" s="2"/>
      <c r="HYC12" s="2"/>
      <c r="HYD12" s="2"/>
      <c r="HYE12" s="2"/>
      <c r="HYF12" s="2"/>
      <c r="HYG12" s="2"/>
      <c r="HYH12" s="2"/>
      <c r="HYI12" s="2"/>
      <c r="HYJ12" s="2"/>
      <c r="HYK12" s="2"/>
      <c r="HYL12" s="2"/>
      <c r="HYM12" s="2"/>
      <c r="HYN12" s="2"/>
      <c r="HYO12" s="2"/>
      <c r="HYP12" s="2"/>
      <c r="HYQ12" s="2"/>
      <c r="HYR12" s="2"/>
      <c r="HYS12" s="2"/>
      <c r="HYT12" s="2"/>
      <c r="HYU12" s="2"/>
      <c r="HYV12" s="2"/>
      <c r="HYW12" s="2"/>
      <c r="HYX12" s="2"/>
      <c r="HYY12" s="2"/>
      <c r="HYZ12" s="2"/>
      <c r="HZA12" s="2"/>
      <c r="HZB12" s="2"/>
      <c r="HZC12" s="2"/>
      <c r="HZD12" s="2"/>
      <c r="HZE12" s="2"/>
      <c r="HZF12" s="2"/>
      <c r="HZG12" s="2"/>
      <c r="HZH12" s="2"/>
      <c r="HZI12" s="2"/>
      <c r="HZJ12" s="2"/>
      <c r="HZK12" s="2"/>
      <c r="HZL12" s="2"/>
      <c r="HZM12" s="2"/>
      <c r="HZN12" s="2"/>
      <c r="HZO12" s="2"/>
      <c r="HZP12" s="2"/>
      <c r="HZQ12" s="2"/>
      <c r="HZR12" s="2"/>
      <c r="HZS12" s="2"/>
      <c r="HZT12" s="2"/>
      <c r="HZU12" s="2"/>
      <c r="HZV12" s="2"/>
      <c r="HZW12" s="2"/>
      <c r="HZX12" s="2"/>
      <c r="HZY12" s="2"/>
      <c r="HZZ12" s="2"/>
      <c r="IAA12" s="2"/>
      <c r="IAB12" s="2"/>
      <c r="IAC12" s="2"/>
      <c r="IAD12" s="2"/>
      <c r="IAE12" s="2"/>
      <c r="IAF12" s="2"/>
      <c r="IAG12" s="2"/>
      <c r="IAH12" s="2"/>
      <c r="IAI12" s="2"/>
      <c r="IAJ12" s="2"/>
      <c r="IAK12" s="2"/>
      <c r="IAL12" s="2"/>
      <c r="IAM12" s="2"/>
      <c r="IAN12" s="2"/>
      <c r="IAO12" s="2"/>
      <c r="IAP12" s="2"/>
      <c r="IAQ12" s="2"/>
      <c r="IAR12" s="2"/>
      <c r="IAS12" s="2"/>
      <c r="IAT12" s="2"/>
      <c r="IAU12" s="2"/>
      <c r="IAV12" s="2"/>
      <c r="IAW12" s="2"/>
      <c r="IAX12" s="2"/>
      <c r="IAY12" s="2"/>
      <c r="IAZ12" s="2"/>
      <c r="IBA12" s="2"/>
      <c r="IBB12" s="2"/>
      <c r="IBC12" s="2"/>
      <c r="IBD12" s="2"/>
      <c r="IBE12" s="2"/>
      <c r="IBF12" s="2"/>
      <c r="IBG12" s="2"/>
      <c r="IBH12" s="2"/>
      <c r="IBI12" s="2"/>
      <c r="IBJ12" s="2"/>
      <c r="IBK12" s="2"/>
      <c r="IBL12" s="2"/>
      <c r="IBM12" s="2"/>
      <c r="IBN12" s="2"/>
      <c r="IBO12" s="2"/>
      <c r="IBP12" s="2"/>
      <c r="IBQ12" s="2"/>
      <c r="IBR12" s="2"/>
      <c r="IBS12" s="2"/>
      <c r="IBT12" s="2"/>
      <c r="IBU12" s="2"/>
      <c r="IBV12" s="2"/>
      <c r="IBW12" s="2"/>
      <c r="IBX12" s="2"/>
      <c r="IBY12" s="2"/>
      <c r="IBZ12" s="2"/>
      <c r="ICA12" s="2"/>
      <c r="ICB12" s="2"/>
      <c r="ICC12" s="2"/>
      <c r="ICD12" s="2"/>
      <c r="ICE12" s="2"/>
      <c r="ICF12" s="2"/>
      <c r="ICG12" s="2"/>
      <c r="ICH12" s="2"/>
      <c r="ICI12" s="2"/>
      <c r="ICJ12" s="2"/>
      <c r="ICK12" s="2"/>
      <c r="ICL12" s="2"/>
      <c r="ICM12" s="2"/>
      <c r="ICN12" s="2"/>
      <c r="ICO12" s="2"/>
      <c r="ICP12" s="2"/>
      <c r="ICQ12" s="2"/>
      <c r="ICR12" s="2"/>
      <c r="ICS12" s="2"/>
      <c r="ICT12" s="2"/>
      <c r="ICU12" s="2"/>
      <c r="ICV12" s="2"/>
      <c r="ICW12" s="2"/>
      <c r="ICX12" s="2"/>
      <c r="ICY12" s="2"/>
      <c r="ICZ12" s="2"/>
      <c r="IDA12" s="2"/>
      <c r="IDB12" s="2"/>
      <c r="IDC12" s="2"/>
      <c r="IDD12" s="2"/>
      <c r="IDE12" s="2"/>
      <c r="IDF12" s="2"/>
      <c r="IDG12" s="2"/>
      <c r="IDH12" s="2"/>
      <c r="IDI12" s="2"/>
      <c r="IDJ12" s="2"/>
      <c r="IDK12" s="2"/>
      <c r="IDL12" s="2"/>
      <c r="IDM12" s="2"/>
      <c r="IDN12" s="2"/>
      <c r="IDO12" s="2"/>
      <c r="IDP12" s="2"/>
      <c r="IDQ12" s="2"/>
      <c r="IDR12" s="2"/>
      <c r="IDS12" s="2"/>
      <c r="IDT12" s="2"/>
      <c r="IDU12" s="2"/>
      <c r="IDV12" s="2"/>
      <c r="IDW12" s="2"/>
      <c r="IDX12" s="2"/>
      <c r="IDY12" s="2"/>
      <c r="IDZ12" s="2"/>
      <c r="IEA12" s="2"/>
      <c r="IEB12" s="2"/>
      <c r="IEC12" s="2"/>
      <c r="IED12" s="2"/>
      <c r="IEE12" s="2"/>
      <c r="IEF12" s="2"/>
      <c r="IEG12" s="2"/>
      <c r="IEH12" s="2"/>
      <c r="IEI12" s="2"/>
      <c r="IEJ12" s="2"/>
      <c r="IEK12" s="2"/>
      <c r="IEL12" s="2"/>
      <c r="IEM12" s="2"/>
      <c r="IEN12" s="2"/>
      <c r="IEO12" s="2"/>
      <c r="IEP12" s="2"/>
      <c r="IEQ12" s="2"/>
      <c r="IER12" s="2"/>
      <c r="IES12" s="2"/>
      <c r="IET12" s="2"/>
      <c r="IEU12" s="2"/>
      <c r="IEV12" s="2"/>
      <c r="IEW12" s="2"/>
      <c r="IEX12" s="2"/>
      <c r="IEY12" s="2"/>
      <c r="IEZ12" s="2"/>
      <c r="IFA12" s="2"/>
      <c r="IFB12" s="2"/>
      <c r="IFC12" s="2"/>
      <c r="IFD12" s="2"/>
      <c r="IFE12" s="2"/>
      <c r="IFF12" s="2"/>
      <c r="IFG12" s="2"/>
      <c r="IFH12" s="2"/>
      <c r="IFI12" s="2"/>
      <c r="IFJ12" s="2"/>
      <c r="IFK12" s="2"/>
      <c r="IFL12" s="2"/>
      <c r="IFM12" s="2"/>
      <c r="IFN12" s="2"/>
      <c r="IFO12" s="2"/>
      <c r="IFP12" s="2"/>
      <c r="IFQ12" s="2"/>
      <c r="IFR12" s="2"/>
      <c r="IFS12" s="2"/>
      <c r="IFT12" s="2"/>
      <c r="IFU12" s="2"/>
      <c r="IFV12" s="2"/>
      <c r="IFW12" s="2"/>
      <c r="IFX12" s="2"/>
      <c r="IFY12" s="2"/>
      <c r="IFZ12" s="2"/>
      <c r="IGA12" s="2"/>
      <c r="IGB12" s="2"/>
      <c r="IGC12" s="2"/>
      <c r="IGD12" s="2"/>
      <c r="IGE12" s="2"/>
      <c r="IGF12" s="2"/>
      <c r="IGG12" s="2"/>
      <c r="IGH12" s="2"/>
      <c r="IGI12" s="2"/>
      <c r="IGJ12" s="2"/>
      <c r="IGK12" s="2"/>
      <c r="IGL12" s="2"/>
      <c r="IGM12" s="2"/>
      <c r="IGN12" s="2"/>
      <c r="IGO12" s="2"/>
      <c r="IGP12" s="2"/>
      <c r="IGQ12" s="2"/>
      <c r="IGR12" s="2"/>
      <c r="IGS12" s="2"/>
      <c r="IGT12" s="2"/>
      <c r="IGU12" s="2"/>
      <c r="IGV12" s="2"/>
      <c r="IGW12" s="2"/>
      <c r="IGX12" s="2"/>
      <c r="IGY12" s="2"/>
      <c r="IGZ12" s="2"/>
      <c r="IHA12" s="2"/>
      <c r="IHB12" s="2"/>
      <c r="IHC12" s="2"/>
      <c r="IHD12" s="2"/>
      <c r="IHE12" s="2"/>
      <c r="IHF12" s="2"/>
      <c r="IHG12" s="2"/>
      <c r="IHH12" s="2"/>
      <c r="IHI12" s="2"/>
      <c r="IHJ12" s="2"/>
      <c r="IHK12" s="2"/>
      <c r="IHL12" s="2"/>
      <c r="IHM12" s="2"/>
      <c r="IHN12" s="2"/>
      <c r="IHO12" s="2"/>
      <c r="IHP12" s="2"/>
      <c r="IHQ12" s="2"/>
      <c r="IHR12" s="2"/>
      <c r="IHS12" s="2"/>
      <c r="IHT12" s="2"/>
      <c r="IHU12" s="2"/>
      <c r="IHV12" s="2"/>
      <c r="IHW12" s="2"/>
      <c r="IHX12" s="2"/>
      <c r="IHY12" s="2"/>
      <c r="IHZ12" s="2"/>
      <c r="IIA12" s="2"/>
      <c r="IIB12" s="2"/>
      <c r="IIC12" s="2"/>
      <c r="IID12" s="2"/>
      <c r="IIE12" s="2"/>
      <c r="IIF12" s="2"/>
      <c r="IIG12" s="2"/>
      <c r="IIH12" s="2"/>
      <c r="III12" s="2"/>
      <c r="IIJ12" s="2"/>
      <c r="IIK12" s="2"/>
      <c r="IIL12" s="2"/>
      <c r="IIM12" s="2"/>
      <c r="IIN12" s="2"/>
      <c r="IIO12" s="2"/>
      <c r="IIP12" s="2"/>
      <c r="IIQ12" s="2"/>
      <c r="IIR12" s="2"/>
      <c r="IIS12" s="2"/>
      <c r="IIT12" s="2"/>
      <c r="IIU12" s="2"/>
      <c r="IIV12" s="2"/>
      <c r="IIW12" s="2"/>
      <c r="IIX12" s="2"/>
      <c r="IIY12" s="2"/>
      <c r="IIZ12" s="2"/>
      <c r="IJA12" s="2"/>
      <c r="IJB12" s="2"/>
      <c r="IJC12" s="2"/>
      <c r="IJD12" s="2"/>
      <c r="IJE12" s="2"/>
      <c r="IJF12" s="2"/>
      <c r="IJG12" s="2"/>
      <c r="IJH12" s="2"/>
      <c r="IJI12" s="2"/>
      <c r="IJJ12" s="2"/>
      <c r="IJK12" s="2"/>
      <c r="IJL12" s="2"/>
      <c r="IJM12" s="2"/>
      <c r="IJN12" s="2"/>
      <c r="IJO12" s="2"/>
      <c r="IJP12" s="2"/>
      <c r="IJQ12" s="2"/>
      <c r="IJR12" s="2"/>
      <c r="IJS12" s="2"/>
      <c r="IJT12" s="2"/>
      <c r="IJU12" s="2"/>
      <c r="IJV12" s="2"/>
      <c r="IJW12" s="2"/>
      <c r="IJX12" s="2"/>
      <c r="IJY12" s="2"/>
      <c r="IJZ12" s="2"/>
      <c r="IKA12" s="2"/>
      <c r="IKB12" s="2"/>
      <c r="IKC12" s="2"/>
      <c r="IKD12" s="2"/>
      <c r="IKE12" s="2"/>
      <c r="IKF12" s="2"/>
      <c r="IKG12" s="2"/>
      <c r="IKH12" s="2"/>
      <c r="IKI12" s="2"/>
      <c r="IKJ12" s="2"/>
      <c r="IKK12" s="2"/>
      <c r="IKL12" s="2"/>
      <c r="IKM12" s="2"/>
      <c r="IKN12" s="2"/>
      <c r="IKO12" s="2"/>
      <c r="IKP12" s="2"/>
      <c r="IKQ12" s="2"/>
      <c r="IKR12" s="2"/>
      <c r="IKS12" s="2"/>
      <c r="IKT12" s="2"/>
      <c r="IKU12" s="2"/>
      <c r="IKV12" s="2"/>
      <c r="IKW12" s="2"/>
      <c r="IKX12" s="2"/>
      <c r="IKY12" s="2"/>
      <c r="IKZ12" s="2"/>
      <c r="ILA12" s="2"/>
      <c r="ILB12" s="2"/>
      <c r="ILC12" s="2"/>
      <c r="ILD12" s="2"/>
      <c r="ILE12" s="2"/>
      <c r="ILF12" s="2"/>
      <c r="ILG12" s="2"/>
      <c r="ILH12" s="2"/>
      <c r="ILI12" s="2"/>
      <c r="ILJ12" s="2"/>
      <c r="ILK12" s="2"/>
      <c r="ILL12" s="2"/>
      <c r="ILM12" s="2"/>
      <c r="ILN12" s="2"/>
      <c r="ILO12" s="2"/>
      <c r="ILP12" s="2"/>
      <c r="ILQ12" s="2"/>
      <c r="ILR12" s="2"/>
      <c r="ILS12" s="2"/>
      <c r="ILT12" s="2"/>
      <c r="ILU12" s="2"/>
      <c r="ILV12" s="2"/>
      <c r="ILW12" s="2"/>
      <c r="ILX12" s="2"/>
      <c r="ILY12" s="2"/>
      <c r="ILZ12" s="2"/>
      <c r="IMA12" s="2"/>
      <c r="IMB12" s="2"/>
      <c r="IMC12" s="2"/>
      <c r="IMD12" s="2"/>
      <c r="IME12" s="2"/>
      <c r="IMF12" s="2"/>
      <c r="IMG12" s="2"/>
      <c r="IMH12" s="2"/>
      <c r="IMI12" s="2"/>
      <c r="IMJ12" s="2"/>
      <c r="IMK12" s="2"/>
      <c r="IML12" s="2"/>
      <c r="IMM12" s="2"/>
      <c r="IMN12" s="2"/>
      <c r="IMO12" s="2"/>
      <c r="IMP12" s="2"/>
      <c r="IMQ12" s="2"/>
      <c r="IMR12" s="2"/>
      <c r="IMS12" s="2"/>
      <c r="IMT12" s="2"/>
      <c r="IMU12" s="2"/>
      <c r="IMV12" s="2"/>
      <c r="IMW12" s="2"/>
      <c r="IMX12" s="2"/>
      <c r="IMY12" s="2"/>
      <c r="IMZ12" s="2"/>
      <c r="INA12" s="2"/>
      <c r="INB12" s="2"/>
      <c r="INC12" s="2"/>
      <c r="IND12" s="2"/>
      <c r="INE12" s="2"/>
      <c r="INF12" s="2"/>
      <c r="ING12" s="2"/>
      <c r="INH12" s="2"/>
      <c r="INI12" s="2"/>
      <c r="INJ12" s="2"/>
      <c r="INK12" s="2"/>
      <c r="INL12" s="2"/>
      <c r="INM12" s="2"/>
      <c r="INN12" s="2"/>
      <c r="INO12" s="2"/>
      <c r="INP12" s="2"/>
      <c r="INQ12" s="2"/>
      <c r="INR12" s="2"/>
      <c r="INS12" s="2"/>
      <c r="INT12" s="2"/>
      <c r="INU12" s="2"/>
      <c r="INV12" s="2"/>
      <c r="INW12" s="2"/>
      <c r="INX12" s="2"/>
      <c r="INY12" s="2"/>
      <c r="INZ12" s="2"/>
      <c r="IOA12" s="2"/>
      <c r="IOB12" s="2"/>
      <c r="IOC12" s="2"/>
      <c r="IOD12" s="2"/>
      <c r="IOE12" s="2"/>
      <c r="IOF12" s="2"/>
      <c r="IOG12" s="2"/>
      <c r="IOH12" s="2"/>
      <c r="IOI12" s="2"/>
      <c r="IOJ12" s="2"/>
      <c r="IOK12" s="2"/>
      <c r="IOL12" s="2"/>
      <c r="IOM12" s="2"/>
      <c r="ION12" s="2"/>
      <c r="IOO12" s="2"/>
      <c r="IOP12" s="2"/>
      <c r="IOQ12" s="2"/>
      <c r="IOR12" s="2"/>
      <c r="IOS12" s="2"/>
      <c r="IOT12" s="2"/>
      <c r="IOU12" s="2"/>
      <c r="IOV12" s="2"/>
      <c r="IOW12" s="2"/>
      <c r="IOX12" s="2"/>
      <c r="IOY12" s="2"/>
      <c r="IOZ12" s="2"/>
      <c r="IPA12" s="2"/>
      <c r="IPB12" s="2"/>
      <c r="IPC12" s="2"/>
      <c r="IPD12" s="2"/>
      <c r="IPE12" s="2"/>
      <c r="IPF12" s="2"/>
      <c r="IPG12" s="2"/>
      <c r="IPH12" s="2"/>
      <c r="IPI12" s="2"/>
      <c r="IPJ12" s="2"/>
      <c r="IPK12" s="2"/>
      <c r="IPL12" s="2"/>
      <c r="IPM12" s="2"/>
      <c r="IPN12" s="2"/>
      <c r="IPO12" s="2"/>
      <c r="IPP12" s="2"/>
      <c r="IPQ12" s="2"/>
      <c r="IPR12" s="2"/>
      <c r="IPS12" s="2"/>
      <c r="IPT12" s="2"/>
      <c r="IPU12" s="2"/>
      <c r="IPV12" s="2"/>
      <c r="IPW12" s="2"/>
      <c r="IPX12" s="2"/>
      <c r="IPY12" s="2"/>
      <c r="IPZ12" s="2"/>
      <c r="IQA12" s="2"/>
      <c r="IQB12" s="2"/>
      <c r="IQC12" s="2"/>
      <c r="IQD12" s="2"/>
      <c r="IQE12" s="2"/>
      <c r="IQF12" s="2"/>
      <c r="IQG12" s="2"/>
      <c r="IQH12" s="2"/>
      <c r="IQI12" s="2"/>
      <c r="IQJ12" s="2"/>
      <c r="IQK12" s="2"/>
      <c r="IQL12" s="2"/>
      <c r="IQM12" s="2"/>
      <c r="IQN12" s="2"/>
      <c r="IQO12" s="2"/>
      <c r="IQP12" s="2"/>
      <c r="IQQ12" s="2"/>
      <c r="IQR12" s="2"/>
      <c r="IQS12" s="2"/>
      <c r="IQT12" s="2"/>
      <c r="IQU12" s="2"/>
      <c r="IQV12" s="2"/>
      <c r="IQW12" s="2"/>
      <c r="IQX12" s="2"/>
      <c r="IQY12" s="2"/>
      <c r="IQZ12" s="2"/>
      <c r="IRA12" s="2"/>
      <c r="IRB12" s="2"/>
      <c r="IRC12" s="2"/>
      <c r="IRD12" s="2"/>
      <c r="IRE12" s="2"/>
      <c r="IRF12" s="2"/>
      <c r="IRG12" s="2"/>
      <c r="IRH12" s="2"/>
      <c r="IRI12" s="2"/>
      <c r="IRJ12" s="2"/>
      <c r="IRK12" s="2"/>
      <c r="IRL12" s="2"/>
      <c r="IRM12" s="2"/>
      <c r="IRN12" s="2"/>
      <c r="IRO12" s="2"/>
      <c r="IRP12" s="2"/>
      <c r="IRQ12" s="2"/>
      <c r="IRR12" s="2"/>
      <c r="IRS12" s="2"/>
      <c r="IRT12" s="2"/>
      <c r="IRU12" s="2"/>
      <c r="IRV12" s="2"/>
      <c r="IRW12" s="2"/>
      <c r="IRX12" s="2"/>
      <c r="IRY12" s="2"/>
      <c r="IRZ12" s="2"/>
      <c r="ISA12" s="2"/>
      <c r="ISB12" s="2"/>
      <c r="ISC12" s="2"/>
      <c r="ISD12" s="2"/>
      <c r="ISE12" s="2"/>
      <c r="ISF12" s="2"/>
      <c r="ISG12" s="2"/>
      <c r="ISH12" s="2"/>
      <c r="ISI12" s="2"/>
      <c r="ISJ12" s="2"/>
      <c r="ISK12" s="2"/>
      <c r="ISL12" s="2"/>
      <c r="ISM12" s="2"/>
      <c r="ISN12" s="2"/>
      <c r="ISO12" s="2"/>
      <c r="ISP12" s="2"/>
      <c r="ISQ12" s="2"/>
      <c r="ISR12" s="2"/>
      <c r="ISS12" s="2"/>
      <c r="IST12" s="2"/>
      <c r="ISU12" s="2"/>
      <c r="ISV12" s="2"/>
      <c r="ISW12" s="2"/>
      <c r="ISX12" s="2"/>
      <c r="ISY12" s="2"/>
      <c r="ISZ12" s="2"/>
      <c r="ITA12" s="2"/>
      <c r="ITB12" s="2"/>
      <c r="ITC12" s="2"/>
      <c r="ITD12" s="2"/>
      <c r="ITE12" s="2"/>
      <c r="ITF12" s="2"/>
      <c r="ITG12" s="2"/>
      <c r="ITH12" s="2"/>
      <c r="ITI12" s="2"/>
      <c r="ITJ12" s="2"/>
      <c r="ITK12" s="2"/>
      <c r="ITL12" s="2"/>
      <c r="ITM12" s="2"/>
      <c r="ITN12" s="2"/>
      <c r="ITO12" s="2"/>
      <c r="ITP12" s="2"/>
      <c r="ITQ12" s="2"/>
      <c r="ITR12" s="2"/>
      <c r="ITS12" s="2"/>
      <c r="ITT12" s="2"/>
      <c r="ITU12" s="2"/>
      <c r="ITV12" s="2"/>
      <c r="ITW12" s="2"/>
      <c r="ITX12" s="2"/>
      <c r="ITY12" s="2"/>
      <c r="ITZ12" s="2"/>
      <c r="IUA12" s="2"/>
      <c r="IUB12" s="2"/>
      <c r="IUC12" s="2"/>
      <c r="IUD12" s="2"/>
      <c r="IUE12" s="2"/>
      <c r="IUF12" s="2"/>
      <c r="IUG12" s="2"/>
      <c r="IUH12" s="2"/>
      <c r="IUI12" s="2"/>
      <c r="IUJ12" s="2"/>
      <c r="IUK12" s="2"/>
      <c r="IUL12" s="2"/>
      <c r="IUM12" s="2"/>
      <c r="IUN12" s="2"/>
      <c r="IUO12" s="2"/>
      <c r="IUP12" s="2"/>
      <c r="IUQ12" s="2"/>
      <c r="IUR12" s="2"/>
      <c r="IUS12" s="2"/>
      <c r="IUT12" s="2"/>
      <c r="IUU12" s="2"/>
      <c r="IUV12" s="2"/>
      <c r="IUW12" s="2"/>
      <c r="IUX12" s="2"/>
      <c r="IUY12" s="2"/>
      <c r="IUZ12" s="2"/>
      <c r="IVA12" s="2"/>
      <c r="IVB12" s="2"/>
      <c r="IVC12" s="2"/>
      <c r="IVD12" s="2"/>
      <c r="IVE12" s="2"/>
      <c r="IVF12" s="2"/>
      <c r="IVG12" s="2"/>
      <c r="IVH12" s="2"/>
      <c r="IVI12" s="2"/>
      <c r="IVJ12" s="2"/>
      <c r="IVK12" s="2"/>
      <c r="IVL12" s="2"/>
      <c r="IVM12" s="2"/>
      <c r="IVN12" s="2"/>
      <c r="IVO12" s="2"/>
      <c r="IVP12" s="2"/>
      <c r="IVQ12" s="2"/>
      <c r="IVR12" s="2"/>
      <c r="IVS12" s="2"/>
      <c r="IVT12" s="2"/>
      <c r="IVU12" s="2"/>
      <c r="IVV12" s="2"/>
      <c r="IVW12" s="2"/>
      <c r="IVX12" s="2"/>
      <c r="IVY12" s="2"/>
      <c r="IVZ12" s="2"/>
      <c r="IWA12" s="2"/>
      <c r="IWB12" s="2"/>
      <c r="IWC12" s="2"/>
      <c r="IWD12" s="2"/>
      <c r="IWE12" s="2"/>
      <c r="IWF12" s="2"/>
      <c r="IWG12" s="2"/>
      <c r="IWH12" s="2"/>
      <c r="IWI12" s="2"/>
      <c r="IWJ12" s="2"/>
      <c r="IWK12" s="2"/>
      <c r="IWL12" s="2"/>
      <c r="IWM12" s="2"/>
      <c r="IWN12" s="2"/>
      <c r="IWO12" s="2"/>
      <c r="IWP12" s="2"/>
      <c r="IWQ12" s="2"/>
      <c r="IWR12" s="2"/>
      <c r="IWS12" s="2"/>
      <c r="IWT12" s="2"/>
      <c r="IWU12" s="2"/>
      <c r="IWV12" s="2"/>
      <c r="IWW12" s="2"/>
      <c r="IWX12" s="2"/>
      <c r="IWY12" s="2"/>
      <c r="IWZ12" s="2"/>
      <c r="IXA12" s="2"/>
      <c r="IXB12" s="2"/>
      <c r="IXC12" s="2"/>
      <c r="IXD12" s="2"/>
      <c r="IXE12" s="2"/>
      <c r="IXF12" s="2"/>
      <c r="IXG12" s="2"/>
      <c r="IXH12" s="2"/>
      <c r="IXI12" s="2"/>
      <c r="IXJ12" s="2"/>
      <c r="IXK12" s="2"/>
      <c r="IXL12" s="2"/>
      <c r="IXM12" s="2"/>
      <c r="IXN12" s="2"/>
      <c r="IXO12" s="2"/>
      <c r="IXP12" s="2"/>
      <c r="IXQ12" s="2"/>
      <c r="IXR12" s="2"/>
      <c r="IXS12" s="2"/>
      <c r="IXT12" s="2"/>
      <c r="IXU12" s="2"/>
      <c r="IXV12" s="2"/>
      <c r="IXW12" s="2"/>
      <c r="IXX12" s="2"/>
      <c r="IXY12" s="2"/>
      <c r="IXZ12" s="2"/>
      <c r="IYA12" s="2"/>
      <c r="IYB12" s="2"/>
      <c r="IYC12" s="2"/>
      <c r="IYD12" s="2"/>
      <c r="IYE12" s="2"/>
      <c r="IYF12" s="2"/>
      <c r="IYG12" s="2"/>
      <c r="IYH12" s="2"/>
      <c r="IYI12" s="2"/>
      <c r="IYJ12" s="2"/>
      <c r="IYK12" s="2"/>
      <c r="IYL12" s="2"/>
      <c r="IYM12" s="2"/>
      <c r="IYN12" s="2"/>
      <c r="IYO12" s="2"/>
      <c r="IYP12" s="2"/>
      <c r="IYQ12" s="2"/>
      <c r="IYR12" s="2"/>
      <c r="IYS12" s="2"/>
      <c r="IYT12" s="2"/>
      <c r="IYU12" s="2"/>
      <c r="IYV12" s="2"/>
      <c r="IYW12" s="2"/>
      <c r="IYX12" s="2"/>
      <c r="IYY12" s="2"/>
      <c r="IYZ12" s="2"/>
      <c r="IZA12" s="2"/>
      <c r="IZB12" s="2"/>
      <c r="IZC12" s="2"/>
      <c r="IZD12" s="2"/>
      <c r="IZE12" s="2"/>
      <c r="IZF12" s="2"/>
      <c r="IZG12" s="2"/>
      <c r="IZH12" s="2"/>
      <c r="IZI12" s="2"/>
      <c r="IZJ12" s="2"/>
      <c r="IZK12" s="2"/>
      <c r="IZL12" s="2"/>
      <c r="IZM12" s="2"/>
      <c r="IZN12" s="2"/>
      <c r="IZO12" s="2"/>
      <c r="IZP12" s="2"/>
      <c r="IZQ12" s="2"/>
      <c r="IZR12" s="2"/>
      <c r="IZS12" s="2"/>
      <c r="IZT12" s="2"/>
      <c r="IZU12" s="2"/>
      <c r="IZV12" s="2"/>
      <c r="IZW12" s="2"/>
      <c r="IZX12" s="2"/>
      <c r="IZY12" s="2"/>
      <c r="IZZ12" s="2"/>
      <c r="JAA12" s="2"/>
      <c r="JAB12" s="2"/>
      <c r="JAC12" s="2"/>
      <c r="JAD12" s="2"/>
      <c r="JAE12" s="2"/>
      <c r="JAF12" s="2"/>
      <c r="JAG12" s="2"/>
      <c r="JAH12" s="2"/>
      <c r="JAI12" s="2"/>
      <c r="JAJ12" s="2"/>
      <c r="JAK12" s="2"/>
      <c r="JAL12" s="2"/>
      <c r="JAM12" s="2"/>
      <c r="JAN12" s="2"/>
      <c r="JAO12" s="2"/>
      <c r="JAP12" s="2"/>
      <c r="JAQ12" s="2"/>
      <c r="JAR12" s="2"/>
      <c r="JAS12" s="2"/>
      <c r="JAT12" s="2"/>
      <c r="JAU12" s="2"/>
      <c r="JAV12" s="2"/>
      <c r="JAW12" s="2"/>
      <c r="JAX12" s="2"/>
      <c r="JAY12" s="2"/>
      <c r="JAZ12" s="2"/>
      <c r="JBA12" s="2"/>
      <c r="JBB12" s="2"/>
      <c r="JBC12" s="2"/>
      <c r="JBD12" s="2"/>
      <c r="JBE12" s="2"/>
      <c r="JBF12" s="2"/>
      <c r="JBG12" s="2"/>
      <c r="JBH12" s="2"/>
      <c r="JBI12" s="2"/>
      <c r="JBJ12" s="2"/>
      <c r="JBK12" s="2"/>
      <c r="JBL12" s="2"/>
      <c r="JBM12" s="2"/>
      <c r="JBN12" s="2"/>
      <c r="JBO12" s="2"/>
      <c r="JBP12" s="2"/>
      <c r="JBQ12" s="2"/>
      <c r="JBR12" s="2"/>
      <c r="JBS12" s="2"/>
      <c r="JBT12" s="2"/>
      <c r="JBU12" s="2"/>
      <c r="JBV12" s="2"/>
      <c r="JBW12" s="2"/>
      <c r="JBX12" s="2"/>
      <c r="JBY12" s="2"/>
      <c r="JBZ12" s="2"/>
      <c r="JCA12" s="2"/>
      <c r="JCB12" s="2"/>
      <c r="JCC12" s="2"/>
      <c r="JCD12" s="2"/>
      <c r="JCE12" s="2"/>
      <c r="JCF12" s="2"/>
      <c r="JCG12" s="2"/>
      <c r="JCH12" s="2"/>
      <c r="JCI12" s="2"/>
      <c r="JCJ12" s="2"/>
      <c r="JCK12" s="2"/>
      <c r="JCL12" s="2"/>
      <c r="JCM12" s="2"/>
      <c r="JCN12" s="2"/>
      <c r="JCO12" s="2"/>
      <c r="JCP12" s="2"/>
      <c r="JCQ12" s="2"/>
      <c r="JCR12" s="2"/>
      <c r="JCS12" s="2"/>
      <c r="JCT12" s="2"/>
      <c r="JCU12" s="2"/>
      <c r="JCV12" s="2"/>
      <c r="JCW12" s="2"/>
      <c r="JCX12" s="2"/>
      <c r="JCY12" s="2"/>
      <c r="JCZ12" s="2"/>
      <c r="JDA12" s="2"/>
      <c r="JDB12" s="2"/>
      <c r="JDC12" s="2"/>
      <c r="JDD12" s="2"/>
      <c r="JDE12" s="2"/>
      <c r="JDF12" s="2"/>
      <c r="JDG12" s="2"/>
      <c r="JDH12" s="2"/>
      <c r="JDI12" s="2"/>
      <c r="JDJ12" s="2"/>
      <c r="JDK12" s="2"/>
      <c r="JDL12" s="2"/>
      <c r="JDM12" s="2"/>
      <c r="JDN12" s="2"/>
      <c r="JDO12" s="2"/>
      <c r="JDP12" s="2"/>
      <c r="JDQ12" s="2"/>
      <c r="JDR12" s="2"/>
      <c r="JDS12" s="2"/>
      <c r="JDT12" s="2"/>
      <c r="JDU12" s="2"/>
      <c r="JDV12" s="2"/>
      <c r="JDW12" s="2"/>
      <c r="JDX12" s="2"/>
      <c r="JDY12" s="2"/>
      <c r="JDZ12" s="2"/>
      <c r="JEA12" s="2"/>
      <c r="JEB12" s="2"/>
      <c r="JEC12" s="2"/>
      <c r="JED12" s="2"/>
      <c r="JEE12" s="2"/>
      <c r="JEF12" s="2"/>
      <c r="JEG12" s="2"/>
      <c r="JEH12" s="2"/>
      <c r="JEI12" s="2"/>
      <c r="JEJ12" s="2"/>
      <c r="JEK12" s="2"/>
      <c r="JEL12" s="2"/>
      <c r="JEM12" s="2"/>
      <c r="JEN12" s="2"/>
      <c r="JEO12" s="2"/>
      <c r="JEP12" s="2"/>
      <c r="JEQ12" s="2"/>
      <c r="JER12" s="2"/>
      <c r="JES12" s="2"/>
      <c r="JET12" s="2"/>
      <c r="JEU12" s="2"/>
      <c r="JEV12" s="2"/>
      <c r="JEW12" s="2"/>
      <c r="JEX12" s="2"/>
      <c r="JEY12" s="2"/>
      <c r="JEZ12" s="2"/>
      <c r="JFA12" s="2"/>
      <c r="JFB12" s="2"/>
      <c r="JFC12" s="2"/>
      <c r="JFD12" s="2"/>
      <c r="JFE12" s="2"/>
      <c r="JFF12" s="2"/>
      <c r="JFG12" s="2"/>
      <c r="JFH12" s="2"/>
      <c r="JFI12" s="2"/>
      <c r="JFJ12" s="2"/>
      <c r="JFK12" s="2"/>
      <c r="JFL12" s="2"/>
      <c r="JFM12" s="2"/>
      <c r="JFN12" s="2"/>
      <c r="JFO12" s="2"/>
      <c r="JFP12" s="2"/>
      <c r="JFQ12" s="2"/>
      <c r="JFR12" s="2"/>
      <c r="JFS12" s="2"/>
      <c r="JFT12" s="2"/>
      <c r="JFU12" s="2"/>
      <c r="JFV12" s="2"/>
      <c r="JFW12" s="2"/>
      <c r="JFX12" s="2"/>
      <c r="JFY12" s="2"/>
      <c r="JFZ12" s="2"/>
      <c r="JGA12" s="2"/>
      <c r="JGB12" s="2"/>
      <c r="JGC12" s="2"/>
      <c r="JGD12" s="2"/>
      <c r="JGE12" s="2"/>
      <c r="JGF12" s="2"/>
      <c r="JGG12" s="2"/>
      <c r="JGH12" s="2"/>
      <c r="JGI12" s="2"/>
      <c r="JGJ12" s="2"/>
      <c r="JGK12" s="2"/>
      <c r="JGL12" s="2"/>
      <c r="JGM12" s="2"/>
      <c r="JGN12" s="2"/>
      <c r="JGO12" s="2"/>
      <c r="JGP12" s="2"/>
      <c r="JGQ12" s="2"/>
      <c r="JGR12" s="2"/>
      <c r="JGS12" s="2"/>
      <c r="JGT12" s="2"/>
      <c r="JGU12" s="2"/>
      <c r="JGV12" s="2"/>
      <c r="JGW12" s="2"/>
      <c r="JGX12" s="2"/>
      <c r="JGY12" s="2"/>
      <c r="JGZ12" s="2"/>
      <c r="JHA12" s="2"/>
      <c r="JHB12" s="2"/>
      <c r="JHC12" s="2"/>
      <c r="JHD12" s="2"/>
      <c r="JHE12" s="2"/>
      <c r="JHF12" s="2"/>
      <c r="JHG12" s="2"/>
      <c r="JHH12" s="2"/>
      <c r="JHI12" s="2"/>
      <c r="JHJ12" s="2"/>
      <c r="JHK12" s="2"/>
      <c r="JHL12" s="2"/>
      <c r="JHM12" s="2"/>
      <c r="JHN12" s="2"/>
      <c r="JHO12" s="2"/>
      <c r="JHP12" s="2"/>
      <c r="JHQ12" s="2"/>
      <c r="JHR12" s="2"/>
      <c r="JHS12" s="2"/>
      <c r="JHT12" s="2"/>
      <c r="JHU12" s="2"/>
      <c r="JHV12" s="2"/>
      <c r="JHW12" s="2"/>
      <c r="JHX12" s="2"/>
      <c r="JHY12" s="2"/>
      <c r="JHZ12" s="2"/>
      <c r="JIA12" s="2"/>
      <c r="JIB12" s="2"/>
      <c r="JIC12" s="2"/>
      <c r="JID12" s="2"/>
      <c r="JIE12" s="2"/>
      <c r="JIF12" s="2"/>
      <c r="JIG12" s="2"/>
      <c r="JIH12" s="2"/>
      <c r="JII12" s="2"/>
      <c r="JIJ12" s="2"/>
      <c r="JIK12" s="2"/>
      <c r="JIL12" s="2"/>
      <c r="JIM12" s="2"/>
      <c r="JIN12" s="2"/>
      <c r="JIO12" s="2"/>
      <c r="JIP12" s="2"/>
      <c r="JIQ12" s="2"/>
      <c r="JIR12" s="2"/>
      <c r="JIS12" s="2"/>
      <c r="JIT12" s="2"/>
      <c r="JIU12" s="2"/>
      <c r="JIV12" s="2"/>
      <c r="JIW12" s="2"/>
      <c r="JIX12" s="2"/>
      <c r="JIY12" s="2"/>
      <c r="JIZ12" s="2"/>
      <c r="JJA12" s="2"/>
      <c r="JJB12" s="2"/>
      <c r="JJC12" s="2"/>
      <c r="JJD12" s="2"/>
      <c r="JJE12" s="2"/>
      <c r="JJF12" s="2"/>
      <c r="JJG12" s="2"/>
      <c r="JJH12" s="2"/>
      <c r="JJI12" s="2"/>
      <c r="JJJ12" s="2"/>
      <c r="JJK12" s="2"/>
      <c r="JJL12" s="2"/>
      <c r="JJM12" s="2"/>
      <c r="JJN12" s="2"/>
      <c r="JJO12" s="2"/>
      <c r="JJP12" s="2"/>
      <c r="JJQ12" s="2"/>
      <c r="JJR12" s="2"/>
      <c r="JJS12" s="2"/>
      <c r="JJT12" s="2"/>
      <c r="JJU12" s="2"/>
      <c r="JJV12" s="2"/>
      <c r="JJW12" s="2"/>
      <c r="JJX12" s="2"/>
      <c r="JJY12" s="2"/>
      <c r="JJZ12" s="2"/>
      <c r="JKA12" s="2"/>
      <c r="JKB12" s="2"/>
      <c r="JKC12" s="2"/>
      <c r="JKD12" s="2"/>
      <c r="JKE12" s="2"/>
      <c r="JKF12" s="2"/>
      <c r="JKG12" s="2"/>
      <c r="JKH12" s="2"/>
      <c r="JKI12" s="2"/>
      <c r="JKJ12" s="2"/>
      <c r="JKK12" s="2"/>
      <c r="JKL12" s="2"/>
      <c r="JKM12" s="2"/>
      <c r="JKN12" s="2"/>
      <c r="JKO12" s="2"/>
      <c r="JKP12" s="2"/>
      <c r="JKQ12" s="2"/>
      <c r="JKR12" s="2"/>
      <c r="JKS12" s="2"/>
      <c r="JKT12" s="2"/>
      <c r="JKU12" s="2"/>
      <c r="JKV12" s="2"/>
      <c r="JKW12" s="2"/>
      <c r="JKX12" s="2"/>
      <c r="JKY12" s="2"/>
      <c r="JKZ12" s="2"/>
      <c r="JLA12" s="2"/>
      <c r="JLB12" s="2"/>
      <c r="JLC12" s="2"/>
      <c r="JLD12" s="2"/>
      <c r="JLE12" s="2"/>
      <c r="JLF12" s="2"/>
      <c r="JLG12" s="2"/>
      <c r="JLH12" s="2"/>
      <c r="JLI12" s="2"/>
      <c r="JLJ12" s="2"/>
      <c r="JLK12" s="2"/>
      <c r="JLL12" s="2"/>
      <c r="JLM12" s="2"/>
      <c r="JLN12" s="2"/>
      <c r="JLO12" s="2"/>
      <c r="JLP12" s="2"/>
      <c r="JLQ12" s="2"/>
      <c r="JLR12" s="2"/>
      <c r="JLS12" s="2"/>
      <c r="JLT12" s="2"/>
      <c r="JLU12" s="2"/>
      <c r="JLV12" s="2"/>
      <c r="JLW12" s="2"/>
      <c r="JLX12" s="2"/>
      <c r="JLY12" s="2"/>
      <c r="JLZ12" s="2"/>
      <c r="JMA12" s="2"/>
      <c r="JMB12" s="2"/>
      <c r="JMC12" s="2"/>
      <c r="JMD12" s="2"/>
      <c r="JME12" s="2"/>
      <c r="JMF12" s="2"/>
      <c r="JMG12" s="2"/>
      <c r="JMH12" s="2"/>
      <c r="JMI12" s="2"/>
      <c r="JMJ12" s="2"/>
      <c r="JMK12" s="2"/>
      <c r="JML12" s="2"/>
      <c r="JMM12" s="2"/>
      <c r="JMN12" s="2"/>
      <c r="JMO12" s="2"/>
      <c r="JMP12" s="2"/>
      <c r="JMQ12" s="2"/>
      <c r="JMR12" s="2"/>
      <c r="JMS12" s="2"/>
      <c r="JMT12" s="2"/>
      <c r="JMU12" s="2"/>
      <c r="JMV12" s="2"/>
      <c r="JMW12" s="2"/>
      <c r="JMX12" s="2"/>
      <c r="JMY12" s="2"/>
      <c r="JMZ12" s="2"/>
      <c r="JNA12" s="2"/>
      <c r="JNB12" s="2"/>
      <c r="JNC12" s="2"/>
      <c r="JND12" s="2"/>
      <c r="JNE12" s="2"/>
      <c r="JNF12" s="2"/>
      <c r="JNG12" s="2"/>
      <c r="JNH12" s="2"/>
      <c r="JNI12" s="2"/>
      <c r="JNJ12" s="2"/>
      <c r="JNK12" s="2"/>
      <c r="JNL12" s="2"/>
      <c r="JNM12" s="2"/>
      <c r="JNN12" s="2"/>
      <c r="JNO12" s="2"/>
      <c r="JNP12" s="2"/>
      <c r="JNQ12" s="2"/>
      <c r="JNR12" s="2"/>
      <c r="JNS12" s="2"/>
      <c r="JNT12" s="2"/>
      <c r="JNU12" s="2"/>
      <c r="JNV12" s="2"/>
      <c r="JNW12" s="2"/>
      <c r="JNX12" s="2"/>
      <c r="JNY12" s="2"/>
      <c r="JNZ12" s="2"/>
      <c r="JOA12" s="2"/>
      <c r="JOB12" s="2"/>
      <c r="JOC12" s="2"/>
      <c r="JOD12" s="2"/>
      <c r="JOE12" s="2"/>
      <c r="JOF12" s="2"/>
      <c r="JOG12" s="2"/>
      <c r="JOH12" s="2"/>
      <c r="JOI12" s="2"/>
      <c r="JOJ12" s="2"/>
      <c r="JOK12" s="2"/>
      <c r="JOL12" s="2"/>
      <c r="JOM12" s="2"/>
      <c r="JON12" s="2"/>
      <c r="JOO12" s="2"/>
      <c r="JOP12" s="2"/>
      <c r="JOQ12" s="2"/>
      <c r="JOR12" s="2"/>
      <c r="JOS12" s="2"/>
      <c r="JOT12" s="2"/>
      <c r="JOU12" s="2"/>
      <c r="JOV12" s="2"/>
      <c r="JOW12" s="2"/>
      <c r="JOX12" s="2"/>
      <c r="JOY12" s="2"/>
      <c r="JOZ12" s="2"/>
      <c r="JPA12" s="2"/>
      <c r="JPB12" s="2"/>
      <c r="JPC12" s="2"/>
      <c r="JPD12" s="2"/>
      <c r="JPE12" s="2"/>
      <c r="JPF12" s="2"/>
      <c r="JPG12" s="2"/>
      <c r="JPH12" s="2"/>
      <c r="JPI12" s="2"/>
      <c r="JPJ12" s="2"/>
      <c r="JPK12" s="2"/>
      <c r="JPL12" s="2"/>
      <c r="JPM12" s="2"/>
      <c r="JPN12" s="2"/>
      <c r="JPO12" s="2"/>
      <c r="JPP12" s="2"/>
      <c r="JPQ12" s="2"/>
      <c r="JPR12" s="2"/>
      <c r="JPS12" s="2"/>
      <c r="JPT12" s="2"/>
      <c r="JPU12" s="2"/>
      <c r="JPV12" s="2"/>
      <c r="JPW12" s="2"/>
      <c r="JPX12" s="2"/>
      <c r="JPY12" s="2"/>
      <c r="JPZ12" s="2"/>
      <c r="JQA12" s="2"/>
      <c r="JQB12" s="2"/>
      <c r="JQC12" s="2"/>
      <c r="JQD12" s="2"/>
      <c r="JQE12" s="2"/>
      <c r="JQF12" s="2"/>
      <c r="JQG12" s="2"/>
      <c r="JQH12" s="2"/>
      <c r="JQI12" s="2"/>
      <c r="JQJ12" s="2"/>
      <c r="JQK12" s="2"/>
      <c r="JQL12" s="2"/>
      <c r="JQM12" s="2"/>
      <c r="JQN12" s="2"/>
      <c r="JQO12" s="2"/>
      <c r="JQP12" s="2"/>
      <c r="JQQ12" s="2"/>
      <c r="JQR12" s="2"/>
      <c r="JQS12" s="2"/>
      <c r="JQT12" s="2"/>
      <c r="JQU12" s="2"/>
      <c r="JQV12" s="2"/>
      <c r="JQW12" s="2"/>
      <c r="JQX12" s="2"/>
      <c r="JQY12" s="2"/>
      <c r="JQZ12" s="2"/>
      <c r="JRA12" s="2"/>
      <c r="JRB12" s="2"/>
      <c r="JRC12" s="2"/>
      <c r="JRD12" s="2"/>
      <c r="JRE12" s="2"/>
      <c r="JRF12" s="2"/>
      <c r="JRG12" s="2"/>
      <c r="JRH12" s="2"/>
      <c r="JRI12" s="2"/>
      <c r="JRJ12" s="2"/>
      <c r="JRK12" s="2"/>
      <c r="JRL12" s="2"/>
      <c r="JRM12" s="2"/>
      <c r="JRN12" s="2"/>
      <c r="JRO12" s="2"/>
      <c r="JRP12" s="2"/>
      <c r="JRQ12" s="2"/>
      <c r="JRR12" s="2"/>
      <c r="JRS12" s="2"/>
      <c r="JRT12" s="2"/>
      <c r="JRU12" s="2"/>
      <c r="JRV12" s="2"/>
      <c r="JRW12" s="2"/>
      <c r="JRX12" s="2"/>
      <c r="JRY12" s="2"/>
      <c r="JRZ12" s="2"/>
      <c r="JSA12" s="2"/>
      <c r="JSB12" s="2"/>
      <c r="JSC12" s="2"/>
      <c r="JSD12" s="2"/>
      <c r="JSE12" s="2"/>
      <c r="JSF12" s="2"/>
      <c r="JSG12" s="2"/>
      <c r="JSH12" s="2"/>
      <c r="JSI12" s="2"/>
      <c r="JSJ12" s="2"/>
      <c r="JSK12" s="2"/>
      <c r="JSL12" s="2"/>
      <c r="JSM12" s="2"/>
      <c r="JSN12" s="2"/>
      <c r="JSO12" s="2"/>
      <c r="JSP12" s="2"/>
      <c r="JSQ12" s="2"/>
      <c r="JSR12" s="2"/>
      <c r="JSS12" s="2"/>
      <c r="JST12" s="2"/>
      <c r="JSU12" s="2"/>
      <c r="JSV12" s="2"/>
      <c r="JSW12" s="2"/>
      <c r="JSX12" s="2"/>
      <c r="JSY12" s="2"/>
      <c r="JSZ12" s="2"/>
      <c r="JTA12" s="2"/>
      <c r="JTB12" s="2"/>
      <c r="JTC12" s="2"/>
      <c r="JTD12" s="2"/>
      <c r="JTE12" s="2"/>
      <c r="JTF12" s="2"/>
      <c r="JTG12" s="2"/>
      <c r="JTH12" s="2"/>
      <c r="JTI12" s="2"/>
      <c r="JTJ12" s="2"/>
      <c r="JTK12" s="2"/>
      <c r="JTL12" s="2"/>
      <c r="JTM12" s="2"/>
      <c r="JTN12" s="2"/>
      <c r="JTO12" s="2"/>
      <c r="JTP12" s="2"/>
      <c r="JTQ12" s="2"/>
      <c r="JTR12" s="2"/>
      <c r="JTS12" s="2"/>
      <c r="JTT12" s="2"/>
      <c r="JTU12" s="2"/>
      <c r="JTV12" s="2"/>
      <c r="JTW12" s="2"/>
      <c r="JTX12" s="2"/>
      <c r="JTY12" s="2"/>
      <c r="JTZ12" s="2"/>
      <c r="JUA12" s="2"/>
      <c r="JUB12" s="2"/>
      <c r="JUC12" s="2"/>
      <c r="JUD12" s="2"/>
      <c r="JUE12" s="2"/>
      <c r="JUF12" s="2"/>
      <c r="JUG12" s="2"/>
      <c r="JUH12" s="2"/>
      <c r="JUI12" s="2"/>
      <c r="JUJ12" s="2"/>
      <c r="JUK12" s="2"/>
      <c r="JUL12" s="2"/>
      <c r="JUM12" s="2"/>
      <c r="JUN12" s="2"/>
      <c r="JUO12" s="2"/>
      <c r="JUP12" s="2"/>
      <c r="JUQ12" s="2"/>
      <c r="JUR12" s="2"/>
      <c r="JUS12" s="2"/>
      <c r="JUT12" s="2"/>
      <c r="JUU12" s="2"/>
      <c r="JUV12" s="2"/>
      <c r="JUW12" s="2"/>
      <c r="JUX12" s="2"/>
      <c r="JUY12" s="2"/>
      <c r="JUZ12" s="2"/>
      <c r="JVA12" s="2"/>
      <c r="JVB12" s="2"/>
      <c r="JVC12" s="2"/>
      <c r="JVD12" s="2"/>
      <c r="JVE12" s="2"/>
      <c r="JVF12" s="2"/>
      <c r="JVG12" s="2"/>
      <c r="JVH12" s="2"/>
      <c r="JVI12" s="2"/>
      <c r="JVJ12" s="2"/>
      <c r="JVK12" s="2"/>
      <c r="JVL12" s="2"/>
      <c r="JVM12" s="2"/>
      <c r="JVN12" s="2"/>
      <c r="JVO12" s="2"/>
      <c r="JVP12" s="2"/>
      <c r="JVQ12" s="2"/>
      <c r="JVR12" s="2"/>
      <c r="JVS12" s="2"/>
      <c r="JVT12" s="2"/>
      <c r="JVU12" s="2"/>
      <c r="JVV12" s="2"/>
      <c r="JVW12" s="2"/>
      <c r="JVX12" s="2"/>
      <c r="JVY12" s="2"/>
      <c r="JVZ12" s="2"/>
      <c r="JWA12" s="2"/>
      <c r="JWB12" s="2"/>
      <c r="JWC12" s="2"/>
      <c r="JWD12" s="2"/>
      <c r="JWE12" s="2"/>
      <c r="JWF12" s="2"/>
      <c r="JWG12" s="2"/>
      <c r="JWH12" s="2"/>
      <c r="JWI12" s="2"/>
      <c r="JWJ12" s="2"/>
      <c r="JWK12" s="2"/>
      <c r="JWL12" s="2"/>
      <c r="JWM12" s="2"/>
      <c r="JWN12" s="2"/>
      <c r="JWO12" s="2"/>
      <c r="JWP12" s="2"/>
      <c r="JWQ12" s="2"/>
      <c r="JWR12" s="2"/>
      <c r="JWS12" s="2"/>
      <c r="JWT12" s="2"/>
      <c r="JWU12" s="2"/>
      <c r="JWV12" s="2"/>
      <c r="JWW12" s="2"/>
      <c r="JWX12" s="2"/>
      <c r="JWY12" s="2"/>
      <c r="JWZ12" s="2"/>
      <c r="JXA12" s="2"/>
      <c r="JXB12" s="2"/>
      <c r="JXC12" s="2"/>
      <c r="JXD12" s="2"/>
      <c r="JXE12" s="2"/>
      <c r="JXF12" s="2"/>
      <c r="JXG12" s="2"/>
      <c r="JXH12" s="2"/>
      <c r="JXI12" s="2"/>
      <c r="JXJ12" s="2"/>
      <c r="JXK12" s="2"/>
      <c r="JXL12" s="2"/>
      <c r="JXM12" s="2"/>
      <c r="JXN12" s="2"/>
      <c r="JXO12" s="2"/>
      <c r="JXP12" s="2"/>
      <c r="JXQ12" s="2"/>
      <c r="JXR12" s="2"/>
      <c r="JXS12" s="2"/>
      <c r="JXT12" s="2"/>
      <c r="JXU12" s="2"/>
      <c r="JXV12" s="2"/>
      <c r="JXW12" s="2"/>
      <c r="JXX12" s="2"/>
      <c r="JXY12" s="2"/>
      <c r="JXZ12" s="2"/>
      <c r="JYA12" s="2"/>
      <c r="JYB12" s="2"/>
      <c r="JYC12" s="2"/>
      <c r="JYD12" s="2"/>
      <c r="JYE12" s="2"/>
      <c r="JYF12" s="2"/>
      <c r="JYG12" s="2"/>
      <c r="JYH12" s="2"/>
      <c r="JYI12" s="2"/>
      <c r="JYJ12" s="2"/>
      <c r="JYK12" s="2"/>
      <c r="JYL12" s="2"/>
      <c r="JYM12" s="2"/>
      <c r="JYN12" s="2"/>
      <c r="JYO12" s="2"/>
      <c r="JYP12" s="2"/>
      <c r="JYQ12" s="2"/>
      <c r="JYR12" s="2"/>
      <c r="JYS12" s="2"/>
      <c r="JYT12" s="2"/>
      <c r="JYU12" s="2"/>
      <c r="JYV12" s="2"/>
      <c r="JYW12" s="2"/>
      <c r="JYX12" s="2"/>
      <c r="JYY12" s="2"/>
      <c r="JYZ12" s="2"/>
      <c r="JZA12" s="2"/>
      <c r="JZB12" s="2"/>
      <c r="JZC12" s="2"/>
      <c r="JZD12" s="2"/>
      <c r="JZE12" s="2"/>
      <c r="JZF12" s="2"/>
      <c r="JZG12" s="2"/>
      <c r="JZH12" s="2"/>
      <c r="JZI12" s="2"/>
      <c r="JZJ12" s="2"/>
      <c r="JZK12" s="2"/>
      <c r="JZL12" s="2"/>
      <c r="JZM12" s="2"/>
      <c r="JZN12" s="2"/>
      <c r="JZO12" s="2"/>
      <c r="JZP12" s="2"/>
      <c r="JZQ12" s="2"/>
      <c r="JZR12" s="2"/>
      <c r="JZS12" s="2"/>
      <c r="JZT12" s="2"/>
      <c r="JZU12" s="2"/>
      <c r="JZV12" s="2"/>
      <c r="JZW12" s="2"/>
      <c r="JZX12" s="2"/>
      <c r="JZY12" s="2"/>
      <c r="JZZ12" s="2"/>
      <c r="KAA12" s="2"/>
      <c r="KAB12" s="2"/>
      <c r="KAC12" s="2"/>
      <c r="KAD12" s="2"/>
      <c r="KAE12" s="2"/>
      <c r="KAF12" s="2"/>
      <c r="KAG12" s="2"/>
      <c r="KAH12" s="2"/>
      <c r="KAI12" s="2"/>
      <c r="KAJ12" s="2"/>
      <c r="KAK12" s="2"/>
      <c r="KAL12" s="2"/>
      <c r="KAM12" s="2"/>
      <c r="KAN12" s="2"/>
      <c r="KAO12" s="2"/>
      <c r="KAP12" s="2"/>
      <c r="KAQ12" s="2"/>
      <c r="KAR12" s="2"/>
      <c r="KAS12" s="2"/>
      <c r="KAT12" s="2"/>
      <c r="KAU12" s="2"/>
      <c r="KAV12" s="2"/>
      <c r="KAW12" s="2"/>
      <c r="KAX12" s="2"/>
      <c r="KAY12" s="2"/>
      <c r="KAZ12" s="2"/>
      <c r="KBA12" s="2"/>
      <c r="KBB12" s="2"/>
      <c r="KBC12" s="2"/>
      <c r="KBD12" s="2"/>
      <c r="KBE12" s="2"/>
      <c r="KBF12" s="2"/>
      <c r="KBG12" s="2"/>
      <c r="KBH12" s="2"/>
      <c r="KBI12" s="2"/>
      <c r="KBJ12" s="2"/>
      <c r="KBK12" s="2"/>
      <c r="KBL12" s="2"/>
      <c r="KBM12" s="2"/>
      <c r="KBN12" s="2"/>
      <c r="KBO12" s="2"/>
      <c r="KBP12" s="2"/>
      <c r="KBQ12" s="2"/>
      <c r="KBR12" s="2"/>
      <c r="KBS12" s="2"/>
      <c r="KBT12" s="2"/>
      <c r="KBU12" s="2"/>
      <c r="KBV12" s="2"/>
      <c r="KBW12" s="2"/>
      <c r="KBX12" s="2"/>
      <c r="KBY12" s="2"/>
      <c r="KBZ12" s="2"/>
      <c r="KCA12" s="2"/>
      <c r="KCB12" s="2"/>
      <c r="KCC12" s="2"/>
      <c r="KCD12" s="2"/>
      <c r="KCE12" s="2"/>
      <c r="KCF12" s="2"/>
      <c r="KCG12" s="2"/>
      <c r="KCH12" s="2"/>
      <c r="KCI12" s="2"/>
      <c r="KCJ12" s="2"/>
      <c r="KCK12" s="2"/>
      <c r="KCL12" s="2"/>
      <c r="KCM12" s="2"/>
      <c r="KCN12" s="2"/>
      <c r="KCO12" s="2"/>
      <c r="KCP12" s="2"/>
      <c r="KCQ12" s="2"/>
      <c r="KCR12" s="2"/>
      <c r="KCS12" s="2"/>
      <c r="KCT12" s="2"/>
      <c r="KCU12" s="2"/>
      <c r="KCV12" s="2"/>
      <c r="KCW12" s="2"/>
      <c r="KCX12" s="2"/>
      <c r="KCY12" s="2"/>
      <c r="KCZ12" s="2"/>
      <c r="KDA12" s="2"/>
      <c r="KDB12" s="2"/>
      <c r="KDC12" s="2"/>
      <c r="KDD12" s="2"/>
      <c r="KDE12" s="2"/>
      <c r="KDF12" s="2"/>
      <c r="KDG12" s="2"/>
      <c r="KDH12" s="2"/>
      <c r="KDI12" s="2"/>
      <c r="KDJ12" s="2"/>
      <c r="KDK12" s="2"/>
      <c r="KDL12" s="2"/>
      <c r="KDM12" s="2"/>
      <c r="KDN12" s="2"/>
      <c r="KDO12" s="2"/>
      <c r="KDP12" s="2"/>
      <c r="KDQ12" s="2"/>
      <c r="KDR12" s="2"/>
      <c r="KDS12" s="2"/>
      <c r="KDT12" s="2"/>
      <c r="KDU12" s="2"/>
      <c r="KDV12" s="2"/>
      <c r="KDW12" s="2"/>
      <c r="KDX12" s="2"/>
      <c r="KDY12" s="2"/>
      <c r="KDZ12" s="2"/>
      <c r="KEA12" s="2"/>
      <c r="KEB12" s="2"/>
      <c r="KEC12" s="2"/>
      <c r="KED12" s="2"/>
      <c r="KEE12" s="2"/>
      <c r="KEF12" s="2"/>
      <c r="KEG12" s="2"/>
      <c r="KEH12" s="2"/>
      <c r="KEI12" s="2"/>
      <c r="KEJ12" s="2"/>
      <c r="KEK12" s="2"/>
      <c r="KEL12" s="2"/>
      <c r="KEM12" s="2"/>
      <c r="KEN12" s="2"/>
      <c r="KEO12" s="2"/>
      <c r="KEP12" s="2"/>
      <c r="KEQ12" s="2"/>
      <c r="KER12" s="2"/>
      <c r="KES12" s="2"/>
      <c r="KET12" s="2"/>
      <c r="KEU12" s="2"/>
      <c r="KEV12" s="2"/>
      <c r="KEW12" s="2"/>
      <c r="KEX12" s="2"/>
      <c r="KEY12" s="2"/>
      <c r="KEZ12" s="2"/>
      <c r="KFA12" s="2"/>
      <c r="KFB12" s="2"/>
      <c r="KFC12" s="2"/>
      <c r="KFD12" s="2"/>
      <c r="KFE12" s="2"/>
      <c r="KFF12" s="2"/>
      <c r="KFG12" s="2"/>
      <c r="KFH12" s="2"/>
      <c r="KFI12" s="2"/>
      <c r="KFJ12" s="2"/>
      <c r="KFK12" s="2"/>
      <c r="KFL12" s="2"/>
      <c r="KFM12" s="2"/>
      <c r="KFN12" s="2"/>
      <c r="KFO12" s="2"/>
      <c r="KFP12" s="2"/>
      <c r="KFQ12" s="2"/>
      <c r="KFR12" s="2"/>
      <c r="KFS12" s="2"/>
      <c r="KFT12" s="2"/>
      <c r="KFU12" s="2"/>
      <c r="KFV12" s="2"/>
      <c r="KFW12" s="2"/>
      <c r="KFX12" s="2"/>
      <c r="KFY12" s="2"/>
      <c r="KFZ12" s="2"/>
      <c r="KGA12" s="2"/>
      <c r="KGB12" s="2"/>
      <c r="KGC12" s="2"/>
      <c r="KGD12" s="2"/>
      <c r="KGE12" s="2"/>
      <c r="KGF12" s="2"/>
      <c r="KGG12" s="2"/>
      <c r="KGH12" s="2"/>
      <c r="KGI12" s="2"/>
      <c r="KGJ12" s="2"/>
      <c r="KGK12" s="2"/>
      <c r="KGL12" s="2"/>
      <c r="KGM12" s="2"/>
      <c r="KGN12" s="2"/>
      <c r="KGO12" s="2"/>
      <c r="KGP12" s="2"/>
      <c r="KGQ12" s="2"/>
      <c r="KGR12" s="2"/>
      <c r="KGS12" s="2"/>
      <c r="KGT12" s="2"/>
      <c r="KGU12" s="2"/>
      <c r="KGV12" s="2"/>
      <c r="KGW12" s="2"/>
      <c r="KGX12" s="2"/>
      <c r="KGY12" s="2"/>
      <c r="KGZ12" s="2"/>
      <c r="KHA12" s="2"/>
      <c r="KHB12" s="2"/>
      <c r="KHC12" s="2"/>
      <c r="KHD12" s="2"/>
      <c r="KHE12" s="2"/>
      <c r="KHF12" s="2"/>
      <c r="KHG12" s="2"/>
      <c r="KHH12" s="2"/>
      <c r="KHI12" s="2"/>
      <c r="KHJ12" s="2"/>
      <c r="KHK12" s="2"/>
      <c r="KHL12" s="2"/>
      <c r="KHM12" s="2"/>
      <c r="KHN12" s="2"/>
      <c r="KHO12" s="2"/>
      <c r="KHP12" s="2"/>
      <c r="KHQ12" s="2"/>
      <c r="KHR12" s="2"/>
      <c r="KHS12" s="2"/>
      <c r="KHT12" s="2"/>
      <c r="KHU12" s="2"/>
      <c r="KHV12" s="2"/>
      <c r="KHW12" s="2"/>
      <c r="KHX12" s="2"/>
      <c r="KHY12" s="2"/>
      <c r="KHZ12" s="2"/>
      <c r="KIA12" s="2"/>
      <c r="KIB12" s="2"/>
      <c r="KIC12" s="2"/>
      <c r="KID12" s="2"/>
      <c r="KIE12" s="2"/>
      <c r="KIF12" s="2"/>
      <c r="KIG12" s="2"/>
      <c r="KIH12" s="2"/>
      <c r="KII12" s="2"/>
      <c r="KIJ12" s="2"/>
      <c r="KIK12" s="2"/>
      <c r="KIL12" s="2"/>
      <c r="KIM12" s="2"/>
      <c r="KIN12" s="2"/>
      <c r="KIO12" s="2"/>
      <c r="KIP12" s="2"/>
      <c r="KIQ12" s="2"/>
      <c r="KIR12" s="2"/>
      <c r="KIS12" s="2"/>
      <c r="KIT12" s="2"/>
      <c r="KIU12" s="2"/>
      <c r="KIV12" s="2"/>
      <c r="KIW12" s="2"/>
      <c r="KIX12" s="2"/>
      <c r="KIY12" s="2"/>
      <c r="KIZ12" s="2"/>
      <c r="KJA12" s="2"/>
      <c r="KJB12" s="2"/>
      <c r="KJC12" s="2"/>
      <c r="KJD12" s="2"/>
      <c r="KJE12" s="2"/>
      <c r="KJF12" s="2"/>
      <c r="KJG12" s="2"/>
      <c r="KJH12" s="2"/>
      <c r="KJI12" s="2"/>
      <c r="KJJ12" s="2"/>
      <c r="KJK12" s="2"/>
      <c r="KJL12" s="2"/>
      <c r="KJM12" s="2"/>
      <c r="KJN12" s="2"/>
      <c r="KJO12" s="2"/>
      <c r="KJP12" s="2"/>
      <c r="KJQ12" s="2"/>
      <c r="KJR12" s="2"/>
      <c r="KJS12" s="2"/>
      <c r="KJT12" s="2"/>
      <c r="KJU12" s="2"/>
      <c r="KJV12" s="2"/>
      <c r="KJW12" s="2"/>
      <c r="KJX12" s="2"/>
      <c r="KJY12" s="2"/>
      <c r="KJZ12" s="2"/>
      <c r="KKA12" s="2"/>
      <c r="KKB12" s="2"/>
      <c r="KKC12" s="2"/>
      <c r="KKD12" s="2"/>
      <c r="KKE12" s="2"/>
      <c r="KKF12" s="2"/>
      <c r="KKG12" s="2"/>
      <c r="KKH12" s="2"/>
      <c r="KKI12" s="2"/>
      <c r="KKJ12" s="2"/>
      <c r="KKK12" s="2"/>
      <c r="KKL12" s="2"/>
      <c r="KKM12" s="2"/>
      <c r="KKN12" s="2"/>
      <c r="KKO12" s="2"/>
      <c r="KKP12" s="2"/>
      <c r="KKQ12" s="2"/>
      <c r="KKR12" s="2"/>
      <c r="KKS12" s="2"/>
      <c r="KKT12" s="2"/>
      <c r="KKU12" s="2"/>
      <c r="KKV12" s="2"/>
      <c r="KKW12" s="2"/>
      <c r="KKX12" s="2"/>
      <c r="KKY12" s="2"/>
      <c r="KKZ12" s="2"/>
      <c r="KLA12" s="2"/>
      <c r="KLB12" s="2"/>
      <c r="KLC12" s="2"/>
      <c r="KLD12" s="2"/>
      <c r="KLE12" s="2"/>
      <c r="KLF12" s="2"/>
      <c r="KLG12" s="2"/>
      <c r="KLH12" s="2"/>
      <c r="KLI12" s="2"/>
      <c r="KLJ12" s="2"/>
      <c r="KLK12" s="2"/>
      <c r="KLL12" s="2"/>
      <c r="KLM12" s="2"/>
      <c r="KLN12" s="2"/>
      <c r="KLO12" s="2"/>
      <c r="KLP12" s="2"/>
      <c r="KLQ12" s="2"/>
      <c r="KLR12" s="2"/>
      <c r="KLS12" s="2"/>
      <c r="KLT12" s="2"/>
      <c r="KLU12" s="2"/>
      <c r="KLV12" s="2"/>
      <c r="KLW12" s="2"/>
      <c r="KLX12" s="2"/>
      <c r="KLY12" s="2"/>
      <c r="KLZ12" s="2"/>
      <c r="KMA12" s="2"/>
      <c r="KMB12" s="2"/>
      <c r="KMC12" s="2"/>
      <c r="KMD12" s="2"/>
      <c r="KME12" s="2"/>
      <c r="KMF12" s="2"/>
      <c r="KMG12" s="2"/>
      <c r="KMH12" s="2"/>
      <c r="KMI12" s="2"/>
      <c r="KMJ12" s="2"/>
      <c r="KMK12" s="2"/>
      <c r="KML12" s="2"/>
      <c r="KMM12" s="2"/>
      <c r="KMN12" s="2"/>
      <c r="KMO12" s="2"/>
      <c r="KMP12" s="2"/>
      <c r="KMQ12" s="2"/>
      <c r="KMR12" s="2"/>
      <c r="KMS12" s="2"/>
      <c r="KMT12" s="2"/>
      <c r="KMU12" s="2"/>
      <c r="KMV12" s="2"/>
      <c r="KMW12" s="2"/>
      <c r="KMX12" s="2"/>
      <c r="KMY12" s="2"/>
      <c r="KMZ12" s="2"/>
      <c r="KNA12" s="2"/>
      <c r="KNB12" s="2"/>
      <c r="KNC12" s="2"/>
      <c r="KND12" s="2"/>
      <c r="KNE12" s="2"/>
      <c r="KNF12" s="2"/>
      <c r="KNG12" s="2"/>
      <c r="KNH12" s="2"/>
      <c r="KNI12" s="2"/>
      <c r="KNJ12" s="2"/>
      <c r="KNK12" s="2"/>
      <c r="KNL12" s="2"/>
      <c r="KNM12" s="2"/>
      <c r="KNN12" s="2"/>
      <c r="KNO12" s="2"/>
      <c r="KNP12" s="2"/>
      <c r="KNQ12" s="2"/>
      <c r="KNR12" s="2"/>
      <c r="KNS12" s="2"/>
      <c r="KNT12" s="2"/>
      <c r="KNU12" s="2"/>
      <c r="KNV12" s="2"/>
      <c r="KNW12" s="2"/>
      <c r="KNX12" s="2"/>
      <c r="KNY12" s="2"/>
      <c r="KNZ12" s="2"/>
      <c r="KOA12" s="2"/>
      <c r="KOB12" s="2"/>
      <c r="KOC12" s="2"/>
      <c r="KOD12" s="2"/>
      <c r="KOE12" s="2"/>
      <c r="KOF12" s="2"/>
      <c r="KOG12" s="2"/>
      <c r="KOH12" s="2"/>
      <c r="KOI12" s="2"/>
      <c r="KOJ12" s="2"/>
      <c r="KOK12" s="2"/>
      <c r="KOL12" s="2"/>
      <c r="KOM12" s="2"/>
      <c r="KON12" s="2"/>
      <c r="KOO12" s="2"/>
      <c r="KOP12" s="2"/>
      <c r="KOQ12" s="2"/>
      <c r="KOR12" s="2"/>
      <c r="KOS12" s="2"/>
      <c r="KOT12" s="2"/>
      <c r="KOU12" s="2"/>
      <c r="KOV12" s="2"/>
      <c r="KOW12" s="2"/>
      <c r="KOX12" s="2"/>
      <c r="KOY12" s="2"/>
      <c r="KOZ12" s="2"/>
      <c r="KPA12" s="2"/>
      <c r="KPB12" s="2"/>
      <c r="KPC12" s="2"/>
      <c r="KPD12" s="2"/>
      <c r="KPE12" s="2"/>
      <c r="KPF12" s="2"/>
      <c r="KPG12" s="2"/>
      <c r="KPH12" s="2"/>
      <c r="KPI12" s="2"/>
      <c r="KPJ12" s="2"/>
      <c r="KPK12" s="2"/>
      <c r="KPL12" s="2"/>
      <c r="KPM12" s="2"/>
      <c r="KPN12" s="2"/>
      <c r="KPO12" s="2"/>
      <c r="KPP12" s="2"/>
      <c r="KPQ12" s="2"/>
      <c r="KPR12" s="2"/>
      <c r="KPS12" s="2"/>
      <c r="KPT12" s="2"/>
      <c r="KPU12" s="2"/>
      <c r="KPV12" s="2"/>
      <c r="KPW12" s="2"/>
      <c r="KPX12" s="2"/>
      <c r="KPY12" s="2"/>
      <c r="KPZ12" s="2"/>
      <c r="KQA12" s="2"/>
      <c r="KQB12" s="2"/>
      <c r="KQC12" s="2"/>
      <c r="KQD12" s="2"/>
      <c r="KQE12" s="2"/>
      <c r="KQF12" s="2"/>
      <c r="KQG12" s="2"/>
      <c r="KQH12" s="2"/>
      <c r="KQI12" s="2"/>
      <c r="KQJ12" s="2"/>
      <c r="KQK12" s="2"/>
      <c r="KQL12" s="2"/>
      <c r="KQM12" s="2"/>
      <c r="KQN12" s="2"/>
      <c r="KQO12" s="2"/>
      <c r="KQP12" s="2"/>
      <c r="KQQ12" s="2"/>
      <c r="KQR12" s="2"/>
      <c r="KQS12" s="2"/>
      <c r="KQT12" s="2"/>
      <c r="KQU12" s="2"/>
      <c r="KQV12" s="2"/>
      <c r="KQW12" s="2"/>
      <c r="KQX12" s="2"/>
      <c r="KQY12" s="2"/>
      <c r="KQZ12" s="2"/>
      <c r="KRA12" s="2"/>
      <c r="KRB12" s="2"/>
      <c r="KRC12" s="2"/>
      <c r="KRD12" s="2"/>
      <c r="KRE12" s="2"/>
      <c r="KRF12" s="2"/>
      <c r="KRG12" s="2"/>
      <c r="KRH12" s="2"/>
      <c r="KRI12" s="2"/>
      <c r="KRJ12" s="2"/>
      <c r="KRK12" s="2"/>
      <c r="KRL12" s="2"/>
      <c r="KRM12" s="2"/>
      <c r="KRN12" s="2"/>
      <c r="KRO12" s="2"/>
      <c r="KRP12" s="2"/>
      <c r="KRQ12" s="2"/>
      <c r="KRR12" s="2"/>
      <c r="KRS12" s="2"/>
      <c r="KRT12" s="2"/>
      <c r="KRU12" s="2"/>
      <c r="KRV12" s="2"/>
      <c r="KRW12" s="2"/>
      <c r="KRX12" s="2"/>
      <c r="KRY12" s="2"/>
      <c r="KRZ12" s="2"/>
      <c r="KSA12" s="2"/>
      <c r="KSB12" s="2"/>
      <c r="KSC12" s="2"/>
      <c r="KSD12" s="2"/>
      <c r="KSE12" s="2"/>
      <c r="KSF12" s="2"/>
      <c r="KSG12" s="2"/>
      <c r="KSH12" s="2"/>
      <c r="KSI12" s="2"/>
      <c r="KSJ12" s="2"/>
      <c r="KSK12" s="2"/>
      <c r="KSL12" s="2"/>
      <c r="KSM12" s="2"/>
      <c r="KSN12" s="2"/>
      <c r="KSO12" s="2"/>
      <c r="KSP12" s="2"/>
      <c r="KSQ12" s="2"/>
      <c r="KSR12" s="2"/>
      <c r="KSS12" s="2"/>
      <c r="KST12" s="2"/>
      <c r="KSU12" s="2"/>
      <c r="KSV12" s="2"/>
      <c r="KSW12" s="2"/>
      <c r="KSX12" s="2"/>
      <c r="KSY12" s="2"/>
      <c r="KSZ12" s="2"/>
      <c r="KTA12" s="2"/>
      <c r="KTB12" s="2"/>
      <c r="KTC12" s="2"/>
      <c r="KTD12" s="2"/>
      <c r="KTE12" s="2"/>
      <c r="KTF12" s="2"/>
      <c r="KTG12" s="2"/>
      <c r="KTH12" s="2"/>
      <c r="KTI12" s="2"/>
      <c r="KTJ12" s="2"/>
      <c r="KTK12" s="2"/>
      <c r="KTL12" s="2"/>
      <c r="KTM12" s="2"/>
      <c r="KTN12" s="2"/>
      <c r="KTO12" s="2"/>
      <c r="KTP12" s="2"/>
      <c r="KTQ12" s="2"/>
      <c r="KTR12" s="2"/>
      <c r="KTS12" s="2"/>
      <c r="KTT12" s="2"/>
      <c r="KTU12" s="2"/>
      <c r="KTV12" s="2"/>
      <c r="KTW12" s="2"/>
      <c r="KTX12" s="2"/>
      <c r="KTY12" s="2"/>
      <c r="KTZ12" s="2"/>
      <c r="KUA12" s="2"/>
      <c r="KUB12" s="2"/>
      <c r="KUC12" s="2"/>
      <c r="KUD12" s="2"/>
      <c r="KUE12" s="2"/>
      <c r="KUF12" s="2"/>
      <c r="KUG12" s="2"/>
      <c r="KUH12" s="2"/>
      <c r="KUI12" s="2"/>
      <c r="KUJ12" s="2"/>
      <c r="KUK12" s="2"/>
      <c r="KUL12" s="2"/>
      <c r="KUM12" s="2"/>
      <c r="KUN12" s="2"/>
      <c r="KUO12" s="2"/>
      <c r="KUP12" s="2"/>
      <c r="KUQ12" s="2"/>
      <c r="KUR12" s="2"/>
      <c r="KUS12" s="2"/>
      <c r="KUT12" s="2"/>
      <c r="KUU12" s="2"/>
      <c r="KUV12" s="2"/>
      <c r="KUW12" s="2"/>
      <c r="KUX12" s="2"/>
      <c r="KUY12" s="2"/>
      <c r="KUZ12" s="2"/>
      <c r="KVA12" s="2"/>
      <c r="KVB12" s="2"/>
      <c r="KVC12" s="2"/>
      <c r="KVD12" s="2"/>
      <c r="KVE12" s="2"/>
      <c r="KVF12" s="2"/>
      <c r="KVG12" s="2"/>
      <c r="KVH12" s="2"/>
      <c r="KVI12" s="2"/>
      <c r="KVJ12" s="2"/>
      <c r="KVK12" s="2"/>
      <c r="KVL12" s="2"/>
      <c r="KVM12" s="2"/>
      <c r="KVN12" s="2"/>
      <c r="KVO12" s="2"/>
      <c r="KVP12" s="2"/>
      <c r="KVQ12" s="2"/>
      <c r="KVR12" s="2"/>
      <c r="KVS12" s="2"/>
      <c r="KVT12" s="2"/>
      <c r="KVU12" s="2"/>
      <c r="KVV12" s="2"/>
      <c r="KVW12" s="2"/>
      <c r="KVX12" s="2"/>
      <c r="KVY12" s="2"/>
      <c r="KVZ12" s="2"/>
      <c r="KWA12" s="2"/>
      <c r="KWB12" s="2"/>
      <c r="KWC12" s="2"/>
      <c r="KWD12" s="2"/>
      <c r="KWE12" s="2"/>
      <c r="KWF12" s="2"/>
      <c r="KWG12" s="2"/>
      <c r="KWH12" s="2"/>
      <c r="KWI12" s="2"/>
      <c r="KWJ12" s="2"/>
      <c r="KWK12" s="2"/>
      <c r="KWL12" s="2"/>
      <c r="KWM12" s="2"/>
      <c r="KWN12" s="2"/>
      <c r="KWO12" s="2"/>
      <c r="KWP12" s="2"/>
      <c r="KWQ12" s="2"/>
      <c r="KWR12" s="2"/>
      <c r="KWS12" s="2"/>
      <c r="KWT12" s="2"/>
      <c r="KWU12" s="2"/>
      <c r="KWV12" s="2"/>
      <c r="KWW12" s="2"/>
      <c r="KWX12" s="2"/>
      <c r="KWY12" s="2"/>
      <c r="KWZ12" s="2"/>
      <c r="KXA12" s="2"/>
      <c r="KXB12" s="2"/>
      <c r="KXC12" s="2"/>
      <c r="KXD12" s="2"/>
      <c r="KXE12" s="2"/>
      <c r="KXF12" s="2"/>
      <c r="KXG12" s="2"/>
      <c r="KXH12" s="2"/>
      <c r="KXI12" s="2"/>
      <c r="KXJ12" s="2"/>
      <c r="KXK12" s="2"/>
      <c r="KXL12" s="2"/>
      <c r="KXM12" s="2"/>
      <c r="KXN12" s="2"/>
      <c r="KXO12" s="2"/>
      <c r="KXP12" s="2"/>
      <c r="KXQ12" s="2"/>
      <c r="KXR12" s="2"/>
      <c r="KXS12" s="2"/>
      <c r="KXT12" s="2"/>
      <c r="KXU12" s="2"/>
      <c r="KXV12" s="2"/>
      <c r="KXW12" s="2"/>
      <c r="KXX12" s="2"/>
      <c r="KXY12" s="2"/>
      <c r="KXZ12" s="2"/>
      <c r="KYA12" s="2"/>
      <c r="KYB12" s="2"/>
      <c r="KYC12" s="2"/>
      <c r="KYD12" s="2"/>
      <c r="KYE12" s="2"/>
      <c r="KYF12" s="2"/>
      <c r="KYG12" s="2"/>
      <c r="KYH12" s="2"/>
      <c r="KYI12" s="2"/>
      <c r="KYJ12" s="2"/>
      <c r="KYK12" s="2"/>
      <c r="KYL12" s="2"/>
      <c r="KYM12" s="2"/>
      <c r="KYN12" s="2"/>
      <c r="KYO12" s="2"/>
      <c r="KYP12" s="2"/>
      <c r="KYQ12" s="2"/>
      <c r="KYR12" s="2"/>
      <c r="KYS12" s="2"/>
      <c r="KYT12" s="2"/>
      <c r="KYU12" s="2"/>
      <c r="KYV12" s="2"/>
      <c r="KYW12" s="2"/>
      <c r="KYX12" s="2"/>
      <c r="KYY12" s="2"/>
      <c r="KYZ12" s="2"/>
      <c r="KZA12" s="2"/>
      <c r="KZB12" s="2"/>
      <c r="KZC12" s="2"/>
      <c r="KZD12" s="2"/>
      <c r="KZE12" s="2"/>
      <c r="KZF12" s="2"/>
      <c r="KZG12" s="2"/>
      <c r="KZH12" s="2"/>
      <c r="KZI12" s="2"/>
      <c r="KZJ12" s="2"/>
      <c r="KZK12" s="2"/>
      <c r="KZL12" s="2"/>
      <c r="KZM12" s="2"/>
      <c r="KZN12" s="2"/>
      <c r="KZO12" s="2"/>
      <c r="KZP12" s="2"/>
      <c r="KZQ12" s="2"/>
      <c r="KZR12" s="2"/>
      <c r="KZS12" s="2"/>
      <c r="KZT12" s="2"/>
      <c r="KZU12" s="2"/>
      <c r="KZV12" s="2"/>
      <c r="KZW12" s="2"/>
      <c r="KZX12" s="2"/>
      <c r="KZY12" s="2"/>
      <c r="KZZ12" s="2"/>
      <c r="LAA12" s="2"/>
      <c r="LAB12" s="2"/>
      <c r="LAC12" s="2"/>
      <c r="LAD12" s="2"/>
      <c r="LAE12" s="2"/>
      <c r="LAF12" s="2"/>
      <c r="LAG12" s="2"/>
      <c r="LAH12" s="2"/>
      <c r="LAI12" s="2"/>
      <c r="LAJ12" s="2"/>
      <c r="LAK12" s="2"/>
      <c r="LAL12" s="2"/>
      <c r="LAM12" s="2"/>
      <c r="LAN12" s="2"/>
      <c r="LAO12" s="2"/>
      <c r="LAP12" s="2"/>
      <c r="LAQ12" s="2"/>
      <c r="LAR12" s="2"/>
      <c r="LAS12" s="2"/>
      <c r="LAT12" s="2"/>
      <c r="LAU12" s="2"/>
      <c r="LAV12" s="2"/>
      <c r="LAW12" s="2"/>
      <c r="LAX12" s="2"/>
      <c r="LAY12" s="2"/>
      <c r="LAZ12" s="2"/>
      <c r="LBA12" s="2"/>
      <c r="LBB12" s="2"/>
      <c r="LBC12" s="2"/>
      <c r="LBD12" s="2"/>
      <c r="LBE12" s="2"/>
      <c r="LBF12" s="2"/>
      <c r="LBG12" s="2"/>
      <c r="LBH12" s="2"/>
      <c r="LBI12" s="2"/>
      <c r="LBJ12" s="2"/>
      <c r="LBK12" s="2"/>
      <c r="LBL12" s="2"/>
      <c r="LBM12" s="2"/>
      <c r="LBN12" s="2"/>
      <c r="LBO12" s="2"/>
      <c r="LBP12" s="2"/>
      <c r="LBQ12" s="2"/>
      <c r="LBR12" s="2"/>
      <c r="LBS12" s="2"/>
      <c r="LBT12" s="2"/>
      <c r="LBU12" s="2"/>
      <c r="LBV12" s="2"/>
      <c r="LBW12" s="2"/>
      <c r="LBX12" s="2"/>
      <c r="LBY12" s="2"/>
      <c r="LBZ12" s="2"/>
      <c r="LCA12" s="2"/>
      <c r="LCB12" s="2"/>
      <c r="LCC12" s="2"/>
      <c r="LCD12" s="2"/>
      <c r="LCE12" s="2"/>
      <c r="LCF12" s="2"/>
      <c r="LCG12" s="2"/>
      <c r="LCH12" s="2"/>
      <c r="LCI12" s="2"/>
      <c r="LCJ12" s="2"/>
      <c r="LCK12" s="2"/>
      <c r="LCL12" s="2"/>
      <c r="LCM12" s="2"/>
      <c r="LCN12" s="2"/>
      <c r="LCO12" s="2"/>
      <c r="LCP12" s="2"/>
      <c r="LCQ12" s="2"/>
      <c r="LCR12" s="2"/>
      <c r="LCS12" s="2"/>
      <c r="LCT12" s="2"/>
      <c r="LCU12" s="2"/>
      <c r="LCV12" s="2"/>
      <c r="LCW12" s="2"/>
      <c r="LCX12" s="2"/>
      <c r="LCY12" s="2"/>
      <c r="LCZ12" s="2"/>
      <c r="LDA12" s="2"/>
      <c r="LDB12" s="2"/>
      <c r="LDC12" s="2"/>
      <c r="LDD12" s="2"/>
      <c r="LDE12" s="2"/>
      <c r="LDF12" s="2"/>
      <c r="LDG12" s="2"/>
      <c r="LDH12" s="2"/>
      <c r="LDI12" s="2"/>
      <c r="LDJ12" s="2"/>
      <c r="LDK12" s="2"/>
      <c r="LDL12" s="2"/>
      <c r="LDM12" s="2"/>
      <c r="LDN12" s="2"/>
      <c r="LDO12" s="2"/>
      <c r="LDP12" s="2"/>
      <c r="LDQ12" s="2"/>
      <c r="LDR12" s="2"/>
      <c r="LDS12" s="2"/>
      <c r="LDT12" s="2"/>
      <c r="LDU12" s="2"/>
      <c r="LDV12" s="2"/>
      <c r="LDW12" s="2"/>
      <c r="LDX12" s="2"/>
      <c r="LDY12" s="2"/>
      <c r="LDZ12" s="2"/>
      <c r="LEA12" s="2"/>
      <c r="LEB12" s="2"/>
      <c r="LEC12" s="2"/>
      <c r="LED12" s="2"/>
      <c r="LEE12" s="2"/>
      <c r="LEF12" s="2"/>
      <c r="LEG12" s="2"/>
      <c r="LEH12" s="2"/>
      <c r="LEI12" s="2"/>
      <c r="LEJ12" s="2"/>
      <c r="LEK12" s="2"/>
      <c r="LEL12" s="2"/>
      <c r="LEM12" s="2"/>
      <c r="LEN12" s="2"/>
      <c r="LEO12" s="2"/>
      <c r="LEP12" s="2"/>
      <c r="LEQ12" s="2"/>
      <c r="LER12" s="2"/>
      <c r="LES12" s="2"/>
      <c r="LET12" s="2"/>
      <c r="LEU12" s="2"/>
      <c r="LEV12" s="2"/>
      <c r="LEW12" s="2"/>
      <c r="LEX12" s="2"/>
      <c r="LEY12" s="2"/>
      <c r="LEZ12" s="2"/>
      <c r="LFA12" s="2"/>
      <c r="LFB12" s="2"/>
      <c r="LFC12" s="2"/>
      <c r="LFD12" s="2"/>
      <c r="LFE12" s="2"/>
      <c r="LFF12" s="2"/>
      <c r="LFG12" s="2"/>
      <c r="LFH12" s="2"/>
      <c r="LFI12" s="2"/>
      <c r="LFJ12" s="2"/>
      <c r="LFK12" s="2"/>
      <c r="LFL12" s="2"/>
      <c r="LFM12" s="2"/>
      <c r="LFN12" s="2"/>
      <c r="LFO12" s="2"/>
      <c r="LFP12" s="2"/>
      <c r="LFQ12" s="2"/>
      <c r="LFR12" s="2"/>
      <c r="LFS12" s="2"/>
      <c r="LFT12" s="2"/>
      <c r="LFU12" s="2"/>
      <c r="LFV12" s="2"/>
      <c r="LFW12" s="2"/>
      <c r="LFX12" s="2"/>
      <c r="LFY12" s="2"/>
      <c r="LFZ12" s="2"/>
      <c r="LGA12" s="2"/>
      <c r="LGB12" s="2"/>
      <c r="LGC12" s="2"/>
      <c r="LGD12" s="2"/>
      <c r="LGE12" s="2"/>
      <c r="LGF12" s="2"/>
      <c r="LGG12" s="2"/>
      <c r="LGH12" s="2"/>
      <c r="LGI12" s="2"/>
      <c r="LGJ12" s="2"/>
      <c r="LGK12" s="2"/>
      <c r="LGL12" s="2"/>
      <c r="LGM12" s="2"/>
      <c r="LGN12" s="2"/>
      <c r="LGO12" s="2"/>
      <c r="LGP12" s="2"/>
      <c r="LGQ12" s="2"/>
      <c r="LGR12" s="2"/>
      <c r="LGS12" s="2"/>
      <c r="LGT12" s="2"/>
      <c r="LGU12" s="2"/>
      <c r="LGV12" s="2"/>
      <c r="LGW12" s="2"/>
      <c r="LGX12" s="2"/>
      <c r="LGY12" s="2"/>
      <c r="LGZ12" s="2"/>
      <c r="LHA12" s="2"/>
      <c r="LHB12" s="2"/>
      <c r="LHC12" s="2"/>
      <c r="LHD12" s="2"/>
      <c r="LHE12" s="2"/>
      <c r="LHF12" s="2"/>
      <c r="LHG12" s="2"/>
      <c r="LHH12" s="2"/>
      <c r="LHI12" s="2"/>
      <c r="LHJ12" s="2"/>
      <c r="LHK12" s="2"/>
      <c r="LHL12" s="2"/>
      <c r="LHM12" s="2"/>
      <c r="LHN12" s="2"/>
      <c r="LHO12" s="2"/>
      <c r="LHP12" s="2"/>
      <c r="LHQ12" s="2"/>
      <c r="LHR12" s="2"/>
      <c r="LHS12" s="2"/>
      <c r="LHT12" s="2"/>
      <c r="LHU12" s="2"/>
      <c r="LHV12" s="2"/>
      <c r="LHW12" s="2"/>
      <c r="LHX12" s="2"/>
      <c r="LHY12" s="2"/>
      <c r="LHZ12" s="2"/>
      <c r="LIA12" s="2"/>
      <c r="LIB12" s="2"/>
      <c r="LIC12" s="2"/>
      <c r="LID12" s="2"/>
      <c r="LIE12" s="2"/>
      <c r="LIF12" s="2"/>
      <c r="LIG12" s="2"/>
      <c r="LIH12" s="2"/>
      <c r="LII12" s="2"/>
      <c r="LIJ12" s="2"/>
      <c r="LIK12" s="2"/>
      <c r="LIL12" s="2"/>
      <c r="LIM12" s="2"/>
      <c r="LIN12" s="2"/>
      <c r="LIO12" s="2"/>
      <c r="LIP12" s="2"/>
      <c r="LIQ12" s="2"/>
      <c r="LIR12" s="2"/>
      <c r="LIS12" s="2"/>
      <c r="LIT12" s="2"/>
      <c r="LIU12" s="2"/>
      <c r="LIV12" s="2"/>
      <c r="LIW12" s="2"/>
      <c r="LIX12" s="2"/>
      <c r="LIY12" s="2"/>
      <c r="LIZ12" s="2"/>
      <c r="LJA12" s="2"/>
      <c r="LJB12" s="2"/>
      <c r="LJC12" s="2"/>
      <c r="LJD12" s="2"/>
      <c r="LJE12" s="2"/>
      <c r="LJF12" s="2"/>
      <c r="LJG12" s="2"/>
      <c r="LJH12" s="2"/>
      <c r="LJI12" s="2"/>
      <c r="LJJ12" s="2"/>
      <c r="LJK12" s="2"/>
      <c r="LJL12" s="2"/>
      <c r="LJM12" s="2"/>
      <c r="LJN12" s="2"/>
      <c r="LJO12" s="2"/>
      <c r="LJP12" s="2"/>
      <c r="LJQ12" s="2"/>
      <c r="LJR12" s="2"/>
      <c r="LJS12" s="2"/>
      <c r="LJT12" s="2"/>
      <c r="LJU12" s="2"/>
      <c r="LJV12" s="2"/>
      <c r="LJW12" s="2"/>
      <c r="LJX12" s="2"/>
      <c r="LJY12" s="2"/>
      <c r="LJZ12" s="2"/>
      <c r="LKA12" s="2"/>
      <c r="LKB12" s="2"/>
      <c r="LKC12" s="2"/>
      <c r="LKD12" s="2"/>
      <c r="LKE12" s="2"/>
      <c r="LKF12" s="2"/>
      <c r="LKG12" s="2"/>
      <c r="LKH12" s="2"/>
      <c r="LKI12" s="2"/>
      <c r="LKJ12" s="2"/>
      <c r="LKK12" s="2"/>
      <c r="LKL12" s="2"/>
      <c r="LKM12" s="2"/>
      <c r="LKN12" s="2"/>
      <c r="LKO12" s="2"/>
      <c r="LKP12" s="2"/>
      <c r="LKQ12" s="2"/>
      <c r="LKR12" s="2"/>
      <c r="LKS12" s="2"/>
      <c r="LKT12" s="2"/>
      <c r="LKU12" s="2"/>
      <c r="LKV12" s="2"/>
      <c r="LKW12" s="2"/>
      <c r="LKX12" s="2"/>
      <c r="LKY12" s="2"/>
      <c r="LKZ12" s="2"/>
      <c r="LLA12" s="2"/>
      <c r="LLB12" s="2"/>
      <c r="LLC12" s="2"/>
      <c r="LLD12" s="2"/>
      <c r="LLE12" s="2"/>
      <c r="LLF12" s="2"/>
      <c r="LLG12" s="2"/>
      <c r="LLH12" s="2"/>
      <c r="LLI12" s="2"/>
      <c r="LLJ12" s="2"/>
      <c r="LLK12" s="2"/>
      <c r="LLL12" s="2"/>
      <c r="LLM12" s="2"/>
      <c r="LLN12" s="2"/>
      <c r="LLO12" s="2"/>
      <c r="LLP12" s="2"/>
      <c r="LLQ12" s="2"/>
      <c r="LLR12" s="2"/>
      <c r="LLS12" s="2"/>
      <c r="LLT12" s="2"/>
      <c r="LLU12" s="2"/>
      <c r="LLV12" s="2"/>
      <c r="LLW12" s="2"/>
      <c r="LLX12" s="2"/>
      <c r="LLY12" s="2"/>
      <c r="LLZ12" s="2"/>
      <c r="LMA12" s="2"/>
      <c r="LMB12" s="2"/>
      <c r="LMC12" s="2"/>
      <c r="LMD12" s="2"/>
      <c r="LME12" s="2"/>
      <c r="LMF12" s="2"/>
      <c r="LMG12" s="2"/>
      <c r="LMH12" s="2"/>
      <c r="LMI12" s="2"/>
      <c r="LMJ12" s="2"/>
      <c r="LMK12" s="2"/>
      <c r="LML12" s="2"/>
      <c r="LMM12" s="2"/>
      <c r="LMN12" s="2"/>
      <c r="LMO12" s="2"/>
      <c r="LMP12" s="2"/>
      <c r="LMQ12" s="2"/>
      <c r="LMR12" s="2"/>
      <c r="LMS12" s="2"/>
      <c r="LMT12" s="2"/>
      <c r="LMU12" s="2"/>
      <c r="LMV12" s="2"/>
      <c r="LMW12" s="2"/>
      <c r="LMX12" s="2"/>
      <c r="LMY12" s="2"/>
      <c r="LMZ12" s="2"/>
      <c r="LNA12" s="2"/>
      <c r="LNB12" s="2"/>
      <c r="LNC12" s="2"/>
      <c r="LND12" s="2"/>
      <c r="LNE12" s="2"/>
      <c r="LNF12" s="2"/>
      <c r="LNG12" s="2"/>
      <c r="LNH12" s="2"/>
      <c r="LNI12" s="2"/>
      <c r="LNJ12" s="2"/>
      <c r="LNK12" s="2"/>
      <c r="LNL12" s="2"/>
      <c r="LNM12" s="2"/>
      <c r="LNN12" s="2"/>
      <c r="LNO12" s="2"/>
      <c r="LNP12" s="2"/>
      <c r="LNQ12" s="2"/>
      <c r="LNR12" s="2"/>
      <c r="LNS12" s="2"/>
      <c r="LNT12" s="2"/>
      <c r="LNU12" s="2"/>
      <c r="LNV12" s="2"/>
      <c r="LNW12" s="2"/>
      <c r="LNX12" s="2"/>
      <c r="LNY12" s="2"/>
      <c r="LNZ12" s="2"/>
      <c r="LOA12" s="2"/>
      <c r="LOB12" s="2"/>
      <c r="LOC12" s="2"/>
      <c r="LOD12" s="2"/>
      <c r="LOE12" s="2"/>
      <c r="LOF12" s="2"/>
      <c r="LOG12" s="2"/>
      <c r="LOH12" s="2"/>
      <c r="LOI12" s="2"/>
      <c r="LOJ12" s="2"/>
      <c r="LOK12" s="2"/>
      <c r="LOL12" s="2"/>
      <c r="LOM12" s="2"/>
      <c r="LON12" s="2"/>
      <c r="LOO12" s="2"/>
      <c r="LOP12" s="2"/>
      <c r="LOQ12" s="2"/>
      <c r="LOR12" s="2"/>
      <c r="LOS12" s="2"/>
      <c r="LOT12" s="2"/>
      <c r="LOU12" s="2"/>
      <c r="LOV12" s="2"/>
      <c r="LOW12" s="2"/>
      <c r="LOX12" s="2"/>
      <c r="LOY12" s="2"/>
      <c r="LOZ12" s="2"/>
      <c r="LPA12" s="2"/>
      <c r="LPB12" s="2"/>
      <c r="LPC12" s="2"/>
      <c r="LPD12" s="2"/>
      <c r="LPE12" s="2"/>
      <c r="LPF12" s="2"/>
      <c r="LPG12" s="2"/>
      <c r="LPH12" s="2"/>
      <c r="LPI12" s="2"/>
      <c r="LPJ12" s="2"/>
      <c r="LPK12" s="2"/>
      <c r="LPL12" s="2"/>
      <c r="LPM12" s="2"/>
      <c r="LPN12" s="2"/>
      <c r="LPO12" s="2"/>
      <c r="LPP12" s="2"/>
      <c r="LPQ12" s="2"/>
      <c r="LPR12" s="2"/>
      <c r="LPS12" s="2"/>
      <c r="LPT12" s="2"/>
      <c r="LPU12" s="2"/>
      <c r="LPV12" s="2"/>
      <c r="LPW12" s="2"/>
      <c r="LPX12" s="2"/>
      <c r="LPY12" s="2"/>
      <c r="LPZ12" s="2"/>
      <c r="LQA12" s="2"/>
      <c r="LQB12" s="2"/>
      <c r="LQC12" s="2"/>
      <c r="LQD12" s="2"/>
      <c r="LQE12" s="2"/>
      <c r="LQF12" s="2"/>
      <c r="LQG12" s="2"/>
      <c r="LQH12" s="2"/>
      <c r="LQI12" s="2"/>
      <c r="LQJ12" s="2"/>
      <c r="LQK12" s="2"/>
      <c r="LQL12" s="2"/>
      <c r="LQM12" s="2"/>
      <c r="LQN12" s="2"/>
      <c r="LQO12" s="2"/>
      <c r="LQP12" s="2"/>
      <c r="LQQ12" s="2"/>
      <c r="LQR12" s="2"/>
      <c r="LQS12" s="2"/>
      <c r="LQT12" s="2"/>
      <c r="LQU12" s="2"/>
      <c r="LQV12" s="2"/>
      <c r="LQW12" s="2"/>
      <c r="LQX12" s="2"/>
      <c r="LQY12" s="2"/>
      <c r="LQZ12" s="2"/>
      <c r="LRA12" s="2"/>
      <c r="LRB12" s="2"/>
      <c r="LRC12" s="2"/>
      <c r="LRD12" s="2"/>
      <c r="LRE12" s="2"/>
      <c r="LRF12" s="2"/>
      <c r="LRG12" s="2"/>
      <c r="LRH12" s="2"/>
      <c r="LRI12" s="2"/>
      <c r="LRJ12" s="2"/>
      <c r="LRK12" s="2"/>
      <c r="LRL12" s="2"/>
      <c r="LRM12" s="2"/>
      <c r="LRN12" s="2"/>
      <c r="LRO12" s="2"/>
      <c r="LRP12" s="2"/>
      <c r="LRQ12" s="2"/>
      <c r="LRR12" s="2"/>
      <c r="LRS12" s="2"/>
      <c r="LRT12" s="2"/>
      <c r="LRU12" s="2"/>
      <c r="LRV12" s="2"/>
      <c r="LRW12" s="2"/>
      <c r="LRX12" s="2"/>
      <c r="LRY12" s="2"/>
      <c r="LRZ12" s="2"/>
      <c r="LSA12" s="2"/>
      <c r="LSB12" s="2"/>
      <c r="LSC12" s="2"/>
      <c r="LSD12" s="2"/>
      <c r="LSE12" s="2"/>
      <c r="LSF12" s="2"/>
      <c r="LSG12" s="2"/>
      <c r="LSH12" s="2"/>
      <c r="LSI12" s="2"/>
      <c r="LSJ12" s="2"/>
      <c r="LSK12" s="2"/>
      <c r="LSL12" s="2"/>
      <c r="LSM12" s="2"/>
      <c r="LSN12" s="2"/>
      <c r="LSO12" s="2"/>
      <c r="LSP12" s="2"/>
      <c r="LSQ12" s="2"/>
      <c r="LSR12" s="2"/>
      <c r="LSS12" s="2"/>
      <c r="LST12" s="2"/>
      <c r="LSU12" s="2"/>
      <c r="LSV12" s="2"/>
      <c r="LSW12" s="2"/>
      <c r="LSX12" s="2"/>
      <c r="LSY12" s="2"/>
      <c r="LSZ12" s="2"/>
      <c r="LTA12" s="2"/>
      <c r="LTB12" s="2"/>
      <c r="LTC12" s="2"/>
      <c r="LTD12" s="2"/>
      <c r="LTE12" s="2"/>
      <c r="LTF12" s="2"/>
      <c r="LTG12" s="2"/>
      <c r="LTH12" s="2"/>
      <c r="LTI12" s="2"/>
      <c r="LTJ12" s="2"/>
      <c r="LTK12" s="2"/>
      <c r="LTL12" s="2"/>
      <c r="LTM12" s="2"/>
      <c r="LTN12" s="2"/>
      <c r="LTO12" s="2"/>
      <c r="LTP12" s="2"/>
      <c r="LTQ12" s="2"/>
      <c r="LTR12" s="2"/>
      <c r="LTS12" s="2"/>
      <c r="LTT12" s="2"/>
      <c r="LTU12" s="2"/>
      <c r="LTV12" s="2"/>
      <c r="LTW12" s="2"/>
      <c r="LTX12" s="2"/>
      <c r="LTY12" s="2"/>
      <c r="LTZ12" s="2"/>
      <c r="LUA12" s="2"/>
      <c r="LUB12" s="2"/>
      <c r="LUC12" s="2"/>
      <c r="LUD12" s="2"/>
      <c r="LUE12" s="2"/>
      <c r="LUF12" s="2"/>
      <c r="LUG12" s="2"/>
      <c r="LUH12" s="2"/>
      <c r="LUI12" s="2"/>
      <c r="LUJ12" s="2"/>
      <c r="LUK12" s="2"/>
      <c r="LUL12" s="2"/>
      <c r="LUM12" s="2"/>
      <c r="LUN12" s="2"/>
      <c r="LUO12" s="2"/>
      <c r="LUP12" s="2"/>
      <c r="LUQ12" s="2"/>
      <c r="LUR12" s="2"/>
      <c r="LUS12" s="2"/>
      <c r="LUT12" s="2"/>
      <c r="LUU12" s="2"/>
      <c r="LUV12" s="2"/>
      <c r="LUW12" s="2"/>
      <c r="LUX12" s="2"/>
      <c r="LUY12" s="2"/>
      <c r="LUZ12" s="2"/>
      <c r="LVA12" s="2"/>
      <c r="LVB12" s="2"/>
      <c r="LVC12" s="2"/>
      <c r="LVD12" s="2"/>
      <c r="LVE12" s="2"/>
      <c r="LVF12" s="2"/>
      <c r="LVG12" s="2"/>
      <c r="LVH12" s="2"/>
      <c r="LVI12" s="2"/>
      <c r="LVJ12" s="2"/>
      <c r="LVK12" s="2"/>
      <c r="LVL12" s="2"/>
      <c r="LVM12" s="2"/>
      <c r="LVN12" s="2"/>
      <c r="LVO12" s="2"/>
      <c r="LVP12" s="2"/>
      <c r="LVQ12" s="2"/>
      <c r="LVR12" s="2"/>
      <c r="LVS12" s="2"/>
      <c r="LVT12" s="2"/>
      <c r="LVU12" s="2"/>
      <c r="LVV12" s="2"/>
      <c r="LVW12" s="2"/>
      <c r="LVX12" s="2"/>
      <c r="LVY12" s="2"/>
      <c r="LVZ12" s="2"/>
      <c r="LWA12" s="2"/>
      <c r="LWB12" s="2"/>
      <c r="LWC12" s="2"/>
      <c r="LWD12" s="2"/>
      <c r="LWE12" s="2"/>
      <c r="LWF12" s="2"/>
      <c r="LWG12" s="2"/>
      <c r="LWH12" s="2"/>
      <c r="LWI12" s="2"/>
      <c r="LWJ12" s="2"/>
      <c r="LWK12" s="2"/>
      <c r="LWL12" s="2"/>
      <c r="LWM12" s="2"/>
      <c r="LWN12" s="2"/>
      <c r="LWO12" s="2"/>
      <c r="LWP12" s="2"/>
      <c r="LWQ12" s="2"/>
      <c r="LWR12" s="2"/>
      <c r="LWS12" s="2"/>
      <c r="LWT12" s="2"/>
      <c r="LWU12" s="2"/>
      <c r="LWV12" s="2"/>
      <c r="LWW12" s="2"/>
      <c r="LWX12" s="2"/>
      <c r="LWY12" s="2"/>
      <c r="LWZ12" s="2"/>
      <c r="LXA12" s="2"/>
      <c r="LXB12" s="2"/>
      <c r="LXC12" s="2"/>
      <c r="LXD12" s="2"/>
      <c r="LXE12" s="2"/>
      <c r="LXF12" s="2"/>
      <c r="LXG12" s="2"/>
      <c r="LXH12" s="2"/>
      <c r="LXI12" s="2"/>
      <c r="LXJ12" s="2"/>
      <c r="LXK12" s="2"/>
      <c r="LXL12" s="2"/>
      <c r="LXM12" s="2"/>
      <c r="LXN12" s="2"/>
      <c r="LXO12" s="2"/>
      <c r="LXP12" s="2"/>
      <c r="LXQ12" s="2"/>
      <c r="LXR12" s="2"/>
      <c r="LXS12" s="2"/>
      <c r="LXT12" s="2"/>
      <c r="LXU12" s="2"/>
      <c r="LXV12" s="2"/>
      <c r="LXW12" s="2"/>
      <c r="LXX12" s="2"/>
      <c r="LXY12" s="2"/>
      <c r="LXZ12" s="2"/>
      <c r="LYA12" s="2"/>
      <c r="LYB12" s="2"/>
      <c r="LYC12" s="2"/>
      <c r="LYD12" s="2"/>
      <c r="LYE12" s="2"/>
      <c r="LYF12" s="2"/>
      <c r="LYG12" s="2"/>
      <c r="LYH12" s="2"/>
      <c r="LYI12" s="2"/>
      <c r="LYJ12" s="2"/>
      <c r="LYK12" s="2"/>
      <c r="LYL12" s="2"/>
      <c r="LYM12" s="2"/>
      <c r="LYN12" s="2"/>
      <c r="LYO12" s="2"/>
      <c r="LYP12" s="2"/>
      <c r="LYQ12" s="2"/>
      <c r="LYR12" s="2"/>
      <c r="LYS12" s="2"/>
      <c r="LYT12" s="2"/>
      <c r="LYU12" s="2"/>
      <c r="LYV12" s="2"/>
      <c r="LYW12" s="2"/>
      <c r="LYX12" s="2"/>
      <c r="LYY12" s="2"/>
      <c r="LYZ12" s="2"/>
      <c r="LZA12" s="2"/>
      <c r="LZB12" s="2"/>
      <c r="LZC12" s="2"/>
      <c r="LZD12" s="2"/>
      <c r="LZE12" s="2"/>
      <c r="LZF12" s="2"/>
      <c r="LZG12" s="2"/>
      <c r="LZH12" s="2"/>
      <c r="LZI12" s="2"/>
      <c r="LZJ12" s="2"/>
      <c r="LZK12" s="2"/>
      <c r="LZL12" s="2"/>
      <c r="LZM12" s="2"/>
      <c r="LZN12" s="2"/>
      <c r="LZO12" s="2"/>
      <c r="LZP12" s="2"/>
      <c r="LZQ12" s="2"/>
      <c r="LZR12" s="2"/>
      <c r="LZS12" s="2"/>
      <c r="LZT12" s="2"/>
      <c r="LZU12" s="2"/>
      <c r="LZV12" s="2"/>
      <c r="LZW12" s="2"/>
      <c r="LZX12" s="2"/>
      <c r="LZY12" s="2"/>
      <c r="LZZ12" s="2"/>
      <c r="MAA12" s="2"/>
      <c r="MAB12" s="2"/>
      <c r="MAC12" s="2"/>
      <c r="MAD12" s="2"/>
      <c r="MAE12" s="2"/>
      <c r="MAF12" s="2"/>
      <c r="MAG12" s="2"/>
      <c r="MAH12" s="2"/>
      <c r="MAI12" s="2"/>
      <c r="MAJ12" s="2"/>
      <c r="MAK12" s="2"/>
      <c r="MAL12" s="2"/>
      <c r="MAM12" s="2"/>
      <c r="MAN12" s="2"/>
      <c r="MAO12" s="2"/>
      <c r="MAP12" s="2"/>
      <c r="MAQ12" s="2"/>
      <c r="MAR12" s="2"/>
      <c r="MAS12" s="2"/>
      <c r="MAT12" s="2"/>
      <c r="MAU12" s="2"/>
      <c r="MAV12" s="2"/>
      <c r="MAW12" s="2"/>
      <c r="MAX12" s="2"/>
      <c r="MAY12" s="2"/>
      <c r="MAZ12" s="2"/>
      <c r="MBA12" s="2"/>
      <c r="MBB12" s="2"/>
      <c r="MBC12" s="2"/>
      <c r="MBD12" s="2"/>
      <c r="MBE12" s="2"/>
      <c r="MBF12" s="2"/>
      <c r="MBG12" s="2"/>
      <c r="MBH12" s="2"/>
      <c r="MBI12" s="2"/>
      <c r="MBJ12" s="2"/>
      <c r="MBK12" s="2"/>
      <c r="MBL12" s="2"/>
      <c r="MBM12" s="2"/>
      <c r="MBN12" s="2"/>
      <c r="MBO12" s="2"/>
      <c r="MBP12" s="2"/>
      <c r="MBQ12" s="2"/>
      <c r="MBR12" s="2"/>
      <c r="MBS12" s="2"/>
      <c r="MBT12" s="2"/>
      <c r="MBU12" s="2"/>
      <c r="MBV12" s="2"/>
      <c r="MBW12" s="2"/>
      <c r="MBX12" s="2"/>
      <c r="MBY12" s="2"/>
      <c r="MBZ12" s="2"/>
      <c r="MCA12" s="2"/>
      <c r="MCB12" s="2"/>
      <c r="MCC12" s="2"/>
      <c r="MCD12" s="2"/>
      <c r="MCE12" s="2"/>
      <c r="MCF12" s="2"/>
      <c r="MCG12" s="2"/>
      <c r="MCH12" s="2"/>
      <c r="MCI12" s="2"/>
      <c r="MCJ12" s="2"/>
      <c r="MCK12" s="2"/>
      <c r="MCL12" s="2"/>
      <c r="MCM12" s="2"/>
      <c r="MCN12" s="2"/>
      <c r="MCO12" s="2"/>
      <c r="MCP12" s="2"/>
      <c r="MCQ12" s="2"/>
      <c r="MCR12" s="2"/>
      <c r="MCS12" s="2"/>
      <c r="MCT12" s="2"/>
      <c r="MCU12" s="2"/>
      <c r="MCV12" s="2"/>
      <c r="MCW12" s="2"/>
      <c r="MCX12" s="2"/>
      <c r="MCY12" s="2"/>
      <c r="MCZ12" s="2"/>
      <c r="MDA12" s="2"/>
      <c r="MDB12" s="2"/>
      <c r="MDC12" s="2"/>
      <c r="MDD12" s="2"/>
      <c r="MDE12" s="2"/>
      <c r="MDF12" s="2"/>
      <c r="MDG12" s="2"/>
      <c r="MDH12" s="2"/>
      <c r="MDI12" s="2"/>
      <c r="MDJ12" s="2"/>
      <c r="MDK12" s="2"/>
      <c r="MDL12" s="2"/>
      <c r="MDM12" s="2"/>
      <c r="MDN12" s="2"/>
      <c r="MDO12" s="2"/>
      <c r="MDP12" s="2"/>
      <c r="MDQ12" s="2"/>
      <c r="MDR12" s="2"/>
      <c r="MDS12" s="2"/>
      <c r="MDT12" s="2"/>
      <c r="MDU12" s="2"/>
      <c r="MDV12" s="2"/>
      <c r="MDW12" s="2"/>
      <c r="MDX12" s="2"/>
      <c r="MDY12" s="2"/>
      <c r="MDZ12" s="2"/>
      <c r="MEA12" s="2"/>
      <c r="MEB12" s="2"/>
      <c r="MEC12" s="2"/>
      <c r="MED12" s="2"/>
      <c r="MEE12" s="2"/>
      <c r="MEF12" s="2"/>
      <c r="MEG12" s="2"/>
      <c r="MEH12" s="2"/>
      <c r="MEI12" s="2"/>
      <c r="MEJ12" s="2"/>
      <c r="MEK12" s="2"/>
      <c r="MEL12" s="2"/>
      <c r="MEM12" s="2"/>
      <c r="MEN12" s="2"/>
      <c r="MEO12" s="2"/>
      <c r="MEP12" s="2"/>
      <c r="MEQ12" s="2"/>
      <c r="MER12" s="2"/>
      <c r="MES12" s="2"/>
      <c r="MET12" s="2"/>
      <c r="MEU12" s="2"/>
      <c r="MEV12" s="2"/>
      <c r="MEW12" s="2"/>
      <c r="MEX12" s="2"/>
      <c r="MEY12" s="2"/>
      <c r="MEZ12" s="2"/>
      <c r="MFA12" s="2"/>
      <c r="MFB12" s="2"/>
      <c r="MFC12" s="2"/>
      <c r="MFD12" s="2"/>
      <c r="MFE12" s="2"/>
      <c r="MFF12" s="2"/>
      <c r="MFG12" s="2"/>
      <c r="MFH12" s="2"/>
      <c r="MFI12" s="2"/>
      <c r="MFJ12" s="2"/>
      <c r="MFK12" s="2"/>
      <c r="MFL12" s="2"/>
      <c r="MFM12" s="2"/>
      <c r="MFN12" s="2"/>
      <c r="MFO12" s="2"/>
      <c r="MFP12" s="2"/>
      <c r="MFQ12" s="2"/>
      <c r="MFR12" s="2"/>
      <c r="MFS12" s="2"/>
      <c r="MFT12" s="2"/>
      <c r="MFU12" s="2"/>
      <c r="MFV12" s="2"/>
      <c r="MFW12" s="2"/>
      <c r="MFX12" s="2"/>
      <c r="MFY12" s="2"/>
      <c r="MFZ12" s="2"/>
      <c r="MGA12" s="2"/>
      <c r="MGB12" s="2"/>
      <c r="MGC12" s="2"/>
      <c r="MGD12" s="2"/>
      <c r="MGE12" s="2"/>
      <c r="MGF12" s="2"/>
      <c r="MGG12" s="2"/>
      <c r="MGH12" s="2"/>
      <c r="MGI12" s="2"/>
      <c r="MGJ12" s="2"/>
      <c r="MGK12" s="2"/>
      <c r="MGL12" s="2"/>
      <c r="MGM12" s="2"/>
      <c r="MGN12" s="2"/>
      <c r="MGO12" s="2"/>
      <c r="MGP12" s="2"/>
      <c r="MGQ12" s="2"/>
      <c r="MGR12" s="2"/>
      <c r="MGS12" s="2"/>
      <c r="MGT12" s="2"/>
      <c r="MGU12" s="2"/>
      <c r="MGV12" s="2"/>
      <c r="MGW12" s="2"/>
      <c r="MGX12" s="2"/>
      <c r="MGY12" s="2"/>
      <c r="MGZ12" s="2"/>
      <c r="MHA12" s="2"/>
      <c r="MHB12" s="2"/>
      <c r="MHC12" s="2"/>
      <c r="MHD12" s="2"/>
      <c r="MHE12" s="2"/>
      <c r="MHF12" s="2"/>
      <c r="MHG12" s="2"/>
      <c r="MHH12" s="2"/>
      <c r="MHI12" s="2"/>
      <c r="MHJ12" s="2"/>
      <c r="MHK12" s="2"/>
      <c r="MHL12" s="2"/>
      <c r="MHM12" s="2"/>
      <c r="MHN12" s="2"/>
      <c r="MHO12" s="2"/>
      <c r="MHP12" s="2"/>
      <c r="MHQ12" s="2"/>
      <c r="MHR12" s="2"/>
      <c r="MHS12" s="2"/>
      <c r="MHT12" s="2"/>
      <c r="MHU12" s="2"/>
      <c r="MHV12" s="2"/>
      <c r="MHW12" s="2"/>
      <c r="MHX12" s="2"/>
      <c r="MHY12" s="2"/>
      <c r="MHZ12" s="2"/>
      <c r="MIA12" s="2"/>
      <c r="MIB12" s="2"/>
      <c r="MIC12" s="2"/>
      <c r="MID12" s="2"/>
      <c r="MIE12" s="2"/>
      <c r="MIF12" s="2"/>
      <c r="MIG12" s="2"/>
      <c r="MIH12" s="2"/>
      <c r="MII12" s="2"/>
      <c r="MIJ12" s="2"/>
      <c r="MIK12" s="2"/>
      <c r="MIL12" s="2"/>
      <c r="MIM12" s="2"/>
      <c r="MIN12" s="2"/>
      <c r="MIO12" s="2"/>
      <c r="MIP12" s="2"/>
      <c r="MIQ12" s="2"/>
      <c r="MIR12" s="2"/>
      <c r="MIS12" s="2"/>
      <c r="MIT12" s="2"/>
      <c r="MIU12" s="2"/>
      <c r="MIV12" s="2"/>
      <c r="MIW12" s="2"/>
      <c r="MIX12" s="2"/>
      <c r="MIY12" s="2"/>
      <c r="MIZ12" s="2"/>
      <c r="MJA12" s="2"/>
      <c r="MJB12" s="2"/>
      <c r="MJC12" s="2"/>
      <c r="MJD12" s="2"/>
      <c r="MJE12" s="2"/>
      <c r="MJF12" s="2"/>
      <c r="MJG12" s="2"/>
      <c r="MJH12" s="2"/>
      <c r="MJI12" s="2"/>
      <c r="MJJ12" s="2"/>
      <c r="MJK12" s="2"/>
      <c r="MJL12" s="2"/>
      <c r="MJM12" s="2"/>
      <c r="MJN12" s="2"/>
      <c r="MJO12" s="2"/>
      <c r="MJP12" s="2"/>
      <c r="MJQ12" s="2"/>
      <c r="MJR12" s="2"/>
      <c r="MJS12" s="2"/>
      <c r="MJT12" s="2"/>
      <c r="MJU12" s="2"/>
      <c r="MJV12" s="2"/>
      <c r="MJW12" s="2"/>
      <c r="MJX12" s="2"/>
      <c r="MJY12" s="2"/>
      <c r="MJZ12" s="2"/>
      <c r="MKA12" s="2"/>
      <c r="MKB12" s="2"/>
      <c r="MKC12" s="2"/>
      <c r="MKD12" s="2"/>
      <c r="MKE12" s="2"/>
      <c r="MKF12" s="2"/>
      <c r="MKG12" s="2"/>
      <c r="MKH12" s="2"/>
      <c r="MKI12" s="2"/>
      <c r="MKJ12" s="2"/>
      <c r="MKK12" s="2"/>
      <c r="MKL12" s="2"/>
      <c r="MKM12" s="2"/>
      <c r="MKN12" s="2"/>
      <c r="MKO12" s="2"/>
      <c r="MKP12" s="2"/>
      <c r="MKQ12" s="2"/>
      <c r="MKR12" s="2"/>
      <c r="MKS12" s="2"/>
      <c r="MKT12" s="2"/>
      <c r="MKU12" s="2"/>
      <c r="MKV12" s="2"/>
      <c r="MKW12" s="2"/>
      <c r="MKX12" s="2"/>
      <c r="MKY12" s="2"/>
      <c r="MKZ12" s="2"/>
      <c r="MLA12" s="2"/>
      <c r="MLB12" s="2"/>
      <c r="MLC12" s="2"/>
      <c r="MLD12" s="2"/>
      <c r="MLE12" s="2"/>
      <c r="MLF12" s="2"/>
      <c r="MLG12" s="2"/>
      <c r="MLH12" s="2"/>
      <c r="MLI12" s="2"/>
      <c r="MLJ12" s="2"/>
      <c r="MLK12" s="2"/>
      <c r="MLL12" s="2"/>
      <c r="MLM12" s="2"/>
      <c r="MLN12" s="2"/>
      <c r="MLO12" s="2"/>
      <c r="MLP12" s="2"/>
      <c r="MLQ12" s="2"/>
      <c r="MLR12" s="2"/>
      <c r="MLS12" s="2"/>
      <c r="MLT12" s="2"/>
      <c r="MLU12" s="2"/>
      <c r="MLV12" s="2"/>
      <c r="MLW12" s="2"/>
      <c r="MLX12" s="2"/>
      <c r="MLY12" s="2"/>
      <c r="MLZ12" s="2"/>
      <c r="MMA12" s="2"/>
      <c r="MMB12" s="2"/>
      <c r="MMC12" s="2"/>
      <c r="MMD12" s="2"/>
      <c r="MME12" s="2"/>
      <c r="MMF12" s="2"/>
      <c r="MMG12" s="2"/>
      <c r="MMH12" s="2"/>
      <c r="MMI12" s="2"/>
      <c r="MMJ12" s="2"/>
      <c r="MMK12" s="2"/>
      <c r="MML12" s="2"/>
      <c r="MMM12" s="2"/>
      <c r="MMN12" s="2"/>
      <c r="MMO12" s="2"/>
      <c r="MMP12" s="2"/>
      <c r="MMQ12" s="2"/>
      <c r="MMR12" s="2"/>
      <c r="MMS12" s="2"/>
      <c r="MMT12" s="2"/>
      <c r="MMU12" s="2"/>
      <c r="MMV12" s="2"/>
      <c r="MMW12" s="2"/>
      <c r="MMX12" s="2"/>
      <c r="MMY12" s="2"/>
      <c r="MMZ12" s="2"/>
      <c r="MNA12" s="2"/>
      <c r="MNB12" s="2"/>
      <c r="MNC12" s="2"/>
      <c r="MND12" s="2"/>
      <c r="MNE12" s="2"/>
      <c r="MNF12" s="2"/>
      <c r="MNG12" s="2"/>
      <c r="MNH12" s="2"/>
      <c r="MNI12" s="2"/>
      <c r="MNJ12" s="2"/>
      <c r="MNK12" s="2"/>
      <c r="MNL12" s="2"/>
      <c r="MNM12" s="2"/>
      <c r="MNN12" s="2"/>
      <c r="MNO12" s="2"/>
      <c r="MNP12" s="2"/>
      <c r="MNQ12" s="2"/>
      <c r="MNR12" s="2"/>
      <c r="MNS12" s="2"/>
      <c r="MNT12" s="2"/>
      <c r="MNU12" s="2"/>
      <c r="MNV12" s="2"/>
      <c r="MNW12" s="2"/>
      <c r="MNX12" s="2"/>
      <c r="MNY12" s="2"/>
      <c r="MNZ12" s="2"/>
      <c r="MOA12" s="2"/>
      <c r="MOB12" s="2"/>
      <c r="MOC12" s="2"/>
      <c r="MOD12" s="2"/>
      <c r="MOE12" s="2"/>
      <c r="MOF12" s="2"/>
      <c r="MOG12" s="2"/>
      <c r="MOH12" s="2"/>
      <c r="MOI12" s="2"/>
      <c r="MOJ12" s="2"/>
      <c r="MOK12" s="2"/>
      <c r="MOL12" s="2"/>
      <c r="MOM12" s="2"/>
      <c r="MON12" s="2"/>
      <c r="MOO12" s="2"/>
      <c r="MOP12" s="2"/>
      <c r="MOQ12" s="2"/>
      <c r="MOR12" s="2"/>
      <c r="MOS12" s="2"/>
      <c r="MOT12" s="2"/>
      <c r="MOU12" s="2"/>
      <c r="MOV12" s="2"/>
      <c r="MOW12" s="2"/>
      <c r="MOX12" s="2"/>
      <c r="MOY12" s="2"/>
      <c r="MOZ12" s="2"/>
      <c r="MPA12" s="2"/>
      <c r="MPB12" s="2"/>
      <c r="MPC12" s="2"/>
      <c r="MPD12" s="2"/>
      <c r="MPE12" s="2"/>
      <c r="MPF12" s="2"/>
      <c r="MPG12" s="2"/>
      <c r="MPH12" s="2"/>
      <c r="MPI12" s="2"/>
      <c r="MPJ12" s="2"/>
      <c r="MPK12" s="2"/>
      <c r="MPL12" s="2"/>
      <c r="MPM12" s="2"/>
      <c r="MPN12" s="2"/>
      <c r="MPO12" s="2"/>
      <c r="MPP12" s="2"/>
      <c r="MPQ12" s="2"/>
      <c r="MPR12" s="2"/>
      <c r="MPS12" s="2"/>
      <c r="MPT12" s="2"/>
      <c r="MPU12" s="2"/>
      <c r="MPV12" s="2"/>
      <c r="MPW12" s="2"/>
      <c r="MPX12" s="2"/>
      <c r="MPY12" s="2"/>
      <c r="MPZ12" s="2"/>
      <c r="MQA12" s="2"/>
      <c r="MQB12" s="2"/>
      <c r="MQC12" s="2"/>
      <c r="MQD12" s="2"/>
      <c r="MQE12" s="2"/>
      <c r="MQF12" s="2"/>
      <c r="MQG12" s="2"/>
      <c r="MQH12" s="2"/>
      <c r="MQI12" s="2"/>
      <c r="MQJ12" s="2"/>
      <c r="MQK12" s="2"/>
      <c r="MQL12" s="2"/>
      <c r="MQM12" s="2"/>
      <c r="MQN12" s="2"/>
      <c r="MQO12" s="2"/>
      <c r="MQP12" s="2"/>
      <c r="MQQ12" s="2"/>
      <c r="MQR12" s="2"/>
      <c r="MQS12" s="2"/>
      <c r="MQT12" s="2"/>
      <c r="MQU12" s="2"/>
      <c r="MQV12" s="2"/>
      <c r="MQW12" s="2"/>
      <c r="MQX12" s="2"/>
      <c r="MQY12" s="2"/>
      <c r="MQZ12" s="2"/>
      <c r="MRA12" s="2"/>
      <c r="MRB12" s="2"/>
      <c r="MRC12" s="2"/>
      <c r="MRD12" s="2"/>
      <c r="MRE12" s="2"/>
      <c r="MRF12" s="2"/>
      <c r="MRG12" s="2"/>
      <c r="MRH12" s="2"/>
      <c r="MRI12" s="2"/>
      <c r="MRJ12" s="2"/>
      <c r="MRK12" s="2"/>
      <c r="MRL12" s="2"/>
      <c r="MRM12" s="2"/>
      <c r="MRN12" s="2"/>
      <c r="MRO12" s="2"/>
      <c r="MRP12" s="2"/>
      <c r="MRQ12" s="2"/>
      <c r="MRR12" s="2"/>
      <c r="MRS12" s="2"/>
      <c r="MRT12" s="2"/>
      <c r="MRU12" s="2"/>
      <c r="MRV12" s="2"/>
      <c r="MRW12" s="2"/>
      <c r="MRX12" s="2"/>
      <c r="MRY12" s="2"/>
      <c r="MRZ12" s="2"/>
      <c r="MSA12" s="2"/>
      <c r="MSB12" s="2"/>
      <c r="MSC12" s="2"/>
      <c r="MSD12" s="2"/>
      <c r="MSE12" s="2"/>
      <c r="MSF12" s="2"/>
      <c r="MSG12" s="2"/>
      <c r="MSH12" s="2"/>
      <c r="MSI12" s="2"/>
      <c r="MSJ12" s="2"/>
      <c r="MSK12" s="2"/>
      <c r="MSL12" s="2"/>
      <c r="MSM12" s="2"/>
      <c r="MSN12" s="2"/>
      <c r="MSO12" s="2"/>
      <c r="MSP12" s="2"/>
      <c r="MSQ12" s="2"/>
      <c r="MSR12" s="2"/>
      <c r="MSS12" s="2"/>
      <c r="MST12" s="2"/>
      <c r="MSU12" s="2"/>
      <c r="MSV12" s="2"/>
      <c r="MSW12" s="2"/>
      <c r="MSX12" s="2"/>
      <c r="MSY12" s="2"/>
      <c r="MSZ12" s="2"/>
      <c r="MTA12" s="2"/>
      <c r="MTB12" s="2"/>
      <c r="MTC12" s="2"/>
      <c r="MTD12" s="2"/>
      <c r="MTE12" s="2"/>
      <c r="MTF12" s="2"/>
      <c r="MTG12" s="2"/>
      <c r="MTH12" s="2"/>
      <c r="MTI12" s="2"/>
      <c r="MTJ12" s="2"/>
      <c r="MTK12" s="2"/>
      <c r="MTL12" s="2"/>
      <c r="MTM12" s="2"/>
      <c r="MTN12" s="2"/>
      <c r="MTO12" s="2"/>
      <c r="MTP12" s="2"/>
      <c r="MTQ12" s="2"/>
      <c r="MTR12" s="2"/>
      <c r="MTS12" s="2"/>
      <c r="MTT12" s="2"/>
      <c r="MTU12" s="2"/>
      <c r="MTV12" s="2"/>
      <c r="MTW12" s="2"/>
      <c r="MTX12" s="2"/>
      <c r="MTY12" s="2"/>
      <c r="MTZ12" s="2"/>
      <c r="MUA12" s="2"/>
      <c r="MUB12" s="2"/>
      <c r="MUC12" s="2"/>
      <c r="MUD12" s="2"/>
      <c r="MUE12" s="2"/>
      <c r="MUF12" s="2"/>
      <c r="MUG12" s="2"/>
      <c r="MUH12" s="2"/>
      <c r="MUI12" s="2"/>
      <c r="MUJ12" s="2"/>
      <c r="MUK12" s="2"/>
      <c r="MUL12" s="2"/>
      <c r="MUM12" s="2"/>
      <c r="MUN12" s="2"/>
      <c r="MUO12" s="2"/>
      <c r="MUP12" s="2"/>
      <c r="MUQ12" s="2"/>
      <c r="MUR12" s="2"/>
      <c r="MUS12" s="2"/>
      <c r="MUT12" s="2"/>
      <c r="MUU12" s="2"/>
      <c r="MUV12" s="2"/>
      <c r="MUW12" s="2"/>
      <c r="MUX12" s="2"/>
      <c r="MUY12" s="2"/>
      <c r="MUZ12" s="2"/>
      <c r="MVA12" s="2"/>
      <c r="MVB12" s="2"/>
      <c r="MVC12" s="2"/>
      <c r="MVD12" s="2"/>
      <c r="MVE12" s="2"/>
      <c r="MVF12" s="2"/>
      <c r="MVG12" s="2"/>
      <c r="MVH12" s="2"/>
      <c r="MVI12" s="2"/>
      <c r="MVJ12" s="2"/>
      <c r="MVK12" s="2"/>
      <c r="MVL12" s="2"/>
      <c r="MVM12" s="2"/>
      <c r="MVN12" s="2"/>
      <c r="MVO12" s="2"/>
      <c r="MVP12" s="2"/>
      <c r="MVQ12" s="2"/>
      <c r="MVR12" s="2"/>
      <c r="MVS12" s="2"/>
      <c r="MVT12" s="2"/>
      <c r="MVU12" s="2"/>
      <c r="MVV12" s="2"/>
      <c r="MVW12" s="2"/>
      <c r="MVX12" s="2"/>
      <c r="MVY12" s="2"/>
      <c r="MVZ12" s="2"/>
      <c r="MWA12" s="2"/>
      <c r="MWB12" s="2"/>
      <c r="MWC12" s="2"/>
      <c r="MWD12" s="2"/>
      <c r="MWE12" s="2"/>
      <c r="MWF12" s="2"/>
      <c r="MWG12" s="2"/>
      <c r="MWH12" s="2"/>
      <c r="MWI12" s="2"/>
      <c r="MWJ12" s="2"/>
      <c r="MWK12" s="2"/>
      <c r="MWL12" s="2"/>
      <c r="MWM12" s="2"/>
      <c r="MWN12" s="2"/>
      <c r="MWO12" s="2"/>
      <c r="MWP12" s="2"/>
      <c r="MWQ12" s="2"/>
      <c r="MWR12" s="2"/>
      <c r="MWS12" s="2"/>
      <c r="MWT12" s="2"/>
      <c r="MWU12" s="2"/>
      <c r="MWV12" s="2"/>
      <c r="MWW12" s="2"/>
      <c r="MWX12" s="2"/>
      <c r="MWY12" s="2"/>
      <c r="MWZ12" s="2"/>
      <c r="MXA12" s="2"/>
      <c r="MXB12" s="2"/>
      <c r="MXC12" s="2"/>
      <c r="MXD12" s="2"/>
      <c r="MXE12" s="2"/>
      <c r="MXF12" s="2"/>
      <c r="MXG12" s="2"/>
      <c r="MXH12" s="2"/>
      <c r="MXI12" s="2"/>
      <c r="MXJ12" s="2"/>
      <c r="MXK12" s="2"/>
      <c r="MXL12" s="2"/>
      <c r="MXM12" s="2"/>
      <c r="MXN12" s="2"/>
      <c r="MXO12" s="2"/>
      <c r="MXP12" s="2"/>
      <c r="MXQ12" s="2"/>
      <c r="MXR12" s="2"/>
      <c r="MXS12" s="2"/>
      <c r="MXT12" s="2"/>
      <c r="MXU12" s="2"/>
      <c r="MXV12" s="2"/>
      <c r="MXW12" s="2"/>
      <c r="MXX12" s="2"/>
      <c r="MXY12" s="2"/>
      <c r="MXZ12" s="2"/>
      <c r="MYA12" s="2"/>
      <c r="MYB12" s="2"/>
      <c r="MYC12" s="2"/>
      <c r="MYD12" s="2"/>
      <c r="MYE12" s="2"/>
      <c r="MYF12" s="2"/>
      <c r="MYG12" s="2"/>
      <c r="MYH12" s="2"/>
      <c r="MYI12" s="2"/>
      <c r="MYJ12" s="2"/>
      <c r="MYK12" s="2"/>
      <c r="MYL12" s="2"/>
      <c r="MYM12" s="2"/>
      <c r="MYN12" s="2"/>
      <c r="MYO12" s="2"/>
      <c r="MYP12" s="2"/>
      <c r="MYQ12" s="2"/>
      <c r="MYR12" s="2"/>
      <c r="MYS12" s="2"/>
      <c r="MYT12" s="2"/>
      <c r="MYU12" s="2"/>
      <c r="MYV12" s="2"/>
      <c r="MYW12" s="2"/>
      <c r="MYX12" s="2"/>
      <c r="MYY12" s="2"/>
      <c r="MYZ12" s="2"/>
      <c r="MZA12" s="2"/>
      <c r="MZB12" s="2"/>
      <c r="MZC12" s="2"/>
      <c r="MZD12" s="2"/>
      <c r="MZE12" s="2"/>
      <c r="MZF12" s="2"/>
      <c r="MZG12" s="2"/>
      <c r="MZH12" s="2"/>
      <c r="MZI12" s="2"/>
      <c r="MZJ12" s="2"/>
      <c r="MZK12" s="2"/>
      <c r="MZL12" s="2"/>
      <c r="MZM12" s="2"/>
      <c r="MZN12" s="2"/>
      <c r="MZO12" s="2"/>
      <c r="MZP12" s="2"/>
      <c r="MZQ12" s="2"/>
      <c r="MZR12" s="2"/>
      <c r="MZS12" s="2"/>
      <c r="MZT12" s="2"/>
      <c r="MZU12" s="2"/>
      <c r="MZV12" s="2"/>
      <c r="MZW12" s="2"/>
      <c r="MZX12" s="2"/>
      <c r="MZY12" s="2"/>
      <c r="MZZ12" s="2"/>
      <c r="NAA12" s="2"/>
      <c r="NAB12" s="2"/>
      <c r="NAC12" s="2"/>
      <c r="NAD12" s="2"/>
      <c r="NAE12" s="2"/>
      <c r="NAF12" s="2"/>
      <c r="NAG12" s="2"/>
      <c r="NAH12" s="2"/>
      <c r="NAI12" s="2"/>
      <c r="NAJ12" s="2"/>
      <c r="NAK12" s="2"/>
      <c r="NAL12" s="2"/>
      <c r="NAM12" s="2"/>
      <c r="NAN12" s="2"/>
      <c r="NAO12" s="2"/>
      <c r="NAP12" s="2"/>
      <c r="NAQ12" s="2"/>
      <c r="NAR12" s="2"/>
      <c r="NAS12" s="2"/>
      <c r="NAT12" s="2"/>
      <c r="NAU12" s="2"/>
      <c r="NAV12" s="2"/>
      <c r="NAW12" s="2"/>
      <c r="NAX12" s="2"/>
      <c r="NAY12" s="2"/>
      <c r="NAZ12" s="2"/>
      <c r="NBA12" s="2"/>
      <c r="NBB12" s="2"/>
      <c r="NBC12" s="2"/>
      <c r="NBD12" s="2"/>
      <c r="NBE12" s="2"/>
      <c r="NBF12" s="2"/>
      <c r="NBG12" s="2"/>
      <c r="NBH12" s="2"/>
      <c r="NBI12" s="2"/>
      <c r="NBJ12" s="2"/>
      <c r="NBK12" s="2"/>
      <c r="NBL12" s="2"/>
      <c r="NBM12" s="2"/>
      <c r="NBN12" s="2"/>
      <c r="NBO12" s="2"/>
      <c r="NBP12" s="2"/>
      <c r="NBQ12" s="2"/>
      <c r="NBR12" s="2"/>
      <c r="NBS12" s="2"/>
      <c r="NBT12" s="2"/>
      <c r="NBU12" s="2"/>
      <c r="NBV12" s="2"/>
      <c r="NBW12" s="2"/>
      <c r="NBX12" s="2"/>
      <c r="NBY12" s="2"/>
      <c r="NBZ12" s="2"/>
      <c r="NCA12" s="2"/>
      <c r="NCB12" s="2"/>
      <c r="NCC12" s="2"/>
      <c r="NCD12" s="2"/>
      <c r="NCE12" s="2"/>
      <c r="NCF12" s="2"/>
      <c r="NCG12" s="2"/>
      <c r="NCH12" s="2"/>
      <c r="NCI12" s="2"/>
      <c r="NCJ12" s="2"/>
      <c r="NCK12" s="2"/>
      <c r="NCL12" s="2"/>
      <c r="NCM12" s="2"/>
      <c r="NCN12" s="2"/>
      <c r="NCO12" s="2"/>
      <c r="NCP12" s="2"/>
      <c r="NCQ12" s="2"/>
      <c r="NCR12" s="2"/>
      <c r="NCS12" s="2"/>
      <c r="NCT12" s="2"/>
      <c r="NCU12" s="2"/>
      <c r="NCV12" s="2"/>
      <c r="NCW12" s="2"/>
      <c r="NCX12" s="2"/>
      <c r="NCY12" s="2"/>
      <c r="NCZ12" s="2"/>
      <c r="NDA12" s="2"/>
      <c r="NDB12" s="2"/>
      <c r="NDC12" s="2"/>
      <c r="NDD12" s="2"/>
      <c r="NDE12" s="2"/>
      <c r="NDF12" s="2"/>
      <c r="NDG12" s="2"/>
      <c r="NDH12" s="2"/>
      <c r="NDI12" s="2"/>
      <c r="NDJ12" s="2"/>
      <c r="NDK12" s="2"/>
      <c r="NDL12" s="2"/>
      <c r="NDM12" s="2"/>
      <c r="NDN12" s="2"/>
      <c r="NDO12" s="2"/>
      <c r="NDP12" s="2"/>
      <c r="NDQ12" s="2"/>
      <c r="NDR12" s="2"/>
      <c r="NDS12" s="2"/>
      <c r="NDT12" s="2"/>
      <c r="NDU12" s="2"/>
      <c r="NDV12" s="2"/>
      <c r="NDW12" s="2"/>
      <c r="NDX12" s="2"/>
      <c r="NDY12" s="2"/>
      <c r="NDZ12" s="2"/>
      <c r="NEA12" s="2"/>
      <c r="NEB12" s="2"/>
      <c r="NEC12" s="2"/>
      <c r="NED12" s="2"/>
      <c r="NEE12" s="2"/>
      <c r="NEF12" s="2"/>
      <c r="NEG12" s="2"/>
      <c r="NEH12" s="2"/>
      <c r="NEI12" s="2"/>
      <c r="NEJ12" s="2"/>
      <c r="NEK12" s="2"/>
      <c r="NEL12" s="2"/>
      <c r="NEM12" s="2"/>
      <c r="NEN12" s="2"/>
      <c r="NEO12" s="2"/>
      <c r="NEP12" s="2"/>
      <c r="NEQ12" s="2"/>
      <c r="NER12" s="2"/>
      <c r="NES12" s="2"/>
      <c r="NET12" s="2"/>
      <c r="NEU12" s="2"/>
      <c r="NEV12" s="2"/>
      <c r="NEW12" s="2"/>
      <c r="NEX12" s="2"/>
      <c r="NEY12" s="2"/>
      <c r="NEZ12" s="2"/>
      <c r="NFA12" s="2"/>
      <c r="NFB12" s="2"/>
      <c r="NFC12" s="2"/>
      <c r="NFD12" s="2"/>
      <c r="NFE12" s="2"/>
      <c r="NFF12" s="2"/>
      <c r="NFG12" s="2"/>
      <c r="NFH12" s="2"/>
      <c r="NFI12" s="2"/>
      <c r="NFJ12" s="2"/>
      <c r="NFK12" s="2"/>
      <c r="NFL12" s="2"/>
      <c r="NFM12" s="2"/>
      <c r="NFN12" s="2"/>
      <c r="NFO12" s="2"/>
      <c r="NFP12" s="2"/>
      <c r="NFQ12" s="2"/>
      <c r="NFR12" s="2"/>
      <c r="NFS12" s="2"/>
      <c r="NFT12" s="2"/>
      <c r="NFU12" s="2"/>
      <c r="NFV12" s="2"/>
      <c r="NFW12" s="2"/>
      <c r="NFX12" s="2"/>
      <c r="NFY12" s="2"/>
      <c r="NFZ12" s="2"/>
      <c r="NGA12" s="2"/>
      <c r="NGB12" s="2"/>
      <c r="NGC12" s="2"/>
      <c r="NGD12" s="2"/>
      <c r="NGE12" s="2"/>
      <c r="NGF12" s="2"/>
      <c r="NGG12" s="2"/>
      <c r="NGH12" s="2"/>
      <c r="NGI12" s="2"/>
      <c r="NGJ12" s="2"/>
      <c r="NGK12" s="2"/>
      <c r="NGL12" s="2"/>
      <c r="NGM12" s="2"/>
      <c r="NGN12" s="2"/>
      <c r="NGO12" s="2"/>
      <c r="NGP12" s="2"/>
      <c r="NGQ12" s="2"/>
      <c r="NGR12" s="2"/>
      <c r="NGS12" s="2"/>
      <c r="NGT12" s="2"/>
      <c r="NGU12" s="2"/>
      <c r="NGV12" s="2"/>
      <c r="NGW12" s="2"/>
      <c r="NGX12" s="2"/>
      <c r="NGY12" s="2"/>
      <c r="NGZ12" s="2"/>
      <c r="NHA12" s="2"/>
      <c r="NHB12" s="2"/>
      <c r="NHC12" s="2"/>
      <c r="NHD12" s="2"/>
      <c r="NHE12" s="2"/>
      <c r="NHF12" s="2"/>
      <c r="NHG12" s="2"/>
      <c r="NHH12" s="2"/>
      <c r="NHI12" s="2"/>
      <c r="NHJ12" s="2"/>
      <c r="NHK12" s="2"/>
      <c r="NHL12" s="2"/>
      <c r="NHM12" s="2"/>
      <c r="NHN12" s="2"/>
      <c r="NHO12" s="2"/>
      <c r="NHP12" s="2"/>
      <c r="NHQ12" s="2"/>
      <c r="NHR12" s="2"/>
      <c r="NHS12" s="2"/>
      <c r="NHT12" s="2"/>
      <c r="NHU12" s="2"/>
      <c r="NHV12" s="2"/>
      <c r="NHW12" s="2"/>
      <c r="NHX12" s="2"/>
      <c r="NHY12" s="2"/>
      <c r="NHZ12" s="2"/>
      <c r="NIA12" s="2"/>
      <c r="NIB12" s="2"/>
      <c r="NIC12" s="2"/>
      <c r="NID12" s="2"/>
      <c r="NIE12" s="2"/>
      <c r="NIF12" s="2"/>
      <c r="NIG12" s="2"/>
      <c r="NIH12" s="2"/>
      <c r="NII12" s="2"/>
      <c r="NIJ12" s="2"/>
      <c r="NIK12" s="2"/>
      <c r="NIL12" s="2"/>
      <c r="NIM12" s="2"/>
      <c r="NIN12" s="2"/>
      <c r="NIO12" s="2"/>
      <c r="NIP12" s="2"/>
      <c r="NIQ12" s="2"/>
      <c r="NIR12" s="2"/>
      <c r="NIS12" s="2"/>
      <c r="NIT12" s="2"/>
      <c r="NIU12" s="2"/>
      <c r="NIV12" s="2"/>
      <c r="NIW12" s="2"/>
      <c r="NIX12" s="2"/>
      <c r="NIY12" s="2"/>
      <c r="NIZ12" s="2"/>
      <c r="NJA12" s="2"/>
      <c r="NJB12" s="2"/>
      <c r="NJC12" s="2"/>
      <c r="NJD12" s="2"/>
      <c r="NJE12" s="2"/>
      <c r="NJF12" s="2"/>
      <c r="NJG12" s="2"/>
      <c r="NJH12" s="2"/>
      <c r="NJI12" s="2"/>
      <c r="NJJ12" s="2"/>
      <c r="NJK12" s="2"/>
      <c r="NJL12" s="2"/>
      <c r="NJM12" s="2"/>
      <c r="NJN12" s="2"/>
      <c r="NJO12" s="2"/>
      <c r="NJP12" s="2"/>
      <c r="NJQ12" s="2"/>
      <c r="NJR12" s="2"/>
      <c r="NJS12" s="2"/>
      <c r="NJT12" s="2"/>
      <c r="NJU12" s="2"/>
      <c r="NJV12" s="2"/>
      <c r="NJW12" s="2"/>
      <c r="NJX12" s="2"/>
      <c r="NJY12" s="2"/>
      <c r="NJZ12" s="2"/>
      <c r="NKA12" s="2"/>
      <c r="NKB12" s="2"/>
      <c r="NKC12" s="2"/>
      <c r="NKD12" s="2"/>
      <c r="NKE12" s="2"/>
      <c r="NKF12" s="2"/>
      <c r="NKG12" s="2"/>
      <c r="NKH12" s="2"/>
      <c r="NKI12" s="2"/>
      <c r="NKJ12" s="2"/>
      <c r="NKK12" s="2"/>
      <c r="NKL12" s="2"/>
      <c r="NKM12" s="2"/>
      <c r="NKN12" s="2"/>
      <c r="NKO12" s="2"/>
      <c r="NKP12" s="2"/>
      <c r="NKQ12" s="2"/>
      <c r="NKR12" s="2"/>
      <c r="NKS12" s="2"/>
      <c r="NKT12" s="2"/>
      <c r="NKU12" s="2"/>
      <c r="NKV12" s="2"/>
      <c r="NKW12" s="2"/>
      <c r="NKX12" s="2"/>
      <c r="NKY12" s="2"/>
      <c r="NKZ12" s="2"/>
      <c r="NLA12" s="2"/>
      <c r="NLB12" s="2"/>
      <c r="NLC12" s="2"/>
      <c r="NLD12" s="2"/>
      <c r="NLE12" s="2"/>
      <c r="NLF12" s="2"/>
      <c r="NLG12" s="2"/>
      <c r="NLH12" s="2"/>
      <c r="NLI12" s="2"/>
      <c r="NLJ12" s="2"/>
      <c r="NLK12" s="2"/>
      <c r="NLL12" s="2"/>
      <c r="NLM12" s="2"/>
      <c r="NLN12" s="2"/>
      <c r="NLO12" s="2"/>
      <c r="NLP12" s="2"/>
      <c r="NLQ12" s="2"/>
      <c r="NLR12" s="2"/>
      <c r="NLS12" s="2"/>
      <c r="NLT12" s="2"/>
      <c r="NLU12" s="2"/>
      <c r="NLV12" s="2"/>
      <c r="NLW12" s="2"/>
      <c r="NLX12" s="2"/>
      <c r="NLY12" s="2"/>
      <c r="NLZ12" s="2"/>
      <c r="NMA12" s="2"/>
      <c r="NMB12" s="2"/>
      <c r="NMC12" s="2"/>
      <c r="NMD12" s="2"/>
      <c r="NME12" s="2"/>
      <c r="NMF12" s="2"/>
      <c r="NMG12" s="2"/>
      <c r="NMH12" s="2"/>
      <c r="NMI12" s="2"/>
      <c r="NMJ12" s="2"/>
      <c r="NMK12" s="2"/>
      <c r="NML12" s="2"/>
      <c r="NMM12" s="2"/>
      <c r="NMN12" s="2"/>
      <c r="NMO12" s="2"/>
      <c r="NMP12" s="2"/>
      <c r="NMQ12" s="2"/>
      <c r="NMR12" s="2"/>
      <c r="NMS12" s="2"/>
      <c r="NMT12" s="2"/>
      <c r="NMU12" s="2"/>
      <c r="NMV12" s="2"/>
      <c r="NMW12" s="2"/>
      <c r="NMX12" s="2"/>
      <c r="NMY12" s="2"/>
      <c r="NMZ12" s="2"/>
      <c r="NNA12" s="2"/>
      <c r="NNB12" s="2"/>
      <c r="NNC12" s="2"/>
      <c r="NND12" s="2"/>
      <c r="NNE12" s="2"/>
      <c r="NNF12" s="2"/>
      <c r="NNG12" s="2"/>
      <c r="NNH12" s="2"/>
      <c r="NNI12" s="2"/>
      <c r="NNJ12" s="2"/>
      <c r="NNK12" s="2"/>
      <c r="NNL12" s="2"/>
      <c r="NNM12" s="2"/>
      <c r="NNN12" s="2"/>
      <c r="NNO12" s="2"/>
      <c r="NNP12" s="2"/>
      <c r="NNQ12" s="2"/>
      <c r="NNR12" s="2"/>
      <c r="NNS12" s="2"/>
      <c r="NNT12" s="2"/>
      <c r="NNU12" s="2"/>
      <c r="NNV12" s="2"/>
      <c r="NNW12" s="2"/>
      <c r="NNX12" s="2"/>
      <c r="NNY12" s="2"/>
      <c r="NNZ12" s="2"/>
      <c r="NOA12" s="2"/>
      <c r="NOB12" s="2"/>
      <c r="NOC12" s="2"/>
      <c r="NOD12" s="2"/>
      <c r="NOE12" s="2"/>
      <c r="NOF12" s="2"/>
      <c r="NOG12" s="2"/>
      <c r="NOH12" s="2"/>
      <c r="NOI12" s="2"/>
      <c r="NOJ12" s="2"/>
      <c r="NOK12" s="2"/>
      <c r="NOL12" s="2"/>
      <c r="NOM12" s="2"/>
      <c r="NON12" s="2"/>
      <c r="NOO12" s="2"/>
      <c r="NOP12" s="2"/>
      <c r="NOQ12" s="2"/>
      <c r="NOR12" s="2"/>
      <c r="NOS12" s="2"/>
      <c r="NOT12" s="2"/>
      <c r="NOU12" s="2"/>
      <c r="NOV12" s="2"/>
      <c r="NOW12" s="2"/>
      <c r="NOX12" s="2"/>
      <c r="NOY12" s="2"/>
      <c r="NOZ12" s="2"/>
      <c r="NPA12" s="2"/>
      <c r="NPB12" s="2"/>
      <c r="NPC12" s="2"/>
      <c r="NPD12" s="2"/>
      <c r="NPE12" s="2"/>
      <c r="NPF12" s="2"/>
      <c r="NPG12" s="2"/>
      <c r="NPH12" s="2"/>
      <c r="NPI12" s="2"/>
      <c r="NPJ12" s="2"/>
      <c r="NPK12" s="2"/>
      <c r="NPL12" s="2"/>
      <c r="NPM12" s="2"/>
      <c r="NPN12" s="2"/>
      <c r="NPO12" s="2"/>
      <c r="NPP12" s="2"/>
      <c r="NPQ12" s="2"/>
      <c r="NPR12" s="2"/>
      <c r="NPS12" s="2"/>
      <c r="NPT12" s="2"/>
      <c r="NPU12" s="2"/>
      <c r="NPV12" s="2"/>
      <c r="NPW12" s="2"/>
      <c r="NPX12" s="2"/>
      <c r="NPY12" s="2"/>
      <c r="NPZ12" s="2"/>
      <c r="NQA12" s="2"/>
      <c r="NQB12" s="2"/>
      <c r="NQC12" s="2"/>
      <c r="NQD12" s="2"/>
      <c r="NQE12" s="2"/>
      <c r="NQF12" s="2"/>
      <c r="NQG12" s="2"/>
      <c r="NQH12" s="2"/>
      <c r="NQI12" s="2"/>
      <c r="NQJ12" s="2"/>
      <c r="NQK12" s="2"/>
      <c r="NQL12" s="2"/>
      <c r="NQM12" s="2"/>
      <c r="NQN12" s="2"/>
      <c r="NQO12" s="2"/>
      <c r="NQP12" s="2"/>
      <c r="NQQ12" s="2"/>
      <c r="NQR12" s="2"/>
      <c r="NQS12" s="2"/>
      <c r="NQT12" s="2"/>
      <c r="NQU12" s="2"/>
      <c r="NQV12" s="2"/>
      <c r="NQW12" s="2"/>
      <c r="NQX12" s="2"/>
      <c r="NQY12" s="2"/>
      <c r="NQZ12" s="2"/>
      <c r="NRA12" s="2"/>
      <c r="NRB12" s="2"/>
      <c r="NRC12" s="2"/>
      <c r="NRD12" s="2"/>
      <c r="NRE12" s="2"/>
      <c r="NRF12" s="2"/>
      <c r="NRG12" s="2"/>
      <c r="NRH12" s="2"/>
      <c r="NRI12" s="2"/>
      <c r="NRJ12" s="2"/>
      <c r="NRK12" s="2"/>
      <c r="NRL12" s="2"/>
      <c r="NRM12" s="2"/>
      <c r="NRN12" s="2"/>
      <c r="NRO12" s="2"/>
      <c r="NRP12" s="2"/>
      <c r="NRQ12" s="2"/>
      <c r="NRR12" s="2"/>
      <c r="NRS12" s="2"/>
      <c r="NRT12" s="2"/>
      <c r="NRU12" s="2"/>
      <c r="NRV12" s="2"/>
      <c r="NRW12" s="2"/>
      <c r="NRX12" s="2"/>
      <c r="NRY12" s="2"/>
      <c r="NRZ12" s="2"/>
      <c r="NSA12" s="2"/>
      <c r="NSB12" s="2"/>
      <c r="NSC12" s="2"/>
      <c r="NSD12" s="2"/>
      <c r="NSE12" s="2"/>
      <c r="NSF12" s="2"/>
      <c r="NSG12" s="2"/>
      <c r="NSH12" s="2"/>
      <c r="NSI12" s="2"/>
      <c r="NSJ12" s="2"/>
      <c r="NSK12" s="2"/>
      <c r="NSL12" s="2"/>
      <c r="NSM12" s="2"/>
      <c r="NSN12" s="2"/>
      <c r="NSO12" s="2"/>
      <c r="NSP12" s="2"/>
      <c r="NSQ12" s="2"/>
      <c r="NSR12" s="2"/>
      <c r="NSS12" s="2"/>
      <c r="NST12" s="2"/>
      <c r="NSU12" s="2"/>
      <c r="NSV12" s="2"/>
      <c r="NSW12" s="2"/>
      <c r="NSX12" s="2"/>
      <c r="NSY12" s="2"/>
      <c r="NSZ12" s="2"/>
      <c r="NTA12" s="2"/>
      <c r="NTB12" s="2"/>
      <c r="NTC12" s="2"/>
      <c r="NTD12" s="2"/>
      <c r="NTE12" s="2"/>
      <c r="NTF12" s="2"/>
      <c r="NTG12" s="2"/>
      <c r="NTH12" s="2"/>
      <c r="NTI12" s="2"/>
      <c r="NTJ12" s="2"/>
      <c r="NTK12" s="2"/>
      <c r="NTL12" s="2"/>
      <c r="NTM12" s="2"/>
      <c r="NTN12" s="2"/>
      <c r="NTO12" s="2"/>
      <c r="NTP12" s="2"/>
      <c r="NTQ12" s="2"/>
      <c r="NTR12" s="2"/>
      <c r="NTS12" s="2"/>
      <c r="NTT12" s="2"/>
      <c r="NTU12" s="2"/>
      <c r="NTV12" s="2"/>
      <c r="NTW12" s="2"/>
      <c r="NTX12" s="2"/>
      <c r="NTY12" s="2"/>
      <c r="NTZ12" s="2"/>
      <c r="NUA12" s="2"/>
      <c r="NUB12" s="2"/>
      <c r="NUC12" s="2"/>
      <c r="NUD12" s="2"/>
      <c r="NUE12" s="2"/>
      <c r="NUF12" s="2"/>
      <c r="NUG12" s="2"/>
      <c r="NUH12" s="2"/>
      <c r="NUI12" s="2"/>
      <c r="NUJ12" s="2"/>
      <c r="NUK12" s="2"/>
      <c r="NUL12" s="2"/>
      <c r="NUM12" s="2"/>
      <c r="NUN12" s="2"/>
      <c r="NUO12" s="2"/>
      <c r="NUP12" s="2"/>
      <c r="NUQ12" s="2"/>
      <c r="NUR12" s="2"/>
      <c r="NUS12" s="2"/>
      <c r="NUT12" s="2"/>
      <c r="NUU12" s="2"/>
      <c r="NUV12" s="2"/>
      <c r="NUW12" s="2"/>
      <c r="NUX12" s="2"/>
      <c r="NUY12" s="2"/>
      <c r="NUZ12" s="2"/>
      <c r="NVA12" s="2"/>
      <c r="NVB12" s="2"/>
      <c r="NVC12" s="2"/>
      <c r="NVD12" s="2"/>
      <c r="NVE12" s="2"/>
      <c r="NVF12" s="2"/>
      <c r="NVG12" s="2"/>
      <c r="NVH12" s="2"/>
      <c r="NVI12" s="2"/>
      <c r="NVJ12" s="2"/>
      <c r="NVK12" s="2"/>
      <c r="NVL12" s="2"/>
      <c r="NVM12" s="2"/>
      <c r="NVN12" s="2"/>
      <c r="NVO12" s="2"/>
      <c r="NVP12" s="2"/>
      <c r="NVQ12" s="2"/>
      <c r="NVR12" s="2"/>
      <c r="NVS12" s="2"/>
      <c r="NVT12" s="2"/>
      <c r="NVU12" s="2"/>
      <c r="NVV12" s="2"/>
      <c r="NVW12" s="2"/>
      <c r="NVX12" s="2"/>
      <c r="NVY12" s="2"/>
      <c r="NVZ12" s="2"/>
      <c r="NWA12" s="2"/>
      <c r="NWB12" s="2"/>
      <c r="NWC12" s="2"/>
      <c r="NWD12" s="2"/>
      <c r="NWE12" s="2"/>
      <c r="NWF12" s="2"/>
      <c r="NWG12" s="2"/>
      <c r="NWH12" s="2"/>
      <c r="NWI12" s="2"/>
      <c r="NWJ12" s="2"/>
      <c r="NWK12" s="2"/>
      <c r="NWL12" s="2"/>
      <c r="NWM12" s="2"/>
      <c r="NWN12" s="2"/>
      <c r="NWO12" s="2"/>
      <c r="NWP12" s="2"/>
      <c r="NWQ12" s="2"/>
      <c r="NWR12" s="2"/>
      <c r="NWS12" s="2"/>
      <c r="NWT12" s="2"/>
      <c r="NWU12" s="2"/>
      <c r="NWV12" s="2"/>
      <c r="NWW12" s="2"/>
      <c r="NWX12" s="2"/>
      <c r="NWY12" s="2"/>
      <c r="NWZ12" s="2"/>
      <c r="NXA12" s="2"/>
      <c r="NXB12" s="2"/>
      <c r="NXC12" s="2"/>
      <c r="NXD12" s="2"/>
      <c r="NXE12" s="2"/>
      <c r="NXF12" s="2"/>
      <c r="NXG12" s="2"/>
      <c r="NXH12" s="2"/>
      <c r="NXI12" s="2"/>
      <c r="NXJ12" s="2"/>
      <c r="NXK12" s="2"/>
      <c r="NXL12" s="2"/>
      <c r="NXM12" s="2"/>
      <c r="NXN12" s="2"/>
      <c r="NXO12" s="2"/>
      <c r="NXP12" s="2"/>
      <c r="NXQ12" s="2"/>
      <c r="NXR12" s="2"/>
      <c r="NXS12" s="2"/>
      <c r="NXT12" s="2"/>
      <c r="NXU12" s="2"/>
      <c r="NXV12" s="2"/>
      <c r="NXW12" s="2"/>
      <c r="NXX12" s="2"/>
      <c r="NXY12" s="2"/>
      <c r="NXZ12" s="2"/>
      <c r="NYA12" s="2"/>
      <c r="NYB12" s="2"/>
      <c r="NYC12" s="2"/>
      <c r="NYD12" s="2"/>
      <c r="NYE12" s="2"/>
      <c r="NYF12" s="2"/>
      <c r="NYG12" s="2"/>
      <c r="NYH12" s="2"/>
      <c r="NYI12" s="2"/>
      <c r="NYJ12" s="2"/>
      <c r="NYK12" s="2"/>
      <c r="NYL12" s="2"/>
      <c r="NYM12" s="2"/>
      <c r="NYN12" s="2"/>
      <c r="NYO12" s="2"/>
      <c r="NYP12" s="2"/>
      <c r="NYQ12" s="2"/>
      <c r="NYR12" s="2"/>
      <c r="NYS12" s="2"/>
      <c r="NYT12" s="2"/>
      <c r="NYU12" s="2"/>
      <c r="NYV12" s="2"/>
      <c r="NYW12" s="2"/>
      <c r="NYX12" s="2"/>
      <c r="NYY12" s="2"/>
      <c r="NYZ12" s="2"/>
      <c r="NZA12" s="2"/>
      <c r="NZB12" s="2"/>
      <c r="NZC12" s="2"/>
      <c r="NZD12" s="2"/>
      <c r="NZE12" s="2"/>
      <c r="NZF12" s="2"/>
      <c r="NZG12" s="2"/>
      <c r="NZH12" s="2"/>
      <c r="NZI12" s="2"/>
      <c r="NZJ12" s="2"/>
      <c r="NZK12" s="2"/>
      <c r="NZL12" s="2"/>
      <c r="NZM12" s="2"/>
      <c r="NZN12" s="2"/>
      <c r="NZO12" s="2"/>
      <c r="NZP12" s="2"/>
      <c r="NZQ12" s="2"/>
      <c r="NZR12" s="2"/>
      <c r="NZS12" s="2"/>
      <c r="NZT12" s="2"/>
      <c r="NZU12" s="2"/>
      <c r="NZV12" s="2"/>
      <c r="NZW12" s="2"/>
      <c r="NZX12" s="2"/>
      <c r="NZY12" s="2"/>
      <c r="NZZ12" s="2"/>
      <c r="OAA12" s="2"/>
      <c r="OAB12" s="2"/>
      <c r="OAC12" s="2"/>
      <c r="OAD12" s="2"/>
      <c r="OAE12" s="2"/>
      <c r="OAF12" s="2"/>
      <c r="OAG12" s="2"/>
      <c r="OAH12" s="2"/>
      <c r="OAI12" s="2"/>
      <c r="OAJ12" s="2"/>
      <c r="OAK12" s="2"/>
      <c r="OAL12" s="2"/>
      <c r="OAM12" s="2"/>
      <c r="OAN12" s="2"/>
      <c r="OAO12" s="2"/>
      <c r="OAP12" s="2"/>
      <c r="OAQ12" s="2"/>
      <c r="OAR12" s="2"/>
      <c r="OAS12" s="2"/>
      <c r="OAT12" s="2"/>
      <c r="OAU12" s="2"/>
      <c r="OAV12" s="2"/>
      <c r="OAW12" s="2"/>
      <c r="OAX12" s="2"/>
      <c r="OAY12" s="2"/>
      <c r="OAZ12" s="2"/>
      <c r="OBA12" s="2"/>
      <c r="OBB12" s="2"/>
      <c r="OBC12" s="2"/>
      <c r="OBD12" s="2"/>
      <c r="OBE12" s="2"/>
      <c r="OBF12" s="2"/>
      <c r="OBG12" s="2"/>
      <c r="OBH12" s="2"/>
      <c r="OBI12" s="2"/>
      <c r="OBJ12" s="2"/>
      <c r="OBK12" s="2"/>
      <c r="OBL12" s="2"/>
      <c r="OBM12" s="2"/>
      <c r="OBN12" s="2"/>
      <c r="OBO12" s="2"/>
      <c r="OBP12" s="2"/>
      <c r="OBQ12" s="2"/>
      <c r="OBR12" s="2"/>
      <c r="OBS12" s="2"/>
      <c r="OBT12" s="2"/>
      <c r="OBU12" s="2"/>
      <c r="OBV12" s="2"/>
      <c r="OBW12" s="2"/>
      <c r="OBX12" s="2"/>
      <c r="OBY12" s="2"/>
      <c r="OBZ12" s="2"/>
      <c r="OCA12" s="2"/>
      <c r="OCB12" s="2"/>
      <c r="OCC12" s="2"/>
      <c r="OCD12" s="2"/>
      <c r="OCE12" s="2"/>
      <c r="OCF12" s="2"/>
      <c r="OCG12" s="2"/>
      <c r="OCH12" s="2"/>
      <c r="OCI12" s="2"/>
      <c r="OCJ12" s="2"/>
      <c r="OCK12" s="2"/>
      <c r="OCL12" s="2"/>
      <c r="OCM12" s="2"/>
      <c r="OCN12" s="2"/>
      <c r="OCO12" s="2"/>
      <c r="OCP12" s="2"/>
      <c r="OCQ12" s="2"/>
      <c r="OCR12" s="2"/>
      <c r="OCS12" s="2"/>
      <c r="OCT12" s="2"/>
      <c r="OCU12" s="2"/>
      <c r="OCV12" s="2"/>
      <c r="OCW12" s="2"/>
      <c r="OCX12" s="2"/>
      <c r="OCY12" s="2"/>
      <c r="OCZ12" s="2"/>
      <c r="ODA12" s="2"/>
      <c r="ODB12" s="2"/>
      <c r="ODC12" s="2"/>
      <c r="ODD12" s="2"/>
      <c r="ODE12" s="2"/>
      <c r="ODF12" s="2"/>
      <c r="ODG12" s="2"/>
      <c r="ODH12" s="2"/>
      <c r="ODI12" s="2"/>
      <c r="ODJ12" s="2"/>
      <c r="ODK12" s="2"/>
      <c r="ODL12" s="2"/>
      <c r="ODM12" s="2"/>
      <c r="ODN12" s="2"/>
      <c r="ODO12" s="2"/>
      <c r="ODP12" s="2"/>
      <c r="ODQ12" s="2"/>
      <c r="ODR12" s="2"/>
      <c r="ODS12" s="2"/>
      <c r="ODT12" s="2"/>
      <c r="ODU12" s="2"/>
      <c r="ODV12" s="2"/>
      <c r="ODW12" s="2"/>
      <c r="ODX12" s="2"/>
      <c r="ODY12" s="2"/>
      <c r="ODZ12" s="2"/>
      <c r="OEA12" s="2"/>
      <c r="OEB12" s="2"/>
      <c r="OEC12" s="2"/>
      <c r="OED12" s="2"/>
      <c r="OEE12" s="2"/>
      <c r="OEF12" s="2"/>
      <c r="OEG12" s="2"/>
      <c r="OEH12" s="2"/>
      <c r="OEI12" s="2"/>
      <c r="OEJ12" s="2"/>
      <c r="OEK12" s="2"/>
      <c r="OEL12" s="2"/>
      <c r="OEM12" s="2"/>
      <c r="OEN12" s="2"/>
      <c r="OEO12" s="2"/>
      <c r="OEP12" s="2"/>
      <c r="OEQ12" s="2"/>
      <c r="OER12" s="2"/>
      <c r="OES12" s="2"/>
      <c r="OET12" s="2"/>
      <c r="OEU12" s="2"/>
      <c r="OEV12" s="2"/>
      <c r="OEW12" s="2"/>
      <c r="OEX12" s="2"/>
      <c r="OEY12" s="2"/>
      <c r="OEZ12" s="2"/>
      <c r="OFA12" s="2"/>
      <c r="OFB12" s="2"/>
      <c r="OFC12" s="2"/>
      <c r="OFD12" s="2"/>
      <c r="OFE12" s="2"/>
      <c r="OFF12" s="2"/>
      <c r="OFG12" s="2"/>
      <c r="OFH12" s="2"/>
      <c r="OFI12" s="2"/>
      <c r="OFJ12" s="2"/>
      <c r="OFK12" s="2"/>
      <c r="OFL12" s="2"/>
      <c r="OFM12" s="2"/>
      <c r="OFN12" s="2"/>
      <c r="OFO12" s="2"/>
      <c r="OFP12" s="2"/>
      <c r="OFQ12" s="2"/>
      <c r="OFR12" s="2"/>
      <c r="OFS12" s="2"/>
      <c r="OFT12" s="2"/>
      <c r="OFU12" s="2"/>
      <c r="OFV12" s="2"/>
      <c r="OFW12" s="2"/>
      <c r="OFX12" s="2"/>
      <c r="OFY12" s="2"/>
      <c r="OFZ12" s="2"/>
      <c r="OGA12" s="2"/>
      <c r="OGB12" s="2"/>
      <c r="OGC12" s="2"/>
      <c r="OGD12" s="2"/>
      <c r="OGE12" s="2"/>
      <c r="OGF12" s="2"/>
      <c r="OGG12" s="2"/>
      <c r="OGH12" s="2"/>
      <c r="OGI12" s="2"/>
      <c r="OGJ12" s="2"/>
      <c r="OGK12" s="2"/>
      <c r="OGL12" s="2"/>
      <c r="OGM12" s="2"/>
      <c r="OGN12" s="2"/>
      <c r="OGO12" s="2"/>
      <c r="OGP12" s="2"/>
      <c r="OGQ12" s="2"/>
      <c r="OGR12" s="2"/>
      <c r="OGS12" s="2"/>
      <c r="OGT12" s="2"/>
      <c r="OGU12" s="2"/>
      <c r="OGV12" s="2"/>
      <c r="OGW12" s="2"/>
      <c r="OGX12" s="2"/>
      <c r="OGY12" s="2"/>
      <c r="OGZ12" s="2"/>
      <c r="OHA12" s="2"/>
      <c r="OHB12" s="2"/>
      <c r="OHC12" s="2"/>
      <c r="OHD12" s="2"/>
      <c r="OHE12" s="2"/>
      <c r="OHF12" s="2"/>
      <c r="OHG12" s="2"/>
      <c r="OHH12" s="2"/>
      <c r="OHI12" s="2"/>
      <c r="OHJ12" s="2"/>
      <c r="OHK12" s="2"/>
      <c r="OHL12" s="2"/>
      <c r="OHM12" s="2"/>
      <c r="OHN12" s="2"/>
      <c r="OHO12" s="2"/>
      <c r="OHP12" s="2"/>
      <c r="OHQ12" s="2"/>
      <c r="OHR12" s="2"/>
      <c r="OHS12" s="2"/>
      <c r="OHT12" s="2"/>
      <c r="OHU12" s="2"/>
      <c r="OHV12" s="2"/>
      <c r="OHW12" s="2"/>
      <c r="OHX12" s="2"/>
      <c r="OHY12" s="2"/>
      <c r="OHZ12" s="2"/>
      <c r="OIA12" s="2"/>
      <c r="OIB12" s="2"/>
      <c r="OIC12" s="2"/>
      <c r="OID12" s="2"/>
      <c r="OIE12" s="2"/>
      <c r="OIF12" s="2"/>
      <c r="OIG12" s="2"/>
      <c r="OIH12" s="2"/>
      <c r="OII12" s="2"/>
      <c r="OIJ12" s="2"/>
      <c r="OIK12" s="2"/>
      <c r="OIL12" s="2"/>
      <c r="OIM12" s="2"/>
      <c r="OIN12" s="2"/>
      <c r="OIO12" s="2"/>
      <c r="OIP12" s="2"/>
      <c r="OIQ12" s="2"/>
      <c r="OIR12" s="2"/>
      <c r="OIS12" s="2"/>
      <c r="OIT12" s="2"/>
      <c r="OIU12" s="2"/>
      <c r="OIV12" s="2"/>
      <c r="OIW12" s="2"/>
      <c r="OIX12" s="2"/>
      <c r="OIY12" s="2"/>
      <c r="OIZ12" s="2"/>
      <c r="OJA12" s="2"/>
      <c r="OJB12" s="2"/>
      <c r="OJC12" s="2"/>
      <c r="OJD12" s="2"/>
      <c r="OJE12" s="2"/>
      <c r="OJF12" s="2"/>
      <c r="OJG12" s="2"/>
      <c r="OJH12" s="2"/>
      <c r="OJI12" s="2"/>
      <c r="OJJ12" s="2"/>
      <c r="OJK12" s="2"/>
      <c r="OJL12" s="2"/>
      <c r="OJM12" s="2"/>
      <c r="OJN12" s="2"/>
      <c r="OJO12" s="2"/>
      <c r="OJP12" s="2"/>
      <c r="OJQ12" s="2"/>
      <c r="OJR12" s="2"/>
      <c r="OJS12" s="2"/>
      <c r="OJT12" s="2"/>
      <c r="OJU12" s="2"/>
      <c r="OJV12" s="2"/>
      <c r="OJW12" s="2"/>
      <c r="OJX12" s="2"/>
      <c r="OJY12" s="2"/>
      <c r="OJZ12" s="2"/>
      <c r="OKA12" s="2"/>
      <c r="OKB12" s="2"/>
      <c r="OKC12" s="2"/>
      <c r="OKD12" s="2"/>
      <c r="OKE12" s="2"/>
      <c r="OKF12" s="2"/>
      <c r="OKG12" s="2"/>
      <c r="OKH12" s="2"/>
      <c r="OKI12" s="2"/>
      <c r="OKJ12" s="2"/>
      <c r="OKK12" s="2"/>
      <c r="OKL12" s="2"/>
      <c r="OKM12" s="2"/>
      <c r="OKN12" s="2"/>
      <c r="OKO12" s="2"/>
      <c r="OKP12" s="2"/>
      <c r="OKQ12" s="2"/>
      <c r="OKR12" s="2"/>
      <c r="OKS12" s="2"/>
      <c r="OKT12" s="2"/>
      <c r="OKU12" s="2"/>
      <c r="OKV12" s="2"/>
      <c r="OKW12" s="2"/>
      <c r="OKX12" s="2"/>
      <c r="OKY12" s="2"/>
      <c r="OKZ12" s="2"/>
      <c r="OLA12" s="2"/>
      <c r="OLB12" s="2"/>
      <c r="OLC12" s="2"/>
      <c r="OLD12" s="2"/>
      <c r="OLE12" s="2"/>
      <c r="OLF12" s="2"/>
      <c r="OLG12" s="2"/>
      <c r="OLH12" s="2"/>
      <c r="OLI12" s="2"/>
      <c r="OLJ12" s="2"/>
      <c r="OLK12" s="2"/>
      <c r="OLL12" s="2"/>
      <c r="OLM12" s="2"/>
      <c r="OLN12" s="2"/>
      <c r="OLO12" s="2"/>
      <c r="OLP12" s="2"/>
      <c r="OLQ12" s="2"/>
      <c r="OLR12" s="2"/>
      <c r="OLS12" s="2"/>
      <c r="OLT12" s="2"/>
      <c r="OLU12" s="2"/>
      <c r="OLV12" s="2"/>
      <c r="OLW12" s="2"/>
      <c r="OLX12" s="2"/>
      <c r="OLY12" s="2"/>
      <c r="OLZ12" s="2"/>
      <c r="OMA12" s="2"/>
      <c r="OMB12" s="2"/>
      <c r="OMC12" s="2"/>
      <c r="OMD12" s="2"/>
      <c r="OME12" s="2"/>
      <c r="OMF12" s="2"/>
      <c r="OMG12" s="2"/>
      <c r="OMH12" s="2"/>
      <c r="OMI12" s="2"/>
      <c r="OMJ12" s="2"/>
      <c r="OMK12" s="2"/>
      <c r="OML12" s="2"/>
      <c r="OMM12" s="2"/>
      <c r="OMN12" s="2"/>
      <c r="OMO12" s="2"/>
      <c r="OMP12" s="2"/>
      <c r="OMQ12" s="2"/>
      <c r="OMR12" s="2"/>
      <c r="OMS12" s="2"/>
      <c r="OMT12" s="2"/>
      <c r="OMU12" s="2"/>
      <c r="OMV12" s="2"/>
      <c r="OMW12" s="2"/>
      <c r="OMX12" s="2"/>
      <c r="OMY12" s="2"/>
      <c r="OMZ12" s="2"/>
      <c r="ONA12" s="2"/>
      <c r="ONB12" s="2"/>
      <c r="ONC12" s="2"/>
      <c r="OND12" s="2"/>
      <c r="ONE12" s="2"/>
      <c r="ONF12" s="2"/>
      <c r="ONG12" s="2"/>
      <c r="ONH12" s="2"/>
      <c r="ONI12" s="2"/>
      <c r="ONJ12" s="2"/>
      <c r="ONK12" s="2"/>
      <c r="ONL12" s="2"/>
      <c r="ONM12" s="2"/>
      <c r="ONN12" s="2"/>
      <c r="ONO12" s="2"/>
      <c r="ONP12" s="2"/>
      <c r="ONQ12" s="2"/>
      <c r="ONR12" s="2"/>
      <c r="ONS12" s="2"/>
      <c r="ONT12" s="2"/>
      <c r="ONU12" s="2"/>
      <c r="ONV12" s="2"/>
      <c r="ONW12" s="2"/>
      <c r="ONX12" s="2"/>
      <c r="ONY12" s="2"/>
      <c r="ONZ12" s="2"/>
      <c r="OOA12" s="2"/>
      <c r="OOB12" s="2"/>
      <c r="OOC12" s="2"/>
      <c r="OOD12" s="2"/>
      <c r="OOE12" s="2"/>
      <c r="OOF12" s="2"/>
      <c r="OOG12" s="2"/>
      <c r="OOH12" s="2"/>
      <c r="OOI12" s="2"/>
      <c r="OOJ12" s="2"/>
      <c r="OOK12" s="2"/>
      <c r="OOL12" s="2"/>
      <c r="OOM12" s="2"/>
      <c r="OON12" s="2"/>
      <c r="OOO12" s="2"/>
      <c r="OOP12" s="2"/>
      <c r="OOQ12" s="2"/>
      <c r="OOR12" s="2"/>
      <c r="OOS12" s="2"/>
      <c r="OOT12" s="2"/>
      <c r="OOU12" s="2"/>
      <c r="OOV12" s="2"/>
      <c r="OOW12" s="2"/>
      <c r="OOX12" s="2"/>
      <c r="OOY12" s="2"/>
      <c r="OOZ12" s="2"/>
      <c r="OPA12" s="2"/>
      <c r="OPB12" s="2"/>
      <c r="OPC12" s="2"/>
      <c r="OPD12" s="2"/>
      <c r="OPE12" s="2"/>
      <c r="OPF12" s="2"/>
      <c r="OPG12" s="2"/>
      <c r="OPH12" s="2"/>
      <c r="OPI12" s="2"/>
      <c r="OPJ12" s="2"/>
      <c r="OPK12" s="2"/>
      <c r="OPL12" s="2"/>
      <c r="OPM12" s="2"/>
      <c r="OPN12" s="2"/>
      <c r="OPO12" s="2"/>
      <c r="OPP12" s="2"/>
      <c r="OPQ12" s="2"/>
      <c r="OPR12" s="2"/>
      <c r="OPS12" s="2"/>
      <c r="OPT12" s="2"/>
      <c r="OPU12" s="2"/>
      <c r="OPV12" s="2"/>
      <c r="OPW12" s="2"/>
      <c r="OPX12" s="2"/>
      <c r="OPY12" s="2"/>
      <c r="OPZ12" s="2"/>
      <c r="OQA12" s="2"/>
      <c r="OQB12" s="2"/>
      <c r="OQC12" s="2"/>
      <c r="OQD12" s="2"/>
      <c r="OQE12" s="2"/>
      <c r="OQF12" s="2"/>
      <c r="OQG12" s="2"/>
      <c r="OQH12" s="2"/>
      <c r="OQI12" s="2"/>
      <c r="OQJ12" s="2"/>
      <c r="OQK12" s="2"/>
      <c r="OQL12" s="2"/>
      <c r="OQM12" s="2"/>
      <c r="OQN12" s="2"/>
      <c r="OQO12" s="2"/>
      <c r="OQP12" s="2"/>
      <c r="OQQ12" s="2"/>
      <c r="OQR12" s="2"/>
      <c r="OQS12" s="2"/>
      <c r="OQT12" s="2"/>
      <c r="OQU12" s="2"/>
      <c r="OQV12" s="2"/>
      <c r="OQW12" s="2"/>
      <c r="OQX12" s="2"/>
      <c r="OQY12" s="2"/>
      <c r="OQZ12" s="2"/>
      <c r="ORA12" s="2"/>
      <c r="ORB12" s="2"/>
      <c r="ORC12" s="2"/>
      <c r="ORD12" s="2"/>
      <c r="ORE12" s="2"/>
      <c r="ORF12" s="2"/>
      <c r="ORG12" s="2"/>
      <c r="ORH12" s="2"/>
      <c r="ORI12" s="2"/>
      <c r="ORJ12" s="2"/>
      <c r="ORK12" s="2"/>
      <c r="ORL12" s="2"/>
      <c r="ORM12" s="2"/>
      <c r="ORN12" s="2"/>
      <c r="ORO12" s="2"/>
      <c r="ORP12" s="2"/>
      <c r="ORQ12" s="2"/>
      <c r="ORR12" s="2"/>
      <c r="ORS12" s="2"/>
      <c r="ORT12" s="2"/>
      <c r="ORU12" s="2"/>
      <c r="ORV12" s="2"/>
      <c r="ORW12" s="2"/>
      <c r="ORX12" s="2"/>
      <c r="ORY12" s="2"/>
      <c r="ORZ12" s="2"/>
      <c r="OSA12" s="2"/>
      <c r="OSB12" s="2"/>
      <c r="OSC12" s="2"/>
      <c r="OSD12" s="2"/>
      <c r="OSE12" s="2"/>
      <c r="OSF12" s="2"/>
      <c r="OSG12" s="2"/>
      <c r="OSH12" s="2"/>
      <c r="OSI12" s="2"/>
      <c r="OSJ12" s="2"/>
      <c r="OSK12" s="2"/>
      <c r="OSL12" s="2"/>
      <c r="OSM12" s="2"/>
      <c r="OSN12" s="2"/>
      <c r="OSO12" s="2"/>
      <c r="OSP12" s="2"/>
      <c r="OSQ12" s="2"/>
      <c r="OSR12" s="2"/>
      <c r="OSS12" s="2"/>
      <c r="OST12" s="2"/>
      <c r="OSU12" s="2"/>
      <c r="OSV12" s="2"/>
      <c r="OSW12" s="2"/>
      <c r="OSX12" s="2"/>
      <c r="OSY12" s="2"/>
      <c r="OSZ12" s="2"/>
      <c r="OTA12" s="2"/>
      <c r="OTB12" s="2"/>
      <c r="OTC12" s="2"/>
      <c r="OTD12" s="2"/>
      <c r="OTE12" s="2"/>
      <c r="OTF12" s="2"/>
      <c r="OTG12" s="2"/>
      <c r="OTH12" s="2"/>
      <c r="OTI12" s="2"/>
      <c r="OTJ12" s="2"/>
      <c r="OTK12" s="2"/>
      <c r="OTL12" s="2"/>
      <c r="OTM12" s="2"/>
      <c r="OTN12" s="2"/>
      <c r="OTO12" s="2"/>
      <c r="OTP12" s="2"/>
      <c r="OTQ12" s="2"/>
      <c r="OTR12" s="2"/>
      <c r="OTS12" s="2"/>
      <c r="OTT12" s="2"/>
      <c r="OTU12" s="2"/>
      <c r="OTV12" s="2"/>
      <c r="OTW12" s="2"/>
      <c r="OTX12" s="2"/>
      <c r="OTY12" s="2"/>
      <c r="OTZ12" s="2"/>
      <c r="OUA12" s="2"/>
      <c r="OUB12" s="2"/>
      <c r="OUC12" s="2"/>
      <c r="OUD12" s="2"/>
      <c r="OUE12" s="2"/>
      <c r="OUF12" s="2"/>
      <c r="OUG12" s="2"/>
      <c r="OUH12" s="2"/>
      <c r="OUI12" s="2"/>
      <c r="OUJ12" s="2"/>
      <c r="OUK12" s="2"/>
      <c r="OUL12" s="2"/>
      <c r="OUM12" s="2"/>
      <c r="OUN12" s="2"/>
      <c r="OUO12" s="2"/>
      <c r="OUP12" s="2"/>
      <c r="OUQ12" s="2"/>
      <c r="OUR12" s="2"/>
      <c r="OUS12" s="2"/>
      <c r="OUT12" s="2"/>
      <c r="OUU12" s="2"/>
      <c r="OUV12" s="2"/>
      <c r="OUW12" s="2"/>
      <c r="OUX12" s="2"/>
      <c r="OUY12" s="2"/>
      <c r="OUZ12" s="2"/>
      <c r="OVA12" s="2"/>
      <c r="OVB12" s="2"/>
      <c r="OVC12" s="2"/>
      <c r="OVD12" s="2"/>
      <c r="OVE12" s="2"/>
      <c r="OVF12" s="2"/>
      <c r="OVG12" s="2"/>
      <c r="OVH12" s="2"/>
      <c r="OVI12" s="2"/>
      <c r="OVJ12" s="2"/>
      <c r="OVK12" s="2"/>
      <c r="OVL12" s="2"/>
      <c r="OVM12" s="2"/>
      <c r="OVN12" s="2"/>
      <c r="OVO12" s="2"/>
      <c r="OVP12" s="2"/>
      <c r="OVQ12" s="2"/>
      <c r="OVR12" s="2"/>
      <c r="OVS12" s="2"/>
      <c r="OVT12" s="2"/>
      <c r="OVU12" s="2"/>
      <c r="OVV12" s="2"/>
      <c r="OVW12" s="2"/>
      <c r="OVX12" s="2"/>
      <c r="OVY12" s="2"/>
      <c r="OVZ12" s="2"/>
      <c r="OWA12" s="2"/>
      <c r="OWB12" s="2"/>
      <c r="OWC12" s="2"/>
      <c r="OWD12" s="2"/>
      <c r="OWE12" s="2"/>
      <c r="OWF12" s="2"/>
      <c r="OWG12" s="2"/>
      <c r="OWH12" s="2"/>
      <c r="OWI12" s="2"/>
      <c r="OWJ12" s="2"/>
      <c r="OWK12" s="2"/>
      <c r="OWL12" s="2"/>
      <c r="OWM12" s="2"/>
      <c r="OWN12" s="2"/>
      <c r="OWO12" s="2"/>
      <c r="OWP12" s="2"/>
      <c r="OWQ12" s="2"/>
      <c r="OWR12" s="2"/>
      <c r="OWS12" s="2"/>
      <c r="OWT12" s="2"/>
      <c r="OWU12" s="2"/>
      <c r="OWV12" s="2"/>
      <c r="OWW12" s="2"/>
      <c r="OWX12" s="2"/>
      <c r="OWY12" s="2"/>
      <c r="OWZ12" s="2"/>
      <c r="OXA12" s="2"/>
      <c r="OXB12" s="2"/>
      <c r="OXC12" s="2"/>
      <c r="OXD12" s="2"/>
      <c r="OXE12" s="2"/>
      <c r="OXF12" s="2"/>
      <c r="OXG12" s="2"/>
      <c r="OXH12" s="2"/>
      <c r="OXI12" s="2"/>
      <c r="OXJ12" s="2"/>
      <c r="OXK12" s="2"/>
      <c r="OXL12" s="2"/>
      <c r="OXM12" s="2"/>
      <c r="OXN12" s="2"/>
      <c r="OXO12" s="2"/>
      <c r="OXP12" s="2"/>
      <c r="OXQ12" s="2"/>
      <c r="OXR12" s="2"/>
      <c r="OXS12" s="2"/>
      <c r="OXT12" s="2"/>
      <c r="OXU12" s="2"/>
      <c r="OXV12" s="2"/>
      <c r="OXW12" s="2"/>
      <c r="OXX12" s="2"/>
      <c r="OXY12" s="2"/>
      <c r="OXZ12" s="2"/>
      <c r="OYA12" s="2"/>
      <c r="OYB12" s="2"/>
      <c r="OYC12" s="2"/>
      <c r="OYD12" s="2"/>
      <c r="OYE12" s="2"/>
      <c r="OYF12" s="2"/>
      <c r="OYG12" s="2"/>
      <c r="OYH12" s="2"/>
      <c r="OYI12" s="2"/>
      <c r="OYJ12" s="2"/>
      <c r="OYK12" s="2"/>
      <c r="OYL12" s="2"/>
      <c r="OYM12" s="2"/>
      <c r="OYN12" s="2"/>
      <c r="OYO12" s="2"/>
      <c r="OYP12" s="2"/>
      <c r="OYQ12" s="2"/>
      <c r="OYR12" s="2"/>
      <c r="OYS12" s="2"/>
      <c r="OYT12" s="2"/>
      <c r="OYU12" s="2"/>
      <c r="OYV12" s="2"/>
      <c r="OYW12" s="2"/>
      <c r="OYX12" s="2"/>
      <c r="OYY12" s="2"/>
      <c r="OYZ12" s="2"/>
      <c r="OZA12" s="2"/>
      <c r="OZB12" s="2"/>
      <c r="OZC12" s="2"/>
      <c r="OZD12" s="2"/>
      <c r="OZE12" s="2"/>
      <c r="OZF12" s="2"/>
      <c r="OZG12" s="2"/>
      <c r="OZH12" s="2"/>
      <c r="OZI12" s="2"/>
      <c r="OZJ12" s="2"/>
      <c r="OZK12" s="2"/>
      <c r="OZL12" s="2"/>
      <c r="OZM12" s="2"/>
      <c r="OZN12" s="2"/>
      <c r="OZO12" s="2"/>
      <c r="OZP12" s="2"/>
      <c r="OZQ12" s="2"/>
      <c r="OZR12" s="2"/>
      <c r="OZS12" s="2"/>
      <c r="OZT12" s="2"/>
      <c r="OZU12" s="2"/>
      <c r="OZV12" s="2"/>
      <c r="OZW12" s="2"/>
      <c r="OZX12" s="2"/>
      <c r="OZY12" s="2"/>
      <c r="OZZ12" s="2"/>
      <c r="PAA12" s="2"/>
      <c r="PAB12" s="2"/>
      <c r="PAC12" s="2"/>
      <c r="PAD12" s="2"/>
      <c r="PAE12" s="2"/>
      <c r="PAF12" s="2"/>
      <c r="PAG12" s="2"/>
      <c r="PAH12" s="2"/>
      <c r="PAI12" s="2"/>
      <c r="PAJ12" s="2"/>
      <c r="PAK12" s="2"/>
      <c r="PAL12" s="2"/>
      <c r="PAM12" s="2"/>
      <c r="PAN12" s="2"/>
      <c r="PAO12" s="2"/>
      <c r="PAP12" s="2"/>
      <c r="PAQ12" s="2"/>
      <c r="PAR12" s="2"/>
      <c r="PAS12" s="2"/>
      <c r="PAT12" s="2"/>
      <c r="PAU12" s="2"/>
      <c r="PAV12" s="2"/>
      <c r="PAW12" s="2"/>
      <c r="PAX12" s="2"/>
      <c r="PAY12" s="2"/>
      <c r="PAZ12" s="2"/>
      <c r="PBA12" s="2"/>
      <c r="PBB12" s="2"/>
      <c r="PBC12" s="2"/>
      <c r="PBD12" s="2"/>
      <c r="PBE12" s="2"/>
      <c r="PBF12" s="2"/>
      <c r="PBG12" s="2"/>
      <c r="PBH12" s="2"/>
      <c r="PBI12" s="2"/>
      <c r="PBJ12" s="2"/>
      <c r="PBK12" s="2"/>
      <c r="PBL12" s="2"/>
      <c r="PBM12" s="2"/>
      <c r="PBN12" s="2"/>
      <c r="PBO12" s="2"/>
      <c r="PBP12" s="2"/>
      <c r="PBQ12" s="2"/>
      <c r="PBR12" s="2"/>
      <c r="PBS12" s="2"/>
      <c r="PBT12" s="2"/>
      <c r="PBU12" s="2"/>
      <c r="PBV12" s="2"/>
      <c r="PBW12" s="2"/>
      <c r="PBX12" s="2"/>
      <c r="PBY12" s="2"/>
      <c r="PBZ12" s="2"/>
      <c r="PCA12" s="2"/>
      <c r="PCB12" s="2"/>
      <c r="PCC12" s="2"/>
      <c r="PCD12" s="2"/>
      <c r="PCE12" s="2"/>
      <c r="PCF12" s="2"/>
      <c r="PCG12" s="2"/>
      <c r="PCH12" s="2"/>
      <c r="PCI12" s="2"/>
      <c r="PCJ12" s="2"/>
      <c r="PCK12" s="2"/>
      <c r="PCL12" s="2"/>
      <c r="PCM12" s="2"/>
      <c r="PCN12" s="2"/>
      <c r="PCO12" s="2"/>
      <c r="PCP12" s="2"/>
      <c r="PCQ12" s="2"/>
      <c r="PCR12" s="2"/>
      <c r="PCS12" s="2"/>
      <c r="PCT12" s="2"/>
      <c r="PCU12" s="2"/>
      <c r="PCV12" s="2"/>
      <c r="PCW12" s="2"/>
      <c r="PCX12" s="2"/>
      <c r="PCY12" s="2"/>
      <c r="PCZ12" s="2"/>
      <c r="PDA12" s="2"/>
      <c r="PDB12" s="2"/>
      <c r="PDC12" s="2"/>
      <c r="PDD12" s="2"/>
      <c r="PDE12" s="2"/>
      <c r="PDF12" s="2"/>
      <c r="PDG12" s="2"/>
      <c r="PDH12" s="2"/>
      <c r="PDI12" s="2"/>
      <c r="PDJ12" s="2"/>
      <c r="PDK12" s="2"/>
      <c r="PDL12" s="2"/>
      <c r="PDM12" s="2"/>
      <c r="PDN12" s="2"/>
      <c r="PDO12" s="2"/>
      <c r="PDP12" s="2"/>
      <c r="PDQ12" s="2"/>
      <c r="PDR12" s="2"/>
      <c r="PDS12" s="2"/>
      <c r="PDT12" s="2"/>
      <c r="PDU12" s="2"/>
      <c r="PDV12" s="2"/>
      <c r="PDW12" s="2"/>
      <c r="PDX12" s="2"/>
      <c r="PDY12" s="2"/>
      <c r="PDZ12" s="2"/>
      <c r="PEA12" s="2"/>
      <c r="PEB12" s="2"/>
      <c r="PEC12" s="2"/>
      <c r="PED12" s="2"/>
      <c r="PEE12" s="2"/>
      <c r="PEF12" s="2"/>
      <c r="PEG12" s="2"/>
      <c r="PEH12" s="2"/>
      <c r="PEI12" s="2"/>
      <c r="PEJ12" s="2"/>
      <c r="PEK12" s="2"/>
      <c r="PEL12" s="2"/>
      <c r="PEM12" s="2"/>
      <c r="PEN12" s="2"/>
      <c r="PEO12" s="2"/>
      <c r="PEP12" s="2"/>
      <c r="PEQ12" s="2"/>
      <c r="PER12" s="2"/>
      <c r="PES12" s="2"/>
      <c r="PET12" s="2"/>
      <c r="PEU12" s="2"/>
      <c r="PEV12" s="2"/>
      <c r="PEW12" s="2"/>
      <c r="PEX12" s="2"/>
      <c r="PEY12" s="2"/>
      <c r="PEZ12" s="2"/>
      <c r="PFA12" s="2"/>
      <c r="PFB12" s="2"/>
      <c r="PFC12" s="2"/>
      <c r="PFD12" s="2"/>
      <c r="PFE12" s="2"/>
      <c r="PFF12" s="2"/>
      <c r="PFG12" s="2"/>
      <c r="PFH12" s="2"/>
      <c r="PFI12" s="2"/>
      <c r="PFJ12" s="2"/>
      <c r="PFK12" s="2"/>
      <c r="PFL12" s="2"/>
      <c r="PFM12" s="2"/>
      <c r="PFN12" s="2"/>
      <c r="PFO12" s="2"/>
      <c r="PFP12" s="2"/>
      <c r="PFQ12" s="2"/>
      <c r="PFR12" s="2"/>
      <c r="PFS12" s="2"/>
      <c r="PFT12" s="2"/>
      <c r="PFU12" s="2"/>
      <c r="PFV12" s="2"/>
      <c r="PFW12" s="2"/>
      <c r="PFX12" s="2"/>
      <c r="PFY12" s="2"/>
      <c r="PFZ12" s="2"/>
      <c r="PGA12" s="2"/>
      <c r="PGB12" s="2"/>
      <c r="PGC12" s="2"/>
      <c r="PGD12" s="2"/>
      <c r="PGE12" s="2"/>
      <c r="PGF12" s="2"/>
      <c r="PGG12" s="2"/>
      <c r="PGH12" s="2"/>
      <c r="PGI12" s="2"/>
      <c r="PGJ12" s="2"/>
      <c r="PGK12" s="2"/>
      <c r="PGL12" s="2"/>
      <c r="PGM12" s="2"/>
      <c r="PGN12" s="2"/>
      <c r="PGO12" s="2"/>
      <c r="PGP12" s="2"/>
      <c r="PGQ12" s="2"/>
      <c r="PGR12" s="2"/>
      <c r="PGS12" s="2"/>
      <c r="PGT12" s="2"/>
      <c r="PGU12" s="2"/>
      <c r="PGV12" s="2"/>
      <c r="PGW12" s="2"/>
      <c r="PGX12" s="2"/>
      <c r="PGY12" s="2"/>
      <c r="PGZ12" s="2"/>
      <c r="PHA12" s="2"/>
      <c r="PHB12" s="2"/>
      <c r="PHC12" s="2"/>
      <c r="PHD12" s="2"/>
      <c r="PHE12" s="2"/>
      <c r="PHF12" s="2"/>
      <c r="PHG12" s="2"/>
      <c r="PHH12" s="2"/>
      <c r="PHI12" s="2"/>
      <c r="PHJ12" s="2"/>
      <c r="PHK12" s="2"/>
      <c r="PHL12" s="2"/>
      <c r="PHM12" s="2"/>
      <c r="PHN12" s="2"/>
      <c r="PHO12" s="2"/>
      <c r="PHP12" s="2"/>
      <c r="PHQ12" s="2"/>
      <c r="PHR12" s="2"/>
      <c r="PHS12" s="2"/>
      <c r="PHT12" s="2"/>
      <c r="PHU12" s="2"/>
      <c r="PHV12" s="2"/>
      <c r="PHW12" s="2"/>
      <c r="PHX12" s="2"/>
      <c r="PHY12" s="2"/>
      <c r="PHZ12" s="2"/>
      <c r="PIA12" s="2"/>
      <c r="PIB12" s="2"/>
      <c r="PIC12" s="2"/>
      <c r="PID12" s="2"/>
      <c r="PIE12" s="2"/>
      <c r="PIF12" s="2"/>
      <c r="PIG12" s="2"/>
      <c r="PIH12" s="2"/>
      <c r="PII12" s="2"/>
      <c r="PIJ12" s="2"/>
      <c r="PIK12" s="2"/>
      <c r="PIL12" s="2"/>
      <c r="PIM12" s="2"/>
      <c r="PIN12" s="2"/>
      <c r="PIO12" s="2"/>
      <c r="PIP12" s="2"/>
      <c r="PIQ12" s="2"/>
      <c r="PIR12" s="2"/>
      <c r="PIS12" s="2"/>
      <c r="PIT12" s="2"/>
      <c r="PIU12" s="2"/>
      <c r="PIV12" s="2"/>
      <c r="PIW12" s="2"/>
      <c r="PIX12" s="2"/>
      <c r="PIY12" s="2"/>
      <c r="PIZ12" s="2"/>
      <c r="PJA12" s="2"/>
      <c r="PJB12" s="2"/>
      <c r="PJC12" s="2"/>
      <c r="PJD12" s="2"/>
      <c r="PJE12" s="2"/>
      <c r="PJF12" s="2"/>
      <c r="PJG12" s="2"/>
      <c r="PJH12" s="2"/>
      <c r="PJI12" s="2"/>
      <c r="PJJ12" s="2"/>
      <c r="PJK12" s="2"/>
      <c r="PJL12" s="2"/>
      <c r="PJM12" s="2"/>
      <c r="PJN12" s="2"/>
      <c r="PJO12" s="2"/>
      <c r="PJP12" s="2"/>
      <c r="PJQ12" s="2"/>
      <c r="PJR12" s="2"/>
      <c r="PJS12" s="2"/>
      <c r="PJT12" s="2"/>
      <c r="PJU12" s="2"/>
      <c r="PJV12" s="2"/>
      <c r="PJW12" s="2"/>
      <c r="PJX12" s="2"/>
      <c r="PJY12" s="2"/>
      <c r="PJZ12" s="2"/>
      <c r="PKA12" s="2"/>
      <c r="PKB12" s="2"/>
      <c r="PKC12" s="2"/>
      <c r="PKD12" s="2"/>
      <c r="PKE12" s="2"/>
      <c r="PKF12" s="2"/>
      <c r="PKG12" s="2"/>
      <c r="PKH12" s="2"/>
      <c r="PKI12" s="2"/>
      <c r="PKJ12" s="2"/>
      <c r="PKK12" s="2"/>
      <c r="PKL12" s="2"/>
      <c r="PKM12" s="2"/>
      <c r="PKN12" s="2"/>
      <c r="PKO12" s="2"/>
      <c r="PKP12" s="2"/>
      <c r="PKQ12" s="2"/>
      <c r="PKR12" s="2"/>
      <c r="PKS12" s="2"/>
      <c r="PKT12" s="2"/>
      <c r="PKU12" s="2"/>
      <c r="PKV12" s="2"/>
      <c r="PKW12" s="2"/>
      <c r="PKX12" s="2"/>
      <c r="PKY12" s="2"/>
      <c r="PKZ12" s="2"/>
      <c r="PLA12" s="2"/>
      <c r="PLB12" s="2"/>
      <c r="PLC12" s="2"/>
      <c r="PLD12" s="2"/>
      <c r="PLE12" s="2"/>
      <c r="PLF12" s="2"/>
      <c r="PLG12" s="2"/>
      <c r="PLH12" s="2"/>
      <c r="PLI12" s="2"/>
      <c r="PLJ12" s="2"/>
      <c r="PLK12" s="2"/>
      <c r="PLL12" s="2"/>
      <c r="PLM12" s="2"/>
      <c r="PLN12" s="2"/>
      <c r="PLO12" s="2"/>
      <c r="PLP12" s="2"/>
      <c r="PLQ12" s="2"/>
      <c r="PLR12" s="2"/>
      <c r="PLS12" s="2"/>
      <c r="PLT12" s="2"/>
      <c r="PLU12" s="2"/>
      <c r="PLV12" s="2"/>
      <c r="PLW12" s="2"/>
      <c r="PLX12" s="2"/>
      <c r="PLY12" s="2"/>
      <c r="PLZ12" s="2"/>
      <c r="PMA12" s="2"/>
      <c r="PMB12" s="2"/>
      <c r="PMC12" s="2"/>
      <c r="PMD12" s="2"/>
      <c r="PME12" s="2"/>
      <c r="PMF12" s="2"/>
      <c r="PMG12" s="2"/>
      <c r="PMH12" s="2"/>
      <c r="PMI12" s="2"/>
      <c r="PMJ12" s="2"/>
      <c r="PMK12" s="2"/>
      <c r="PML12" s="2"/>
      <c r="PMM12" s="2"/>
      <c r="PMN12" s="2"/>
      <c r="PMO12" s="2"/>
      <c r="PMP12" s="2"/>
      <c r="PMQ12" s="2"/>
      <c r="PMR12" s="2"/>
      <c r="PMS12" s="2"/>
      <c r="PMT12" s="2"/>
      <c r="PMU12" s="2"/>
      <c r="PMV12" s="2"/>
      <c r="PMW12" s="2"/>
      <c r="PMX12" s="2"/>
      <c r="PMY12" s="2"/>
      <c r="PMZ12" s="2"/>
      <c r="PNA12" s="2"/>
      <c r="PNB12" s="2"/>
      <c r="PNC12" s="2"/>
      <c r="PND12" s="2"/>
      <c r="PNE12" s="2"/>
      <c r="PNF12" s="2"/>
      <c r="PNG12" s="2"/>
      <c r="PNH12" s="2"/>
      <c r="PNI12" s="2"/>
      <c r="PNJ12" s="2"/>
      <c r="PNK12" s="2"/>
      <c r="PNL12" s="2"/>
      <c r="PNM12" s="2"/>
      <c r="PNN12" s="2"/>
      <c r="PNO12" s="2"/>
      <c r="PNP12" s="2"/>
      <c r="PNQ12" s="2"/>
      <c r="PNR12" s="2"/>
      <c r="PNS12" s="2"/>
      <c r="PNT12" s="2"/>
      <c r="PNU12" s="2"/>
      <c r="PNV12" s="2"/>
      <c r="PNW12" s="2"/>
      <c r="PNX12" s="2"/>
      <c r="PNY12" s="2"/>
      <c r="PNZ12" s="2"/>
      <c r="POA12" s="2"/>
      <c r="POB12" s="2"/>
      <c r="POC12" s="2"/>
      <c r="POD12" s="2"/>
      <c r="POE12" s="2"/>
      <c r="POF12" s="2"/>
      <c r="POG12" s="2"/>
      <c r="POH12" s="2"/>
      <c r="POI12" s="2"/>
      <c r="POJ12" s="2"/>
      <c r="POK12" s="2"/>
      <c r="POL12" s="2"/>
      <c r="POM12" s="2"/>
      <c r="PON12" s="2"/>
      <c r="POO12" s="2"/>
      <c r="POP12" s="2"/>
      <c r="POQ12" s="2"/>
      <c r="POR12" s="2"/>
      <c r="POS12" s="2"/>
      <c r="POT12" s="2"/>
      <c r="POU12" s="2"/>
      <c r="POV12" s="2"/>
      <c r="POW12" s="2"/>
      <c r="POX12" s="2"/>
      <c r="POY12" s="2"/>
      <c r="POZ12" s="2"/>
      <c r="PPA12" s="2"/>
      <c r="PPB12" s="2"/>
      <c r="PPC12" s="2"/>
      <c r="PPD12" s="2"/>
      <c r="PPE12" s="2"/>
      <c r="PPF12" s="2"/>
      <c r="PPG12" s="2"/>
      <c r="PPH12" s="2"/>
      <c r="PPI12" s="2"/>
      <c r="PPJ12" s="2"/>
      <c r="PPK12" s="2"/>
      <c r="PPL12" s="2"/>
      <c r="PPM12" s="2"/>
      <c r="PPN12" s="2"/>
      <c r="PPO12" s="2"/>
      <c r="PPP12" s="2"/>
      <c r="PPQ12" s="2"/>
      <c r="PPR12" s="2"/>
      <c r="PPS12" s="2"/>
      <c r="PPT12" s="2"/>
      <c r="PPU12" s="2"/>
      <c r="PPV12" s="2"/>
      <c r="PPW12" s="2"/>
      <c r="PPX12" s="2"/>
      <c r="PPY12" s="2"/>
      <c r="PPZ12" s="2"/>
      <c r="PQA12" s="2"/>
      <c r="PQB12" s="2"/>
      <c r="PQC12" s="2"/>
      <c r="PQD12" s="2"/>
      <c r="PQE12" s="2"/>
      <c r="PQF12" s="2"/>
      <c r="PQG12" s="2"/>
      <c r="PQH12" s="2"/>
      <c r="PQI12" s="2"/>
      <c r="PQJ12" s="2"/>
      <c r="PQK12" s="2"/>
      <c r="PQL12" s="2"/>
      <c r="PQM12" s="2"/>
      <c r="PQN12" s="2"/>
      <c r="PQO12" s="2"/>
      <c r="PQP12" s="2"/>
      <c r="PQQ12" s="2"/>
      <c r="PQR12" s="2"/>
      <c r="PQS12" s="2"/>
      <c r="PQT12" s="2"/>
      <c r="PQU12" s="2"/>
      <c r="PQV12" s="2"/>
      <c r="PQW12" s="2"/>
      <c r="PQX12" s="2"/>
      <c r="PQY12" s="2"/>
      <c r="PQZ12" s="2"/>
      <c r="PRA12" s="2"/>
      <c r="PRB12" s="2"/>
      <c r="PRC12" s="2"/>
      <c r="PRD12" s="2"/>
      <c r="PRE12" s="2"/>
      <c r="PRF12" s="2"/>
      <c r="PRG12" s="2"/>
      <c r="PRH12" s="2"/>
      <c r="PRI12" s="2"/>
      <c r="PRJ12" s="2"/>
      <c r="PRK12" s="2"/>
      <c r="PRL12" s="2"/>
      <c r="PRM12" s="2"/>
      <c r="PRN12" s="2"/>
      <c r="PRO12" s="2"/>
      <c r="PRP12" s="2"/>
      <c r="PRQ12" s="2"/>
      <c r="PRR12" s="2"/>
      <c r="PRS12" s="2"/>
      <c r="PRT12" s="2"/>
      <c r="PRU12" s="2"/>
      <c r="PRV12" s="2"/>
      <c r="PRW12" s="2"/>
      <c r="PRX12" s="2"/>
      <c r="PRY12" s="2"/>
      <c r="PRZ12" s="2"/>
      <c r="PSA12" s="2"/>
      <c r="PSB12" s="2"/>
      <c r="PSC12" s="2"/>
      <c r="PSD12" s="2"/>
      <c r="PSE12" s="2"/>
      <c r="PSF12" s="2"/>
      <c r="PSG12" s="2"/>
      <c r="PSH12" s="2"/>
      <c r="PSI12" s="2"/>
      <c r="PSJ12" s="2"/>
      <c r="PSK12" s="2"/>
      <c r="PSL12" s="2"/>
      <c r="PSM12" s="2"/>
      <c r="PSN12" s="2"/>
      <c r="PSO12" s="2"/>
      <c r="PSP12" s="2"/>
      <c r="PSQ12" s="2"/>
      <c r="PSR12" s="2"/>
      <c r="PSS12" s="2"/>
      <c r="PST12" s="2"/>
      <c r="PSU12" s="2"/>
      <c r="PSV12" s="2"/>
      <c r="PSW12" s="2"/>
      <c r="PSX12" s="2"/>
      <c r="PSY12" s="2"/>
      <c r="PSZ12" s="2"/>
      <c r="PTA12" s="2"/>
      <c r="PTB12" s="2"/>
      <c r="PTC12" s="2"/>
      <c r="PTD12" s="2"/>
      <c r="PTE12" s="2"/>
      <c r="PTF12" s="2"/>
      <c r="PTG12" s="2"/>
      <c r="PTH12" s="2"/>
      <c r="PTI12" s="2"/>
      <c r="PTJ12" s="2"/>
      <c r="PTK12" s="2"/>
      <c r="PTL12" s="2"/>
      <c r="PTM12" s="2"/>
      <c r="PTN12" s="2"/>
      <c r="PTO12" s="2"/>
      <c r="PTP12" s="2"/>
      <c r="PTQ12" s="2"/>
      <c r="PTR12" s="2"/>
      <c r="PTS12" s="2"/>
      <c r="PTT12" s="2"/>
      <c r="PTU12" s="2"/>
      <c r="PTV12" s="2"/>
      <c r="PTW12" s="2"/>
      <c r="PTX12" s="2"/>
      <c r="PTY12" s="2"/>
      <c r="PTZ12" s="2"/>
      <c r="PUA12" s="2"/>
      <c r="PUB12" s="2"/>
      <c r="PUC12" s="2"/>
      <c r="PUD12" s="2"/>
      <c r="PUE12" s="2"/>
      <c r="PUF12" s="2"/>
      <c r="PUG12" s="2"/>
      <c r="PUH12" s="2"/>
      <c r="PUI12" s="2"/>
      <c r="PUJ12" s="2"/>
      <c r="PUK12" s="2"/>
      <c r="PUL12" s="2"/>
      <c r="PUM12" s="2"/>
      <c r="PUN12" s="2"/>
      <c r="PUO12" s="2"/>
      <c r="PUP12" s="2"/>
      <c r="PUQ12" s="2"/>
      <c r="PUR12" s="2"/>
      <c r="PUS12" s="2"/>
      <c r="PUT12" s="2"/>
      <c r="PUU12" s="2"/>
      <c r="PUV12" s="2"/>
      <c r="PUW12" s="2"/>
      <c r="PUX12" s="2"/>
      <c r="PUY12" s="2"/>
      <c r="PUZ12" s="2"/>
      <c r="PVA12" s="2"/>
      <c r="PVB12" s="2"/>
      <c r="PVC12" s="2"/>
      <c r="PVD12" s="2"/>
      <c r="PVE12" s="2"/>
      <c r="PVF12" s="2"/>
      <c r="PVG12" s="2"/>
      <c r="PVH12" s="2"/>
      <c r="PVI12" s="2"/>
      <c r="PVJ12" s="2"/>
      <c r="PVK12" s="2"/>
      <c r="PVL12" s="2"/>
      <c r="PVM12" s="2"/>
      <c r="PVN12" s="2"/>
      <c r="PVO12" s="2"/>
      <c r="PVP12" s="2"/>
      <c r="PVQ12" s="2"/>
      <c r="PVR12" s="2"/>
      <c r="PVS12" s="2"/>
      <c r="PVT12" s="2"/>
      <c r="PVU12" s="2"/>
      <c r="PVV12" s="2"/>
      <c r="PVW12" s="2"/>
      <c r="PVX12" s="2"/>
      <c r="PVY12" s="2"/>
      <c r="PVZ12" s="2"/>
      <c r="PWA12" s="2"/>
      <c r="PWB12" s="2"/>
      <c r="PWC12" s="2"/>
      <c r="PWD12" s="2"/>
      <c r="PWE12" s="2"/>
      <c r="PWF12" s="2"/>
      <c r="PWG12" s="2"/>
      <c r="PWH12" s="2"/>
      <c r="PWI12" s="2"/>
      <c r="PWJ12" s="2"/>
      <c r="PWK12" s="2"/>
      <c r="PWL12" s="2"/>
      <c r="PWM12" s="2"/>
      <c r="PWN12" s="2"/>
      <c r="PWO12" s="2"/>
      <c r="PWP12" s="2"/>
      <c r="PWQ12" s="2"/>
      <c r="PWR12" s="2"/>
      <c r="PWS12" s="2"/>
      <c r="PWT12" s="2"/>
      <c r="PWU12" s="2"/>
      <c r="PWV12" s="2"/>
      <c r="PWW12" s="2"/>
      <c r="PWX12" s="2"/>
      <c r="PWY12" s="2"/>
      <c r="PWZ12" s="2"/>
      <c r="PXA12" s="2"/>
      <c r="PXB12" s="2"/>
      <c r="PXC12" s="2"/>
      <c r="PXD12" s="2"/>
      <c r="PXE12" s="2"/>
      <c r="PXF12" s="2"/>
      <c r="PXG12" s="2"/>
      <c r="PXH12" s="2"/>
      <c r="PXI12" s="2"/>
      <c r="PXJ12" s="2"/>
      <c r="PXK12" s="2"/>
      <c r="PXL12" s="2"/>
      <c r="PXM12" s="2"/>
      <c r="PXN12" s="2"/>
      <c r="PXO12" s="2"/>
      <c r="PXP12" s="2"/>
      <c r="PXQ12" s="2"/>
      <c r="PXR12" s="2"/>
      <c r="PXS12" s="2"/>
      <c r="PXT12" s="2"/>
      <c r="PXU12" s="2"/>
      <c r="PXV12" s="2"/>
      <c r="PXW12" s="2"/>
      <c r="PXX12" s="2"/>
      <c r="PXY12" s="2"/>
      <c r="PXZ12" s="2"/>
      <c r="PYA12" s="2"/>
      <c r="PYB12" s="2"/>
      <c r="PYC12" s="2"/>
      <c r="PYD12" s="2"/>
      <c r="PYE12" s="2"/>
      <c r="PYF12" s="2"/>
      <c r="PYG12" s="2"/>
      <c r="PYH12" s="2"/>
      <c r="PYI12" s="2"/>
      <c r="PYJ12" s="2"/>
      <c r="PYK12" s="2"/>
      <c r="PYL12" s="2"/>
      <c r="PYM12" s="2"/>
      <c r="PYN12" s="2"/>
      <c r="PYO12" s="2"/>
      <c r="PYP12" s="2"/>
      <c r="PYQ12" s="2"/>
      <c r="PYR12" s="2"/>
      <c r="PYS12" s="2"/>
      <c r="PYT12" s="2"/>
      <c r="PYU12" s="2"/>
      <c r="PYV12" s="2"/>
      <c r="PYW12" s="2"/>
      <c r="PYX12" s="2"/>
      <c r="PYY12" s="2"/>
      <c r="PYZ12" s="2"/>
      <c r="PZA12" s="2"/>
      <c r="PZB12" s="2"/>
      <c r="PZC12" s="2"/>
      <c r="PZD12" s="2"/>
      <c r="PZE12" s="2"/>
      <c r="PZF12" s="2"/>
      <c r="PZG12" s="2"/>
      <c r="PZH12" s="2"/>
      <c r="PZI12" s="2"/>
      <c r="PZJ12" s="2"/>
      <c r="PZK12" s="2"/>
      <c r="PZL12" s="2"/>
      <c r="PZM12" s="2"/>
      <c r="PZN12" s="2"/>
      <c r="PZO12" s="2"/>
      <c r="PZP12" s="2"/>
      <c r="PZQ12" s="2"/>
      <c r="PZR12" s="2"/>
      <c r="PZS12" s="2"/>
      <c r="PZT12" s="2"/>
      <c r="PZU12" s="2"/>
      <c r="PZV12" s="2"/>
      <c r="PZW12" s="2"/>
      <c r="PZX12" s="2"/>
      <c r="PZY12" s="2"/>
      <c r="PZZ12" s="2"/>
      <c r="QAA12" s="2"/>
      <c r="QAB12" s="2"/>
      <c r="QAC12" s="2"/>
      <c r="QAD12" s="2"/>
      <c r="QAE12" s="2"/>
      <c r="QAF12" s="2"/>
      <c r="QAG12" s="2"/>
      <c r="QAH12" s="2"/>
      <c r="QAI12" s="2"/>
      <c r="QAJ12" s="2"/>
      <c r="QAK12" s="2"/>
      <c r="QAL12" s="2"/>
      <c r="QAM12" s="2"/>
      <c r="QAN12" s="2"/>
      <c r="QAO12" s="2"/>
      <c r="QAP12" s="2"/>
      <c r="QAQ12" s="2"/>
      <c r="QAR12" s="2"/>
      <c r="QAS12" s="2"/>
      <c r="QAT12" s="2"/>
      <c r="QAU12" s="2"/>
      <c r="QAV12" s="2"/>
      <c r="QAW12" s="2"/>
      <c r="QAX12" s="2"/>
      <c r="QAY12" s="2"/>
      <c r="QAZ12" s="2"/>
      <c r="QBA12" s="2"/>
      <c r="QBB12" s="2"/>
      <c r="QBC12" s="2"/>
      <c r="QBD12" s="2"/>
      <c r="QBE12" s="2"/>
      <c r="QBF12" s="2"/>
      <c r="QBG12" s="2"/>
      <c r="QBH12" s="2"/>
      <c r="QBI12" s="2"/>
      <c r="QBJ12" s="2"/>
      <c r="QBK12" s="2"/>
      <c r="QBL12" s="2"/>
      <c r="QBM12" s="2"/>
      <c r="QBN12" s="2"/>
      <c r="QBO12" s="2"/>
      <c r="QBP12" s="2"/>
      <c r="QBQ12" s="2"/>
      <c r="QBR12" s="2"/>
      <c r="QBS12" s="2"/>
      <c r="QBT12" s="2"/>
      <c r="QBU12" s="2"/>
      <c r="QBV12" s="2"/>
      <c r="QBW12" s="2"/>
      <c r="QBX12" s="2"/>
      <c r="QBY12" s="2"/>
      <c r="QBZ12" s="2"/>
      <c r="QCA12" s="2"/>
      <c r="QCB12" s="2"/>
      <c r="QCC12" s="2"/>
      <c r="QCD12" s="2"/>
      <c r="QCE12" s="2"/>
      <c r="QCF12" s="2"/>
      <c r="QCG12" s="2"/>
      <c r="QCH12" s="2"/>
      <c r="QCI12" s="2"/>
      <c r="QCJ12" s="2"/>
      <c r="QCK12" s="2"/>
      <c r="QCL12" s="2"/>
      <c r="QCM12" s="2"/>
      <c r="QCN12" s="2"/>
      <c r="QCO12" s="2"/>
      <c r="QCP12" s="2"/>
      <c r="QCQ12" s="2"/>
      <c r="QCR12" s="2"/>
      <c r="QCS12" s="2"/>
      <c r="QCT12" s="2"/>
      <c r="QCU12" s="2"/>
      <c r="QCV12" s="2"/>
      <c r="QCW12" s="2"/>
      <c r="QCX12" s="2"/>
      <c r="QCY12" s="2"/>
      <c r="QCZ12" s="2"/>
      <c r="QDA12" s="2"/>
      <c r="QDB12" s="2"/>
      <c r="QDC12" s="2"/>
      <c r="QDD12" s="2"/>
      <c r="QDE12" s="2"/>
      <c r="QDF12" s="2"/>
      <c r="QDG12" s="2"/>
      <c r="QDH12" s="2"/>
      <c r="QDI12" s="2"/>
      <c r="QDJ12" s="2"/>
      <c r="QDK12" s="2"/>
      <c r="QDL12" s="2"/>
      <c r="QDM12" s="2"/>
      <c r="QDN12" s="2"/>
      <c r="QDO12" s="2"/>
      <c r="QDP12" s="2"/>
      <c r="QDQ12" s="2"/>
      <c r="QDR12" s="2"/>
      <c r="QDS12" s="2"/>
      <c r="QDT12" s="2"/>
      <c r="QDU12" s="2"/>
      <c r="QDV12" s="2"/>
      <c r="QDW12" s="2"/>
      <c r="QDX12" s="2"/>
      <c r="QDY12" s="2"/>
      <c r="QDZ12" s="2"/>
      <c r="QEA12" s="2"/>
      <c r="QEB12" s="2"/>
      <c r="QEC12" s="2"/>
      <c r="QED12" s="2"/>
      <c r="QEE12" s="2"/>
      <c r="QEF12" s="2"/>
      <c r="QEG12" s="2"/>
      <c r="QEH12" s="2"/>
      <c r="QEI12" s="2"/>
      <c r="QEJ12" s="2"/>
      <c r="QEK12" s="2"/>
      <c r="QEL12" s="2"/>
      <c r="QEM12" s="2"/>
      <c r="QEN12" s="2"/>
      <c r="QEO12" s="2"/>
      <c r="QEP12" s="2"/>
      <c r="QEQ12" s="2"/>
      <c r="QER12" s="2"/>
      <c r="QES12" s="2"/>
      <c r="QET12" s="2"/>
      <c r="QEU12" s="2"/>
      <c r="QEV12" s="2"/>
      <c r="QEW12" s="2"/>
      <c r="QEX12" s="2"/>
      <c r="QEY12" s="2"/>
      <c r="QEZ12" s="2"/>
      <c r="QFA12" s="2"/>
      <c r="QFB12" s="2"/>
      <c r="QFC12" s="2"/>
      <c r="QFD12" s="2"/>
      <c r="QFE12" s="2"/>
      <c r="QFF12" s="2"/>
      <c r="QFG12" s="2"/>
      <c r="QFH12" s="2"/>
      <c r="QFI12" s="2"/>
      <c r="QFJ12" s="2"/>
      <c r="QFK12" s="2"/>
      <c r="QFL12" s="2"/>
      <c r="QFM12" s="2"/>
      <c r="QFN12" s="2"/>
      <c r="QFO12" s="2"/>
      <c r="QFP12" s="2"/>
      <c r="QFQ12" s="2"/>
      <c r="QFR12" s="2"/>
      <c r="QFS12" s="2"/>
      <c r="QFT12" s="2"/>
      <c r="QFU12" s="2"/>
      <c r="QFV12" s="2"/>
      <c r="QFW12" s="2"/>
      <c r="QFX12" s="2"/>
      <c r="QFY12" s="2"/>
      <c r="QFZ12" s="2"/>
      <c r="QGA12" s="2"/>
      <c r="QGB12" s="2"/>
      <c r="QGC12" s="2"/>
      <c r="QGD12" s="2"/>
      <c r="QGE12" s="2"/>
      <c r="QGF12" s="2"/>
      <c r="QGG12" s="2"/>
      <c r="QGH12" s="2"/>
      <c r="QGI12" s="2"/>
      <c r="QGJ12" s="2"/>
      <c r="QGK12" s="2"/>
      <c r="QGL12" s="2"/>
      <c r="QGM12" s="2"/>
      <c r="QGN12" s="2"/>
      <c r="QGO12" s="2"/>
      <c r="QGP12" s="2"/>
      <c r="QGQ12" s="2"/>
      <c r="QGR12" s="2"/>
      <c r="QGS12" s="2"/>
      <c r="QGT12" s="2"/>
      <c r="QGU12" s="2"/>
      <c r="QGV12" s="2"/>
      <c r="QGW12" s="2"/>
      <c r="QGX12" s="2"/>
      <c r="QGY12" s="2"/>
      <c r="QGZ12" s="2"/>
      <c r="QHA12" s="2"/>
      <c r="QHB12" s="2"/>
      <c r="QHC12" s="2"/>
      <c r="QHD12" s="2"/>
      <c r="QHE12" s="2"/>
      <c r="QHF12" s="2"/>
      <c r="QHG12" s="2"/>
      <c r="QHH12" s="2"/>
      <c r="QHI12" s="2"/>
      <c r="QHJ12" s="2"/>
      <c r="QHK12" s="2"/>
      <c r="QHL12" s="2"/>
      <c r="QHM12" s="2"/>
      <c r="QHN12" s="2"/>
      <c r="QHO12" s="2"/>
      <c r="QHP12" s="2"/>
      <c r="QHQ12" s="2"/>
      <c r="QHR12" s="2"/>
      <c r="QHS12" s="2"/>
      <c r="QHT12" s="2"/>
      <c r="QHU12" s="2"/>
      <c r="QHV12" s="2"/>
      <c r="QHW12" s="2"/>
      <c r="QHX12" s="2"/>
      <c r="QHY12" s="2"/>
      <c r="QHZ12" s="2"/>
      <c r="QIA12" s="2"/>
      <c r="QIB12" s="2"/>
      <c r="QIC12" s="2"/>
      <c r="QID12" s="2"/>
      <c r="QIE12" s="2"/>
      <c r="QIF12" s="2"/>
      <c r="QIG12" s="2"/>
      <c r="QIH12" s="2"/>
      <c r="QII12" s="2"/>
      <c r="QIJ12" s="2"/>
      <c r="QIK12" s="2"/>
      <c r="QIL12" s="2"/>
      <c r="QIM12" s="2"/>
      <c r="QIN12" s="2"/>
      <c r="QIO12" s="2"/>
      <c r="QIP12" s="2"/>
      <c r="QIQ12" s="2"/>
      <c r="QIR12" s="2"/>
      <c r="QIS12" s="2"/>
      <c r="QIT12" s="2"/>
      <c r="QIU12" s="2"/>
      <c r="QIV12" s="2"/>
      <c r="QIW12" s="2"/>
      <c r="QIX12" s="2"/>
      <c r="QIY12" s="2"/>
      <c r="QIZ12" s="2"/>
      <c r="QJA12" s="2"/>
      <c r="QJB12" s="2"/>
      <c r="QJC12" s="2"/>
      <c r="QJD12" s="2"/>
      <c r="QJE12" s="2"/>
      <c r="QJF12" s="2"/>
      <c r="QJG12" s="2"/>
      <c r="QJH12" s="2"/>
      <c r="QJI12" s="2"/>
      <c r="QJJ12" s="2"/>
      <c r="QJK12" s="2"/>
      <c r="QJL12" s="2"/>
      <c r="QJM12" s="2"/>
      <c r="QJN12" s="2"/>
      <c r="QJO12" s="2"/>
      <c r="QJP12" s="2"/>
      <c r="QJQ12" s="2"/>
      <c r="QJR12" s="2"/>
      <c r="QJS12" s="2"/>
      <c r="QJT12" s="2"/>
      <c r="QJU12" s="2"/>
      <c r="QJV12" s="2"/>
      <c r="QJW12" s="2"/>
      <c r="QJX12" s="2"/>
      <c r="QJY12" s="2"/>
      <c r="QJZ12" s="2"/>
      <c r="QKA12" s="2"/>
      <c r="QKB12" s="2"/>
      <c r="QKC12" s="2"/>
      <c r="QKD12" s="2"/>
      <c r="QKE12" s="2"/>
      <c r="QKF12" s="2"/>
      <c r="QKG12" s="2"/>
      <c r="QKH12" s="2"/>
      <c r="QKI12" s="2"/>
      <c r="QKJ12" s="2"/>
      <c r="QKK12" s="2"/>
      <c r="QKL12" s="2"/>
      <c r="QKM12" s="2"/>
      <c r="QKN12" s="2"/>
      <c r="QKO12" s="2"/>
      <c r="QKP12" s="2"/>
      <c r="QKQ12" s="2"/>
      <c r="QKR12" s="2"/>
      <c r="QKS12" s="2"/>
      <c r="QKT12" s="2"/>
      <c r="QKU12" s="2"/>
      <c r="QKV12" s="2"/>
      <c r="QKW12" s="2"/>
      <c r="QKX12" s="2"/>
      <c r="QKY12" s="2"/>
      <c r="QKZ12" s="2"/>
      <c r="QLA12" s="2"/>
      <c r="QLB12" s="2"/>
      <c r="QLC12" s="2"/>
      <c r="QLD12" s="2"/>
      <c r="QLE12" s="2"/>
      <c r="QLF12" s="2"/>
      <c r="QLG12" s="2"/>
      <c r="QLH12" s="2"/>
      <c r="QLI12" s="2"/>
      <c r="QLJ12" s="2"/>
      <c r="QLK12" s="2"/>
      <c r="QLL12" s="2"/>
      <c r="QLM12" s="2"/>
      <c r="QLN12" s="2"/>
      <c r="QLO12" s="2"/>
      <c r="QLP12" s="2"/>
      <c r="QLQ12" s="2"/>
      <c r="QLR12" s="2"/>
      <c r="QLS12" s="2"/>
      <c r="QLT12" s="2"/>
      <c r="QLU12" s="2"/>
      <c r="QLV12" s="2"/>
      <c r="QLW12" s="2"/>
      <c r="QLX12" s="2"/>
      <c r="QLY12" s="2"/>
      <c r="QLZ12" s="2"/>
      <c r="QMA12" s="2"/>
      <c r="QMB12" s="2"/>
      <c r="QMC12" s="2"/>
      <c r="QMD12" s="2"/>
      <c r="QME12" s="2"/>
      <c r="QMF12" s="2"/>
      <c r="QMG12" s="2"/>
      <c r="QMH12" s="2"/>
      <c r="QMI12" s="2"/>
      <c r="QMJ12" s="2"/>
      <c r="QMK12" s="2"/>
      <c r="QML12" s="2"/>
      <c r="QMM12" s="2"/>
      <c r="QMN12" s="2"/>
      <c r="QMO12" s="2"/>
      <c r="QMP12" s="2"/>
      <c r="QMQ12" s="2"/>
      <c r="QMR12" s="2"/>
      <c r="QMS12" s="2"/>
      <c r="QMT12" s="2"/>
      <c r="QMU12" s="2"/>
      <c r="QMV12" s="2"/>
      <c r="QMW12" s="2"/>
      <c r="QMX12" s="2"/>
      <c r="QMY12" s="2"/>
      <c r="QMZ12" s="2"/>
      <c r="QNA12" s="2"/>
      <c r="QNB12" s="2"/>
      <c r="QNC12" s="2"/>
      <c r="QND12" s="2"/>
      <c r="QNE12" s="2"/>
      <c r="QNF12" s="2"/>
      <c r="QNG12" s="2"/>
      <c r="QNH12" s="2"/>
      <c r="QNI12" s="2"/>
      <c r="QNJ12" s="2"/>
      <c r="QNK12" s="2"/>
      <c r="QNL12" s="2"/>
      <c r="QNM12" s="2"/>
      <c r="QNN12" s="2"/>
      <c r="QNO12" s="2"/>
      <c r="QNP12" s="2"/>
      <c r="QNQ12" s="2"/>
      <c r="QNR12" s="2"/>
      <c r="QNS12" s="2"/>
      <c r="QNT12" s="2"/>
      <c r="QNU12" s="2"/>
      <c r="QNV12" s="2"/>
      <c r="QNW12" s="2"/>
      <c r="QNX12" s="2"/>
      <c r="QNY12" s="2"/>
      <c r="QNZ12" s="2"/>
      <c r="QOA12" s="2"/>
      <c r="QOB12" s="2"/>
      <c r="QOC12" s="2"/>
      <c r="QOD12" s="2"/>
      <c r="QOE12" s="2"/>
      <c r="QOF12" s="2"/>
      <c r="QOG12" s="2"/>
      <c r="QOH12" s="2"/>
      <c r="QOI12" s="2"/>
      <c r="QOJ12" s="2"/>
      <c r="QOK12" s="2"/>
      <c r="QOL12" s="2"/>
      <c r="QOM12" s="2"/>
      <c r="QON12" s="2"/>
      <c r="QOO12" s="2"/>
      <c r="QOP12" s="2"/>
      <c r="QOQ12" s="2"/>
      <c r="QOR12" s="2"/>
      <c r="QOS12" s="2"/>
      <c r="QOT12" s="2"/>
      <c r="QOU12" s="2"/>
      <c r="QOV12" s="2"/>
      <c r="QOW12" s="2"/>
      <c r="QOX12" s="2"/>
      <c r="QOY12" s="2"/>
      <c r="QOZ12" s="2"/>
      <c r="QPA12" s="2"/>
      <c r="QPB12" s="2"/>
      <c r="QPC12" s="2"/>
      <c r="QPD12" s="2"/>
      <c r="QPE12" s="2"/>
      <c r="QPF12" s="2"/>
      <c r="QPG12" s="2"/>
      <c r="QPH12" s="2"/>
      <c r="QPI12" s="2"/>
      <c r="QPJ12" s="2"/>
      <c r="QPK12" s="2"/>
      <c r="QPL12" s="2"/>
      <c r="QPM12" s="2"/>
      <c r="QPN12" s="2"/>
      <c r="QPO12" s="2"/>
      <c r="QPP12" s="2"/>
      <c r="QPQ12" s="2"/>
      <c r="QPR12" s="2"/>
      <c r="QPS12" s="2"/>
      <c r="QPT12" s="2"/>
      <c r="QPU12" s="2"/>
      <c r="QPV12" s="2"/>
      <c r="QPW12" s="2"/>
      <c r="QPX12" s="2"/>
      <c r="QPY12" s="2"/>
      <c r="QPZ12" s="2"/>
      <c r="QQA12" s="2"/>
      <c r="QQB12" s="2"/>
      <c r="QQC12" s="2"/>
      <c r="QQD12" s="2"/>
      <c r="QQE12" s="2"/>
      <c r="QQF12" s="2"/>
      <c r="QQG12" s="2"/>
      <c r="QQH12" s="2"/>
      <c r="QQI12" s="2"/>
      <c r="QQJ12" s="2"/>
      <c r="QQK12" s="2"/>
      <c r="QQL12" s="2"/>
      <c r="QQM12" s="2"/>
      <c r="QQN12" s="2"/>
      <c r="QQO12" s="2"/>
      <c r="QQP12" s="2"/>
      <c r="QQQ12" s="2"/>
      <c r="QQR12" s="2"/>
      <c r="QQS12" s="2"/>
      <c r="QQT12" s="2"/>
      <c r="QQU12" s="2"/>
      <c r="QQV12" s="2"/>
      <c r="QQW12" s="2"/>
      <c r="QQX12" s="2"/>
      <c r="QQY12" s="2"/>
      <c r="QQZ12" s="2"/>
      <c r="QRA12" s="2"/>
      <c r="QRB12" s="2"/>
      <c r="QRC12" s="2"/>
      <c r="QRD12" s="2"/>
      <c r="QRE12" s="2"/>
      <c r="QRF12" s="2"/>
      <c r="QRG12" s="2"/>
      <c r="QRH12" s="2"/>
      <c r="QRI12" s="2"/>
      <c r="QRJ12" s="2"/>
      <c r="QRK12" s="2"/>
      <c r="QRL12" s="2"/>
      <c r="QRM12" s="2"/>
      <c r="QRN12" s="2"/>
      <c r="QRO12" s="2"/>
      <c r="QRP12" s="2"/>
      <c r="QRQ12" s="2"/>
      <c r="QRR12" s="2"/>
      <c r="QRS12" s="2"/>
      <c r="QRT12" s="2"/>
      <c r="QRU12" s="2"/>
      <c r="QRV12" s="2"/>
      <c r="QRW12" s="2"/>
      <c r="QRX12" s="2"/>
      <c r="QRY12" s="2"/>
      <c r="QRZ12" s="2"/>
      <c r="QSA12" s="2"/>
      <c r="QSB12" s="2"/>
      <c r="QSC12" s="2"/>
      <c r="QSD12" s="2"/>
      <c r="QSE12" s="2"/>
      <c r="QSF12" s="2"/>
      <c r="QSG12" s="2"/>
      <c r="QSH12" s="2"/>
      <c r="QSI12" s="2"/>
      <c r="QSJ12" s="2"/>
      <c r="QSK12" s="2"/>
      <c r="QSL12" s="2"/>
      <c r="QSM12" s="2"/>
      <c r="QSN12" s="2"/>
      <c r="QSO12" s="2"/>
      <c r="QSP12" s="2"/>
      <c r="QSQ12" s="2"/>
      <c r="QSR12" s="2"/>
      <c r="QSS12" s="2"/>
      <c r="QST12" s="2"/>
      <c r="QSU12" s="2"/>
      <c r="QSV12" s="2"/>
      <c r="QSW12" s="2"/>
      <c r="QSX12" s="2"/>
      <c r="QSY12" s="2"/>
      <c r="QSZ12" s="2"/>
      <c r="QTA12" s="2"/>
      <c r="QTB12" s="2"/>
      <c r="QTC12" s="2"/>
      <c r="QTD12" s="2"/>
      <c r="QTE12" s="2"/>
      <c r="QTF12" s="2"/>
      <c r="QTG12" s="2"/>
      <c r="QTH12" s="2"/>
      <c r="QTI12" s="2"/>
      <c r="QTJ12" s="2"/>
      <c r="QTK12" s="2"/>
      <c r="QTL12" s="2"/>
      <c r="QTM12" s="2"/>
      <c r="QTN12" s="2"/>
      <c r="QTO12" s="2"/>
      <c r="QTP12" s="2"/>
      <c r="QTQ12" s="2"/>
      <c r="QTR12" s="2"/>
      <c r="QTS12" s="2"/>
      <c r="QTT12" s="2"/>
      <c r="QTU12" s="2"/>
      <c r="QTV12" s="2"/>
      <c r="QTW12" s="2"/>
      <c r="QTX12" s="2"/>
      <c r="QTY12" s="2"/>
      <c r="QTZ12" s="2"/>
      <c r="QUA12" s="2"/>
      <c r="QUB12" s="2"/>
      <c r="QUC12" s="2"/>
      <c r="QUD12" s="2"/>
      <c r="QUE12" s="2"/>
      <c r="QUF12" s="2"/>
      <c r="QUG12" s="2"/>
      <c r="QUH12" s="2"/>
      <c r="QUI12" s="2"/>
      <c r="QUJ12" s="2"/>
      <c r="QUK12" s="2"/>
      <c r="QUL12" s="2"/>
      <c r="QUM12" s="2"/>
      <c r="QUN12" s="2"/>
      <c r="QUO12" s="2"/>
      <c r="QUP12" s="2"/>
      <c r="QUQ12" s="2"/>
      <c r="QUR12" s="2"/>
      <c r="QUS12" s="2"/>
      <c r="QUT12" s="2"/>
      <c r="QUU12" s="2"/>
      <c r="QUV12" s="2"/>
      <c r="QUW12" s="2"/>
      <c r="QUX12" s="2"/>
      <c r="QUY12" s="2"/>
      <c r="QUZ12" s="2"/>
      <c r="QVA12" s="2"/>
      <c r="QVB12" s="2"/>
      <c r="QVC12" s="2"/>
      <c r="QVD12" s="2"/>
      <c r="QVE12" s="2"/>
      <c r="QVF12" s="2"/>
      <c r="QVG12" s="2"/>
      <c r="QVH12" s="2"/>
      <c r="QVI12" s="2"/>
      <c r="QVJ12" s="2"/>
      <c r="QVK12" s="2"/>
      <c r="QVL12" s="2"/>
      <c r="QVM12" s="2"/>
      <c r="QVN12" s="2"/>
      <c r="QVO12" s="2"/>
      <c r="QVP12" s="2"/>
      <c r="QVQ12" s="2"/>
      <c r="QVR12" s="2"/>
      <c r="QVS12" s="2"/>
      <c r="QVT12" s="2"/>
      <c r="QVU12" s="2"/>
      <c r="QVV12" s="2"/>
      <c r="QVW12" s="2"/>
      <c r="QVX12" s="2"/>
      <c r="QVY12" s="2"/>
      <c r="QVZ12" s="2"/>
      <c r="QWA12" s="2"/>
      <c r="QWB12" s="2"/>
      <c r="QWC12" s="2"/>
      <c r="QWD12" s="2"/>
      <c r="QWE12" s="2"/>
      <c r="QWF12" s="2"/>
      <c r="QWG12" s="2"/>
      <c r="QWH12" s="2"/>
      <c r="QWI12" s="2"/>
      <c r="QWJ12" s="2"/>
      <c r="QWK12" s="2"/>
      <c r="QWL12" s="2"/>
      <c r="QWM12" s="2"/>
      <c r="QWN12" s="2"/>
      <c r="QWO12" s="2"/>
      <c r="QWP12" s="2"/>
      <c r="QWQ12" s="2"/>
      <c r="QWR12" s="2"/>
      <c r="QWS12" s="2"/>
      <c r="QWT12" s="2"/>
      <c r="QWU12" s="2"/>
      <c r="QWV12" s="2"/>
      <c r="QWW12" s="2"/>
      <c r="QWX12" s="2"/>
      <c r="QWY12" s="2"/>
      <c r="QWZ12" s="2"/>
      <c r="QXA12" s="2"/>
      <c r="QXB12" s="2"/>
      <c r="QXC12" s="2"/>
      <c r="QXD12" s="2"/>
      <c r="QXE12" s="2"/>
      <c r="QXF12" s="2"/>
      <c r="QXG12" s="2"/>
      <c r="QXH12" s="2"/>
      <c r="QXI12" s="2"/>
      <c r="QXJ12" s="2"/>
      <c r="QXK12" s="2"/>
      <c r="QXL12" s="2"/>
      <c r="QXM12" s="2"/>
      <c r="QXN12" s="2"/>
      <c r="QXO12" s="2"/>
      <c r="QXP12" s="2"/>
      <c r="QXQ12" s="2"/>
      <c r="QXR12" s="2"/>
      <c r="QXS12" s="2"/>
      <c r="QXT12" s="2"/>
      <c r="QXU12" s="2"/>
      <c r="QXV12" s="2"/>
      <c r="QXW12" s="2"/>
      <c r="QXX12" s="2"/>
      <c r="QXY12" s="2"/>
      <c r="QXZ12" s="2"/>
      <c r="QYA12" s="2"/>
      <c r="QYB12" s="2"/>
      <c r="QYC12" s="2"/>
      <c r="QYD12" s="2"/>
      <c r="QYE12" s="2"/>
      <c r="QYF12" s="2"/>
      <c r="QYG12" s="2"/>
      <c r="QYH12" s="2"/>
      <c r="QYI12" s="2"/>
      <c r="QYJ12" s="2"/>
      <c r="QYK12" s="2"/>
      <c r="QYL12" s="2"/>
      <c r="QYM12" s="2"/>
      <c r="QYN12" s="2"/>
      <c r="QYO12" s="2"/>
      <c r="QYP12" s="2"/>
      <c r="QYQ12" s="2"/>
      <c r="QYR12" s="2"/>
      <c r="QYS12" s="2"/>
      <c r="QYT12" s="2"/>
      <c r="QYU12" s="2"/>
      <c r="QYV12" s="2"/>
      <c r="QYW12" s="2"/>
      <c r="QYX12" s="2"/>
      <c r="QYY12" s="2"/>
      <c r="QYZ12" s="2"/>
      <c r="QZA12" s="2"/>
      <c r="QZB12" s="2"/>
      <c r="QZC12" s="2"/>
      <c r="QZD12" s="2"/>
      <c r="QZE12" s="2"/>
      <c r="QZF12" s="2"/>
      <c r="QZG12" s="2"/>
      <c r="QZH12" s="2"/>
      <c r="QZI12" s="2"/>
      <c r="QZJ12" s="2"/>
      <c r="QZK12" s="2"/>
      <c r="QZL12" s="2"/>
      <c r="QZM12" s="2"/>
      <c r="QZN12" s="2"/>
      <c r="QZO12" s="2"/>
      <c r="QZP12" s="2"/>
      <c r="QZQ12" s="2"/>
      <c r="QZR12" s="2"/>
      <c r="QZS12" s="2"/>
      <c r="QZT12" s="2"/>
      <c r="QZU12" s="2"/>
      <c r="QZV12" s="2"/>
      <c r="QZW12" s="2"/>
      <c r="QZX12" s="2"/>
      <c r="QZY12" s="2"/>
      <c r="QZZ12" s="2"/>
      <c r="RAA12" s="2"/>
      <c r="RAB12" s="2"/>
      <c r="RAC12" s="2"/>
      <c r="RAD12" s="2"/>
      <c r="RAE12" s="2"/>
      <c r="RAF12" s="2"/>
      <c r="RAG12" s="2"/>
      <c r="RAH12" s="2"/>
      <c r="RAI12" s="2"/>
      <c r="RAJ12" s="2"/>
      <c r="RAK12" s="2"/>
      <c r="RAL12" s="2"/>
      <c r="RAM12" s="2"/>
      <c r="RAN12" s="2"/>
      <c r="RAO12" s="2"/>
      <c r="RAP12" s="2"/>
      <c r="RAQ12" s="2"/>
      <c r="RAR12" s="2"/>
      <c r="RAS12" s="2"/>
      <c r="RAT12" s="2"/>
      <c r="RAU12" s="2"/>
      <c r="RAV12" s="2"/>
      <c r="RAW12" s="2"/>
      <c r="RAX12" s="2"/>
      <c r="RAY12" s="2"/>
      <c r="RAZ12" s="2"/>
      <c r="RBA12" s="2"/>
      <c r="RBB12" s="2"/>
      <c r="RBC12" s="2"/>
      <c r="RBD12" s="2"/>
      <c r="RBE12" s="2"/>
      <c r="RBF12" s="2"/>
      <c r="RBG12" s="2"/>
      <c r="RBH12" s="2"/>
      <c r="RBI12" s="2"/>
      <c r="RBJ12" s="2"/>
      <c r="RBK12" s="2"/>
      <c r="RBL12" s="2"/>
      <c r="RBM12" s="2"/>
      <c r="RBN12" s="2"/>
      <c r="RBO12" s="2"/>
      <c r="RBP12" s="2"/>
      <c r="RBQ12" s="2"/>
      <c r="RBR12" s="2"/>
      <c r="RBS12" s="2"/>
      <c r="RBT12" s="2"/>
      <c r="RBU12" s="2"/>
      <c r="RBV12" s="2"/>
      <c r="RBW12" s="2"/>
      <c r="RBX12" s="2"/>
      <c r="RBY12" s="2"/>
      <c r="RBZ12" s="2"/>
      <c r="RCA12" s="2"/>
      <c r="RCB12" s="2"/>
      <c r="RCC12" s="2"/>
      <c r="RCD12" s="2"/>
      <c r="RCE12" s="2"/>
      <c r="RCF12" s="2"/>
      <c r="RCG12" s="2"/>
      <c r="RCH12" s="2"/>
      <c r="RCI12" s="2"/>
      <c r="RCJ12" s="2"/>
      <c r="RCK12" s="2"/>
      <c r="RCL12" s="2"/>
      <c r="RCM12" s="2"/>
      <c r="RCN12" s="2"/>
      <c r="RCO12" s="2"/>
      <c r="RCP12" s="2"/>
      <c r="RCQ12" s="2"/>
      <c r="RCR12" s="2"/>
      <c r="RCS12" s="2"/>
      <c r="RCT12" s="2"/>
      <c r="RCU12" s="2"/>
      <c r="RCV12" s="2"/>
      <c r="RCW12" s="2"/>
      <c r="RCX12" s="2"/>
      <c r="RCY12" s="2"/>
      <c r="RCZ12" s="2"/>
      <c r="RDA12" s="2"/>
      <c r="RDB12" s="2"/>
      <c r="RDC12" s="2"/>
      <c r="RDD12" s="2"/>
      <c r="RDE12" s="2"/>
      <c r="RDF12" s="2"/>
      <c r="RDG12" s="2"/>
      <c r="RDH12" s="2"/>
      <c r="RDI12" s="2"/>
      <c r="RDJ12" s="2"/>
      <c r="RDK12" s="2"/>
      <c r="RDL12" s="2"/>
      <c r="RDM12" s="2"/>
      <c r="RDN12" s="2"/>
      <c r="RDO12" s="2"/>
      <c r="RDP12" s="2"/>
      <c r="RDQ12" s="2"/>
      <c r="RDR12" s="2"/>
      <c r="RDS12" s="2"/>
      <c r="RDT12" s="2"/>
      <c r="RDU12" s="2"/>
      <c r="RDV12" s="2"/>
      <c r="RDW12" s="2"/>
      <c r="RDX12" s="2"/>
      <c r="RDY12" s="2"/>
      <c r="RDZ12" s="2"/>
      <c r="REA12" s="2"/>
      <c r="REB12" s="2"/>
      <c r="REC12" s="2"/>
      <c r="RED12" s="2"/>
      <c r="REE12" s="2"/>
      <c r="REF12" s="2"/>
      <c r="REG12" s="2"/>
      <c r="REH12" s="2"/>
      <c r="REI12" s="2"/>
      <c r="REJ12" s="2"/>
      <c r="REK12" s="2"/>
      <c r="REL12" s="2"/>
      <c r="REM12" s="2"/>
      <c r="REN12" s="2"/>
      <c r="REO12" s="2"/>
      <c r="REP12" s="2"/>
      <c r="REQ12" s="2"/>
      <c r="RER12" s="2"/>
      <c r="RES12" s="2"/>
      <c r="RET12" s="2"/>
      <c r="REU12" s="2"/>
      <c r="REV12" s="2"/>
      <c r="REW12" s="2"/>
      <c r="REX12" s="2"/>
      <c r="REY12" s="2"/>
      <c r="REZ12" s="2"/>
      <c r="RFA12" s="2"/>
      <c r="RFB12" s="2"/>
      <c r="RFC12" s="2"/>
      <c r="RFD12" s="2"/>
      <c r="RFE12" s="2"/>
      <c r="RFF12" s="2"/>
      <c r="RFG12" s="2"/>
      <c r="RFH12" s="2"/>
      <c r="RFI12" s="2"/>
      <c r="RFJ12" s="2"/>
      <c r="RFK12" s="2"/>
      <c r="RFL12" s="2"/>
      <c r="RFM12" s="2"/>
      <c r="RFN12" s="2"/>
      <c r="RFO12" s="2"/>
      <c r="RFP12" s="2"/>
      <c r="RFQ12" s="2"/>
      <c r="RFR12" s="2"/>
      <c r="RFS12" s="2"/>
      <c r="RFT12" s="2"/>
      <c r="RFU12" s="2"/>
      <c r="RFV12" s="2"/>
      <c r="RFW12" s="2"/>
      <c r="RFX12" s="2"/>
      <c r="RFY12" s="2"/>
      <c r="RFZ12" s="2"/>
      <c r="RGA12" s="2"/>
      <c r="RGB12" s="2"/>
      <c r="RGC12" s="2"/>
      <c r="RGD12" s="2"/>
      <c r="RGE12" s="2"/>
      <c r="RGF12" s="2"/>
      <c r="RGG12" s="2"/>
      <c r="RGH12" s="2"/>
      <c r="RGI12" s="2"/>
      <c r="RGJ12" s="2"/>
      <c r="RGK12" s="2"/>
      <c r="RGL12" s="2"/>
      <c r="RGM12" s="2"/>
      <c r="RGN12" s="2"/>
      <c r="RGO12" s="2"/>
      <c r="RGP12" s="2"/>
      <c r="RGQ12" s="2"/>
      <c r="RGR12" s="2"/>
      <c r="RGS12" s="2"/>
      <c r="RGT12" s="2"/>
      <c r="RGU12" s="2"/>
      <c r="RGV12" s="2"/>
      <c r="RGW12" s="2"/>
      <c r="RGX12" s="2"/>
      <c r="RGY12" s="2"/>
      <c r="RGZ12" s="2"/>
      <c r="RHA12" s="2"/>
      <c r="RHB12" s="2"/>
      <c r="RHC12" s="2"/>
      <c r="RHD12" s="2"/>
      <c r="RHE12" s="2"/>
      <c r="RHF12" s="2"/>
      <c r="RHG12" s="2"/>
      <c r="RHH12" s="2"/>
      <c r="RHI12" s="2"/>
      <c r="RHJ12" s="2"/>
      <c r="RHK12" s="2"/>
      <c r="RHL12" s="2"/>
      <c r="RHM12" s="2"/>
      <c r="RHN12" s="2"/>
      <c r="RHO12" s="2"/>
      <c r="RHP12" s="2"/>
      <c r="RHQ12" s="2"/>
      <c r="RHR12" s="2"/>
      <c r="RHS12" s="2"/>
      <c r="RHT12" s="2"/>
      <c r="RHU12" s="2"/>
      <c r="RHV12" s="2"/>
      <c r="RHW12" s="2"/>
      <c r="RHX12" s="2"/>
      <c r="RHY12" s="2"/>
      <c r="RHZ12" s="2"/>
      <c r="RIA12" s="2"/>
      <c r="RIB12" s="2"/>
      <c r="RIC12" s="2"/>
      <c r="RID12" s="2"/>
      <c r="RIE12" s="2"/>
      <c r="RIF12" s="2"/>
      <c r="RIG12" s="2"/>
      <c r="RIH12" s="2"/>
      <c r="RII12" s="2"/>
      <c r="RIJ12" s="2"/>
      <c r="RIK12" s="2"/>
      <c r="RIL12" s="2"/>
      <c r="RIM12" s="2"/>
      <c r="RIN12" s="2"/>
      <c r="RIO12" s="2"/>
      <c r="RIP12" s="2"/>
      <c r="RIQ12" s="2"/>
      <c r="RIR12" s="2"/>
      <c r="RIS12" s="2"/>
      <c r="RIT12" s="2"/>
      <c r="RIU12" s="2"/>
      <c r="RIV12" s="2"/>
      <c r="RIW12" s="2"/>
      <c r="RIX12" s="2"/>
      <c r="RIY12" s="2"/>
      <c r="RIZ12" s="2"/>
      <c r="RJA12" s="2"/>
      <c r="RJB12" s="2"/>
      <c r="RJC12" s="2"/>
      <c r="RJD12" s="2"/>
      <c r="RJE12" s="2"/>
      <c r="RJF12" s="2"/>
      <c r="RJG12" s="2"/>
      <c r="RJH12" s="2"/>
      <c r="RJI12" s="2"/>
      <c r="RJJ12" s="2"/>
      <c r="RJK12" s="2"/>
      <c r="RJL12" s="2"/>
      <c r="RJM12" s="2"/>
      <c r="RJN12" s="2"/>
      <c r="RJO12" s="2"/>
      <c r="RJP12" s="2"/>
      <c r="RJQ12" s="2"/>
      <c r="RJR12" s="2"/>
      <c r="RJS12" s="2"/>
      <c r="RJT12" s="2"/>
      <c r="RJU12" s="2"/>
      <c r="RJV12" s="2"/>
      <c r="RJW12" s="2"/>
      <c r="RJX12" s="2"/>
      <c r="RJY12" s="2"/>
      <c r="RJZ12" s="2"/>
      <c r="RKA12" s="2"/>
      <c r="RKB12" s="2"/>
      <c r="RKC12" s="2"/>
      <c r="RKD12" s="2"/>
      <c r="RKE12" s="2"/>
      <c r="RKF12" s="2"/>
      <c r="RKG12" s="2"/>
      <c r="RKH12" s="2"/>
      <c r="RKI12" s="2"/>
      <c r="RKJ12" s="2"/>
      <c r="RKK12" s="2"/>
      <c r="RKL12" s="2"/>
      <c r="RKM12" s="2"/>
      <c r="RKN12" s="2"/>
      <c r="RKO12" s="2"/>
      <c r="RKP12" s="2"/>
      <c r="RKQ12" s="2"/>
      <c r="RKR12" s="2"/>
      <c r="RKS12" s="2"/>
      <c r="RKT12" s="2"/>
      <c r="RKU12" s="2"/>
      <c r="RKV12" s="2"/>
      <c r="RKW12" s="2"/>
      <c r="RKX12" s="2"/>
      <c r="RKY12" s="2"/>
      <c r="RKZ12" s="2"/>
      <c r="RLA12" s="2"/>
      <c r="RLB12" s="2"/>
      <c r="RLC12" s="2"/>
      <c r="RLD12" s="2"/>
      <c r="RLE12" s="2"/>
      <c r="RLF12" s="2"/>
      <c r="RLG12" s="2"/>
      <c r="RLH12" s="2"/>
      <c r="RLI12" s="2"/>
      <c r="RLJ12" s="2"/>
      <c r="RLK12" s="2"/>
      <c r="RLL12" s="2"/>
      <c r="RLM12" s="2"/>
      <c r="RLN12" s="2"/>
      <c r="RLO12" s="2"/>
      <c r="RLP12" s="2"/>
      <c r="RLQ12" s="2"/>
      <c r="RLR12" s="2"/>
      <c r="RLS12" s="2"/>
      <c r="RLT12" s="2"/>
      <c r="RLU12" s="2"/>
      <c r="RLV12" s="2"/>
      <c r="RLW12" s="2"/>
      <c r="RLX12" s="2"/>
      <c r="RLY12" s="2"/>
      <c r="RLZ12" s="2"/>
      <c r="RMA12" s="2"/>
      <c r="RMB12" s="2"/>
      <c r="RMC12" s="2"/>
      <c r="RMD12" s="2"/>
      <c r="RME12" s="2"/>
      <c r="RMF12" s="2"/>
      <c r="RMG12" s="2"/>
      <c r="RMH12" s="2"/>
      <c r="RMI12" s="2"/>
      <c r="RMJ12" s="2"/>
      <c r="RMK12" s="2"/>
      <c r="RML12" s="2"/>
      <c r="RMM12" s="2"/>
      <c r="RMN12" s="2"/>
      <c r="RMO12" s="2"/>
      <c r="RMP12" s="2"/>
      <c r="RMQ12" s="2"/>
      <c r="RMR12" s="2"/>
      <c r="RMS12" s="2"/>
      <c r="RMT12" s="2"/>
      <c r="RMU12" s="2"/>
      <c r="RMV12" s="2"/>
      <c r="RMW12" s="2"/>
      <c r="RMX12" s="2"/>
      <c r="RMY12" s="2"/>
      <c r="RMZ12" s="2"/>
      <c r="RNA12" s="2"/>
      <c r="RNB12" s="2"/>
      <c r="RNC12" s="2"/>
      <c r="RND12" s="2"/>
      <c r="RNE12" s="2"/>
      <c r="RNF12" s="2"/>
      <c r="RNG12" s="2"/>
      <c r="RNH12" s="2"/>
      <c r="RNI12" s="2"/>
      <c r="RNJ12" s="2"/>
      <c r="RNK12" s="2"/>
      <c r="RNL12" s="2"/>
      <c r="RNM12" s="2"/>
      <c r="RNN12" s="2"/>
      <c r="RNO12" s="2"/>
      <c r="RNP12" s="2"/>
      <c r="RNQ12" s="2"/>
      <c r="RNR12" s="2"/>
      <c r="RNS12" s="2"/>
      <c r="RNT12" s="2"/>
      <c r="RNU12" s="2"/>
      <c r="RNV12" s="2"/>
      <c r="RNW12" s="2"/>
      <c r="RNX12" s="2"/>
      <c r="RNY12" s="2"/>
      <c r="RNZ12" s="2"/>
      <c r="ROA12" s="2"/>
      <c r="ROB12" s="2"/>
      <c r="ROC12" s="2"/>
      <c r="ROD12" s="2"/>
      <c r="ROE12" s="2"/>
      <c r="ROF12" s="2"/>
      <c r="ROG12" s="2"/>
      <c r="ROH12" s="2"/>
      <c r="ROI12" s="2"/>
      <c r="ROJ12" s="2"/>
      <c r="ROK12" s="2"/>
      <c r="ROL12" s="2"/>
      <c r="ROM12" s="2"/>
      <c r="RON12" s="2"/>
      <c r="ROO12" s="2"/>
      <c r="ROP12" s="2"/>
      <c r="ROQ12" s="2"/>
      <c r="ROR12" s="2"/>
      <c r="ROS12" s="2"/>
      <c r="ROT12" s="2"/>
      <c r="ROU12" s="2"/>
      <c r="ROV12" s="2"/>
      <c r="ROW12" s="2"/>
      <c r="ROX12" s="2"/>
      <c r="ROY12" s="2"/>
      <c r="ROZ12" s="2"/>
      <c r="RPA12" s="2"/>
      <c r="RPB12" s="2"/>
      <c r="RPC12" s="2"/>
      <c r="RPD12" s="2"/>
      <c r="RPE12" s="2"/>
      <c r="RPF12" s="2"/>
      <c r="RPG12" s="2"/>
      <c r="RPH12" s="2"/>
      <c r="RPI12" s="2"/>
      <c r="RPJ12" s="2"/>
      <c r="RPK12" s="2"/>
      <c r="RPL12" s="2"/>
      <c r="RPM12" s="2"/>
      <c r="RPN12" s="2"/>
      <c r="RPO12" s="2"/>
      <c r="RPP12" s="2"/>
      <c r="RPQ12" s="2"/>
      <c r="RPR12" s="2"/>
      <c r="RPS12" s="2"/>
      <c r="RPT12" s="2"/>
      <c r="RPU12" s="2"/>
      <c r="RPV12" s="2"/>
      <c r="RPW12" s="2"/>
      <c r="RPX12" s="2"/>
      <c r="RPY12" s="2"/>
      <c r="RPZ12" s="2"/>
      <c r="RQA12" s="2"/>
      <c r="RQB12" s="2"/>
      <c r="RQC12" s="2"/>
      <c r="RQD12" s="2"/>
      <c r="RQE12" s="2"/>
      <c r="RQF12" s="2"/>
      <c r="RQG12" s="2"/>
      <c r="RQH12" s="2"/>
      <c r="RQI12" s="2"/>
      <c r="RQJ12" s="2"/>
      <c r="RQK12" s="2"/>
      <c r="RQL12" s="2"/>
      <c r="RQM12" s="2"/>
      <c r="RQN12" s="2"/>
      <c r="RQO12" s="2"/>
      <c r="RQP12" s="2"/>
      <c r="RQQ12" s="2"/>
      <c r="RQR12" s="2"/>
      <c r="RQS12" s="2"/>
      <c r="RQT12" s="2"/>
      <c r="RQU12" s="2"/>
      <c r="RQV12" s="2"/>
      <c r="RQW12" s="2"/>
      <c r="RQX12" s="2"/>
      <c r="RQY12" s="2"/>
      <c r="RQZ12" s="2"/>
      <c r="RRA12" s="2"/>
      <c r="RRB12" s="2"/>
      <c r="RRC12" s="2"/>
      <c r="RRD12" s="2"/>
      <c r="RRE12" s="2"/>
      <c r="RRF12" s="2"/>
      <c r="RRG12" s="2"/>
      <c r="RRH12" s="2"/>
      <c r="RRI12" s="2"/>
      <c r="RRJ12" s="2"/>
      <c r="RRK12" s="2"/>
      <c r="RRL12" s="2"/>
      <c r="RRM12" s="2"/>
      <c r="RRN12" s="2"/>
      <c r="RRO12" s="2"/>
      <c r="RRP12" s="2"/>
      <c r="RRQ12" s="2"/>
      <c r="RRR12" s="2"/>
      <c r="RRS12" s="2"/>
      <c r="RRT12" s="2"/>
      <c r="RRU12" s="2"/>
      <c r="RRV12" s="2"/>
      <c r="RRW12" s="2"/>
      <c r="RRX12" s="2"/>
      <c r="RRY12" s="2"/>
      <c r="RRZ12" s="2"/>
      <c r="RSA12" s="2"/>
      <c r="RSB12" s="2"/>
      <c r="RSC12" s="2"/>
      <c r="RSD12" s="2"/>
      <c r="RSE12" s="2"/>
      <c r="RSF12" s="2"/>
      <c r="RSG12" s="2"/>
      <c r="RSH12" s="2"/>
      <c r="RSI12" s="2"/>
      <c r="RSJ12" s="2"/>
      <c r="RSK12" s="2"/>
      <c r="RSL12" s="2"/>
      <c r="RSM12" s="2"/>
      <c r="RSN12" s="2"/>
      <c r="RSO12" s="2"/>
      <c r="RSP12" s="2"/>
      <c r="RSQ12" s="2"/>
      <c r="RSR12" s="2"/>
      <c r="RSS12" s="2"/>
      <c r="RST12" s="2"/>
      <c r="RSU12" s="2"/>
      <c r="RSV12" s="2"/>
      <c r="RSW12" s="2"/>
      <c r="RSX12" s="2"/>
      <c r="RSY12" s="2"/>
      <c r="RSZ12" s="2"/>
      <c r="RTA12" s="2"/>
      <c r="RTB12" s="2"/>
      <c r="RTC12" s="2"/>
      <c r="RTD12" s="2"/>
      <c r="RTE12" s="2"/>
      <c r="RTF12" s="2"/>
      <c r="RTG12" s="2"/>
      <c r="RTH12" s="2"/>
      <c r="RTI12" s="2"/>
      <c r="RTJ12" s="2"/>
      <c r="RTK12" s="2"/>
      <c r="RTL12" s="2"/>
      <c r="RTM12" s="2"/>
      <c r="RTN12" s="2"/>
      <c r="RTO12" s="2"/>
      <c r="RTP12" s="2"/>
      <c r="RTQ12" s="2"/>
      <c r="RTR12" s="2"/>
      <c r="RTS12" s="2"/>
      <c r="RTT12" s="2"/>
      <c r="RTU12" s="2"/>
      <c r="RTV12" s="2"/>
      <c r="RTW12" s="2"/>
      <c r="RTX12" s="2"/>
      <c r="RTY12" s="2"/>
      <c r="RTZ12" s="2"/>
      <c r="RUA12" s="2"/>
      <c r="RUB12" s="2"/>
      <c r="RUC12" s="2"/>
      <c r="RUD12" s="2"/>
      <c r="RUE12" s="2"/>
      <c r="RUF12" s="2"/>
      <c r="RUG12" s="2"/>
      <c r="RUH12" s="2"/>
      <c r="RUI12" s="2"/>
      <c r="RUJ12" s="2"/>
      <c r="RUK12" s="2"/>
      <c r="RUL12" s="2"/>
      <c r="RUM12" s="2"/>
      <c r="RUN12" s="2"/>
      <c r="RUO12" s="2"/>
      <c r="RUP12" s="2"/>
      <c r="RUQ12" s="2"/>
      <c r="RUR12" s="2"/>
      <c r="RUS12" s="2"/>
      <c r="RUT12" s="2"/>
      <c r="RUU12" s="2"/>
      <c r="RUV12" s="2"/>
      <c r="RUW12" s="2"/>
      <c r="RUX12" s="2"/>
      <c r="RUY12" s="2"/>
      <c r="RUZ12" s="2"/>
      <c r="RVA12" s="2"/>
      <c r="RVB12" s="2"/>
      <c r="RVC12" s="2"/>
      <c r="RVD12" s="2"/>
      <c r="RVE12" s="2"/>
      <c r="RVF12" s="2"/>
      <c r="RVG12" s="2"/>
      <c r="RVH12" s="2"/>
      <c r="RVI12" s="2"/>
      <c r="RVJ12" s="2"/>
      <c r="RVK12" s="2"/>
      <c r="RVL12" s="2"/>
      <c r="RVM12" s="2"/>
      <c r="RVN12" s="2"/>
      <c r="RVO12" s="2"/>
      <c r="RVP12" s="2"/>
      <c r="RVQ12" s="2"/>
      <c r="RVR12" s="2"/>
      <c r="RVS12" s="2"/>
      <c r="RVT12" s="2"/>
      <c r="RVU12" s="2"/>
      <c r="RVV12" s="2"/>
      <c r="RVW12" s="2"/>
      <c r="RVX12" s="2"/>
      <c r="RVY12" s="2"/>
      <c r="RVZ12" s="2"/>
      <c r="RWA12" s="2"/>
      <c r="RWB12" s="2"/>
      <c r="RWC12" s="2"/>
      <c r="RWD12" s="2"/>
      <c r="RWE12" s="2"/>
      <c r="RWF12" s="2"/>
      <c r="RWG12" s="2"/>
      <c r="RWH12" s="2"/>
      <c r="RWI12" s="2"/>
      <c r="RWJ12" s="2"/>
      <c r="RWK12" s="2"/>
      <c r="RWL12" s="2"/>
      <c r="RWM12" s="2"/>
      <c r="RWN12" s="2"/>
      <c r="RWO12" s="2"/>
      <c r="RWP12" s="2"/>
      <c r="RWQ12" s="2"/>
      <c r="RWR12" s="2"/>
      <c r="RWS12" s="2"/>
      <c r="RWT12" s="2"/>
      <c r="RWU12" s="2"/>
      <c r="RWV12" s="2"/>
      <c r="RWW12" s="2"/>
      <c r="RWX12" s="2"/>
      <c r="RWY12" s="2"/>
      <c r="RWZ12" s="2"/>
      <c r="RXA12" s="2"/>
      <c r="RXB12" s="2"/>
      <c r="RXC12" s="2"/>
      <c r="RXD12" s="2"/>
      <c r="RXE12" s="2"/>
      <c r="RXF12" s="2"/>
      <c r="RXG12" s="2"/>
      <c r="RXH12" s="2"/>
      <c r="RXI12" s="2"/>
      <c r="RXJ12" s="2"/>
      <c r="RXK12" s="2"/>
      <c r="RXL12" s="2"/>
      <c r="RXM12" s="2"/>
      <c r="RXN12" s="2"/>
      <c r="RXO12" s="2"/>
      <c r="RXP12" s="2"/>
      <c r="RXQ12" s="2"/>
      <c r="RXR12" s="2"/>
      <c r="RXS12" s="2"/>
      <c r="RXT12" s="2"/>
      <c r="RXU12" s="2"/>
      <c r="RXV12" s="2"/>
      <c r="RXW12" s="2"/>
      <c r="RXX12" s="2"/>
      <c r="RXY12" s="2"/>
      <c r="RXZ12" s="2"/>
      <c r="RYA12" s="2"/>
      <c r="RYB12" s="2"/>
      <c r="RYC12" s="2"/>
      <c r="RYD12" s="2"/>
      <c r="RYE12" s="2"/>
      <c r="RYF12" s="2"/>
      <c r="RYG12" s="2"/>
      <c r="RYH12" s="2"/>
      <c r="RYI12" s="2"/>
      <c r="RYJ12" s="2"/>
      <c r="RYK12" s="2"/>
      <c r="RYL12" s="2"/>
      <c r="RYM12" s="2"/>
      <c r="RYN12" s="2"/>
      <c r="RYO12" s="2"/>
      <c r="RYP12" s="2"/>
      <c r="RYQ12" s="2"/>
      <c r="RYR12" s="2"/>
      <c r="RYS12" s="2"/>
      <c r="RYT12" s="2"/>
      <c r="RYU12" s="2"/>
      <c r="RYV12" s="2"/>
      <c r="RYW12" s="2"/>
      <c r="RYX12" s="2"/>
      <c r="RYY12" s="2"/>
      <c r="RYZ12" s="2"/>
      <c r="RZA12" s="2"/>
      <c r="RZB12" s="2"/>
      <c r="RZC12" s="2"/>
      <c r="RZD12" s="2"/>
      <c r="RZE12" s="2"/>
      <c r="RZF12" s="2"/>
      <c r="RZG12" s="2"/>
      <c r="RZH12" s="2"/>
      <c r="RZI12" s="2"/>
      <c r="RZJ12" s="2"/>
      <c r="RZK12" s="2"/>
      <c r="RZL12" s="2"/>
      <c r="RZM12" s="2"/>
      <c r="RZN12" s="2"/>
      <c r="RZO12" s="2"/>
      <c r="RZP12" s="2"/>
      <c r="RZQ12" s="2"/>
      <c r="RZR12" s="2"/>
      <c r="RZS12" s="2"/>
      <c r="RZT12" s="2"/>
      <c r="RZU12" s="2"/>
      <c r="RZV12" s="2"/>
      <c r="RZW12" s="2"/>
      <c r="RZX12" s="2"/>
      <c r="RZY12" s="2"/>
      <c r="RZZ12" s="2"/>
      <c r="SAA12" s="2"/>
      <c r="SAB12" s="2"/>
      <c r="SAC12" s="2"/>
      <c r="SAD12" s="2"/>
      <c r="SAE12" s="2"/>
      <c r="SAF12" s="2"/>
      <c r="SAG12" s="2"/>
      <c r="SAH12" s="2"/>
      <c r="SAI12" s="2"/>
      <c r="SAJ12" s="2"/>
      <c r="SAK12" s="2"/>
      <c r="SAL12" s="2"/>
      <c r="SAM12" s="2"/>
      <c r="SAN12" s="2"/>
      <c r="SAO12" s="2"/>
      <c r="SAP12" s="2"/>
      <c r="SAQ12" s="2"/>
      <c r="SAR12" s="2"/>
      <c r="SAS12" s="2"/>
      <c r="SAT12" s="2"/>
      <c r="SAU12" s="2"/>
      <c r="SAV12" s="2"/>
      <c r="SAW12" s="2"/>
      <c r="SAX12" s="2"/>
      <c r="SAY12" s="2"/>
      <c r="SAZ12" s="2"/>
      <c r="SBA12" s="2"/>
      <c r="SBB12" s="2"/>
      <c r="SBC12" s="2"/>
      <c r="SBD12" s="2"/>
      <c r="SBE12" s="2"/>
      <c r="SBF12" s="2"/>
      <c r="SBG12" s="2"/>
      <c r="SBH12" s="2"/>
      <c r="SBI12" s="2"/>
      <c r="SBJ12" s="2"/>
      <c r="SBK12" s="2"/>
      <c r="SBL12" s="2"/>
      <c r="SBM12" s="2"/>
      <c r="SBN12" s="2"/>
      <c r="SBO12" s="2"/>
      <c r="SBP12" s="2"/>
      <c r="SBQ12" s="2"/>
      <c r="SBR12" s="2"/>
      <c r="SBS12" s="2"/>
      <c r="SBT12" s="2"/>
      <c r="SBU12" s="2"/>
      <c r="SBV12" s="2"/>
      <c r="SBW12" s="2"/>
      <c r="SBX12" s="2"/>
      <c r="SBY12" s="2"/>
      <c r="SBZ12" s="2"/>
      <c r="SCA12" s="2"/>
      <c r="SCB12" s="2"/>
      <c r="SCC12" s="2"/>
      <c r="SCD12" s="2"/>
      <c r="SCE12" s="2"/>
      <c r="SCF12" s="2"/>
      <c r="SCG12" s="2"/>
      <c r="SCH12" s="2"/>
      <c r="SCI12" s="2"/>
      <c r="SCJ12" s="2"/>
      <c r="SCK12" s="2"/>
      <c r="SCL12" s="2"/>
      <c r="SCM12" s="2"/>
      <c r="SCN12" s="2"/>
      <c r="SCO12" s="2"/>
      <c r="SCP12" s="2"/>
      <c r="SCQ12" s="2"/>
      <c r="SCR12" s="2"/>
      <c r="SCS12" s="2"/>
      <c r="SCT12" s="2"/>
      <c r="SCU12" s="2"/>
      <c r="SCV12" s="2"/>
      <c r="SCW12" s="2"/>
      <c r="SCX12" s="2"/>
      <c r="SCY12" s="2"/>
      <c r="SCZ12" s="2"/>
      <c r="SDA12" s="2"/>
      <c r="SDB12" s="2"/>
      <c r="SDC12" s="2"/>
      <c r="SDD12" s="2"/>
      <c r="SDE12" s="2"/>
      <c r="SDF12" s="2"/>
      <c r="SDG12" s="2"/>
      <c r="SDH12" s="2"/>
      <c r="SDI12" s="2"/>
      <c r="SDJ12" s="2"/>
      <c r="SDK12" s="2"/>
      <c r="SDL12" s="2"/>
      <c r="SDM12" s="2"/>
      <c r="SDN12" s="2"/>
      <c r="SDO12" s="2"/>
      <c r="SDP12" s="2"/>
      <c r="SDQ12" s="2"/>
      <c r="SDR12" s="2"/>
      <c r="SDS12" s="2"/>
      <c r="SDT12" s="2"/>
      <c r="SDU12" s="2"/>
      <c r="SDV12" s="2"/>
      <c r="SDW12" s="2"/>
      <c r="SDX12" s="2"/>
      <c r="SDY12" s="2"/>
      <c r="SDZ12" s="2"/>
      <c r="SEA12" s="2"/>
      <c r="SEB12" s="2"/>
      <c r="SEC12" s="2"/>
      <c r="SED12" s="2"/>
      <c r="SEE12" s="2"/>
      <c r="SEF12" s="2"/>
      <c r="SEG12" s="2"/>
      <c r="SEH12" s="2"/>
      <c r="SEI12" s="2"/>
      <c r="SEJ12" s="2"/>
      <c r="SEK12" s="2"/>
      <c r="SEL12" s="2"/>
      <c r="SEM12" s="2"/>
      <c r="SEN12" s="2"/>
      <c r="SEO12" s="2"/>
      <c r="SEP12" s="2"/>
      <c r="SEQ12" s="2"/>
      <c r="SER12" s="2"/>
      <c r="SES12" s="2"/>
      <c r="SET12" s="2"/>
      <c r="SEU12" s="2"/>
      <c r="SEV12" s="2"/>
      <c r="SEW12" s="2"/>
      <c r="SEX12" s="2"/>
      <c r="SEY12" s="2"/>
      <c r="SEZ12" s="2"/>
      <c r="SFA12" s="2"/>
      <c r="SFB12" s="2"/>
      <c r="SFC12" s="2"/>
      <c r="SFD12" s="2"/>
      <c r="SFE12" s="2"/>
      <c r="SFF12" s="2"/>
      <c r="SFG12" s="2"/>
      <c r="SFH12" s="2"/>
      <c r="SFI12" s="2"/>
      <c r="SFJ12" s="2"/>
      <c r="SFK12" s="2"/>
      <c r="SFL12" s="2"/>
      <c r="SFM12" s="2"/>
      <c r="SFN12" s="2"/>
      <c r="SFO12" s="2"/>
      <c r="SFP12" s="2"/>
      <c r="SFQ12" s="2"/>
      <c r="SFR12" s="2"/>
      <c r="SFS12" s="2"/>
      <c r="SFT12" s="2"/>
      <c r="SFU12" s="2"/>
      <c r="SFV12" s="2"/>
      <c r="SFW12" s="2"/>
      <c r="SFX12" s="2"/>
      <c r="SFY12" s="2"/>
      <c r="SFZ12" s="2"/>
      <c r="SGA12" s="2"/>
      <c r="SGB12" s="2"/>
      <c r="SGC12" s="2"/>
      <c r="SGD12" s="2"/>
      <c r="SGE12" s="2"/>
      <c r="SGF12" s="2"/>
      <c r="SGG12" s="2"/>
      <c r="SGH12" s="2"/>
      <c r="SGI12" s="2"/>
      <c r="SGJ12" s="2"/>
      <c r="SGK12" s="2"/>
      <c r="SGL12" s="2"/>
      <c r="SGM12" s="2"/>
      <c r="SGN12" s="2"/>
      <c r="SGO12" s="2"/>
      <c r="SGP12" s="2"/>
      <c r="SGQ12" s="2"/>
      <c r="SGR12" s="2"/>
      <c r="SGS12" s="2"/>
      <c r="SGT12" s="2"/>
      <c r="SGU12" s="2"/>
      <c r="SGV12" s="2"/>
      <c r="SGW12" s="2"/>
      <c r="SGX12" s="2"/>
      <c r="SGY12" s="2"/>
      <c r="SGZ12" s="2"/>
      <c r="SHA12" s="2"/>
      <c r="SHB12" s="2"/>
      <c r="SHC12" s="2"/>
      <c r="SHD12" s="2"/>
      <c r="SHE12" s="2"/>
      <c r="SHF12" s="2"/>
      <c r="SHG12" s="2"/>
      <c r="SHH12" s="2"/>
      <c r="SHI12" s="2"/>
      <c r="SHJ12" s="2"/>
      <c r="SHK12" s="2"/>
      <c r="SHL12" s="2"/>
      <c r="SHM12" s="2"/>
      <c r="SHN12" s="2"/>
      <c r="SHO12" s="2"/>
      <c r="SHP12" s="2"/>
      <c r="SHQ12" s="2"/>
      <c r="SHR12" s="2"/>
      <c r="SHS12" s="2"/>
      <c r="SHT12" s="2"/>
      <c r="SHU12" s="2"/>
      <c r="SHV12" s="2"/>
      <c r="SHW12" s="2"/>
      <c r="SHX12" s="2"/>
      <c r="SHY12" s="2"/>
      <c r="SHZ12" s="2"/>
      <c r="SIA12" s="2"/>
      <c r="SIB12" s="2"/>
      <c r="SIC12" s="2"/>
      <c r="SID12" s="2"/>
      <c r="SIE12" s="2"/>
      <c r="SIF12" s="2"/>
      <c r="SIG12" s="2"/>
      <c r="SIH12" s="2"/>
      <c r="SII12" s="2"/>
      <c r="SIJ12" s="2"/>
      <c r="SIK12" s="2"/>
      <c r="SIL12" s="2"/>
      <c r="SIM12" s="2"/>
      <c r="SIN12" s="2"/>
      <c r="SIO12" s="2"/>
      <c r="SIP12" s="2"/>
      <c r="SIQ12" s="2"/>
      <c r="SIR12" s="2"/>
      <c r="SIS12" s="2"/>
      <c r="SIT12" s="2"/>
      <c r="SIU12" s="2"/>
      <c r="SIV12" s="2"/>
      <c r="SIW12" s="2"/>
      <c r="SIX12" s="2"/>
      <c r="SIY12" s="2"/>
      <c r="SIZ12" s="2"/>
      <c r="SJA12" s="2"/>
      <c r="SJB12" s="2"/>
      <c r="SJC12" s="2"/>
      <c r="SJD12" s="2"/>
      <c r="SJE12" s="2"/>
      <c r="SJF12" s="2"/>
      <c r="SJG12" s="2"/>
      <c r="SJH12" s="2"/>
      <c r="SJI12" s="2"/>
      <c r="SJJ12" s="2"/>
      <c r="SJK12" s="2"/>
      <c r="SJL12" s="2"/>
      <c r="SJM12" s="2"/>
      <c r="SJN12" s="2"/>
      <c r="SJO12" s="2"/>
      <c r="SJP12" s="2"/>
      <c r="SJQ12" s="2"/>
      <c r="SJR12" s="2"/>
      <c r="SJS12" s="2"/>
      <c r="SJT12" s="2"/>
      <c r="SJU12" s="2"/>
      <c r="SJV12" s="2"/>
      <c r="SJW12" s="2"/>
      <c r="SJX12" s="2"/>
      <c r="SJY12" s="2"/>
      <c r="SJZ12" s="2"/>
      <c r="SKA12" s="2"/>
      <c r="SKB12" s="2"/>
      <c r="SKC12" s="2"/>
      <c r="SKD12" s="2"/>
      <c r="SKE12" s="2"/>
      <c r="SKF12" s="2"/>
      <c r="SKG12" s="2"/>
      <c r="SKH12" s="2"/>
      <c r="SKI12" s="2"/>
      <c r="SKJ12" s="2"/>
      <c r="SKK12" s="2"/>
      <c r="SKL12" s="2"/>
      <c r="SKM12" s="2"/>
      <c r="SKN12" s="2"/>
      <c r="SKO12" s="2"/>
      <c r="SKP12" s="2"/>
      <c r="SKQ12" s="2"/>
      <c r="SKR12" s="2"/>
      <c r="SKS12" s="2"/>
      <c r="SKT12" s="2"/>
      <c r="SKU12" s="2"/>
      <c r="SKV12" s="2"/>
      <c r="SKW12" s="2"/>
      <c r="SKX12" s="2"/>
      <c r="SKY12" s="2"/>
      <c r="SKZ12" s="2"/>
      <c r="SLA12" s="2"/>
      <c r="SLB12" s="2"/>
      <c r="SLC12" s="2"/>
      <c r="SLD12" s="2"/>
      <c r="SLE12" s="2"/>
      <c r="SLF12" s="2"/>
      <c r="SLG12" s="2"/>
      <c r="SLH12" s="2"/>
      <c r="SLI12" s="2"/>
      <c r="SLJ12" s="2"/>
      <c r="SLK12" s="2"/>
      <c r="SLL12" s="2"/>
      <c r="SLM12" s="2"/>
      <c r="SLN12" s="2"/>
      <c r="SLO12" s="2"/>
      <c r="SLP12" s="2"/>
      <c r="SLQ12" s="2"/>
      <c r="SLR12" s="2"/>
      <c r="SLS12" s="2"/>
      <c r="SLT12" s="2"/>
      <c r="SLU12" s="2"/>
      <c r="SLV12" s="2"/>
      <c r="SLW12" s="2"/>
      <c r="SLX12" s="2"/>
      <c r="SLY12" s="2"/>
      <c r="SLZ12" s="2"/>
      <c r="SMA12" s="2"/>
      <c r="SMB12" s="2"/>
      <c r="SMC12" s="2"/>
      <c r="SMD12" s="2"/>
      <c r="SME12" s="2"/>
      <c r="SMF12" s="2"/>
      <c r="SMG12" s="2"/>
      <c r="SMH12" s="2"/>
      <c r="SMI12" s="2"/>
      <c r="SMJ12" s="2"/>
      <c r="SMK12" s="2"/>
      <c r="SML12" s="2"/>
      <c r="SMM12" s="2"/>
      <c r="SMN12" s="2"/>
      <c r="SMO12" s="2"/>
      <c r="SMP12" s="2"/>
      <c r="SMQ12" s="2"/>
      <c r="SMR12" s="2"/>
      <c r="SMS12" s="2"/>
      <c r="SMT12" s="2"/>
      <c r="SMU12" s="2"/>
      <c r="SMV12" s="2"/>
      <c r="SMW12" s="2"/>
      <c r="SMX12" s="2"/>
      <c r="SMY12" s="2"/>
      <c r="SMZ12" s="2"/>
      <c r="SNA12" s="2"/>
      <c r="SNB12" s="2"/>
      <c r="SNC12" s="2"/>
      <c r="SND12" s="2"/>
      <c r="SNE12" s="2"/>
      <c r="SNF12" s="2"/>
      <c r="SNG12" s="2"/>
      <c r="SNH12" s="2"/>
      <c r="SNI12" s="2"/>
      <c r="SNJ12" s="2"/>
      <c r="SNK12" s="2"/>
      <c r="SNL12" s="2"/>
      <c r="SNM12" s="2"/>
      <c r="SNN12" s="2"/>
      <c r="SNO12" s="2"/>
      <c r="SNP12" s="2"/>
      <c r="SNQ12" s="2"/>
      <c r="SNR12" s="2"/>
      <c r="SNS12" s="2"/>
      <c r="SNT12" s="2"/>
      <c r="SNU12" s="2"/>
      <c r="SNV12" s="2"/>
      <c r="SNW12" s="2"/>
      <c r="SNX12" s="2"/>
      <c r="SNY12" s="2"/>
      <c r="SNZ12" s="2"/>
      <c r="SOA12" s="2"/>
      <c r="SOB12" s="2"/>
      <c r="SOC12" s="2"/>
      <c r="SOD12" s="2"/>
      <c r="SOE12" s="2"/>
      <c r="SOF12" s="2"/>
      <c r="SOG12" s="2"/>
      <c r="SOH12" s="2"/>
      <c r="SOI12" s="2"/>
      <c r="SOJ12" s="2"/>
      <c r="SOK12" s="2"/>
      <c r="SOL12" s="2"/>
      <c r="SOM12" s="2"/>
      <c r="SON12" s="2"/>
      <c r="SOO12" s="2"/>
      <c r="SOP12" s="2"/>
      <c r="SOQ12" s="2"/>
      <c r="SOR12" s="2"/>
      <c r="SOS12" s="2"/>
      <c r="SOT12" s="2"/>
      <c r="SOU12" s="2"/>
      <c r="SOV12" s="2"/>
      <c r="SOW12" s="2"/>
      <c r="SOX12" s="2"/>
      <c r="SOY12" s="2"/>
      <c r="SOZ12" s="2"/>
      <c r="SPA12" s="2"/>
      <c r="SPB12" s="2"/>
      <c r="SPC12" s="2"/>
      <c r="SPD12" s="2"/>
      <c r="SPE12" s="2"/>
      <c r="SPF12" s="2"/>
      <c r="SPG12" s="2"/>
      <c r="SPH12" s="2"/>
      <c r="SPI12" s="2"/>
      <c r="SPJ12" s="2"/>
      <c r="SPK12" s="2"/>
      <c r="SPL12" s="2"/>
      <c r="SPM12" s="2"/>
      <c r="SPN12" s="2"/>
      <c r="SPO12" s="2"/>
      <c r="SPP12" s="2"/>
      <c r="SPQ12" s="2"/>
      <c r="SPR12" s="2"/>
      <c r="SPS12" s="2"/>
      <c r="SPT12" s="2"/>
      <c r="SPU12" s="2"/>
      <c r="SPV12" s="2"/>
      <c r="SPW12" s="2"/>
      <c r="SPX12" s="2"/>
      <c r="SPY12" s="2"/>
      <c r="SPZ12" s="2"/>
      <c r="SQA12" s="2"/>
      <c r="SQB12" s="2"/>
      <c r="SQC12" s="2"/>
      <c r="SQD12" s="2"/>
      <c r="SQE12" s="2"/>
      <c r="SQF12" s="2"/>
      <c r="SQG12" s="2"/>
      <c r="SQH12" s="2"/>
      <c r="SQI12" s="2"/>
      <c r="SQJ12" s="2"/>
      <c r="SQK12" s="2"/>
      <c r="SQL12" s="2"/>
      <c r="SQM12" s="2"/>
      <c r="SQN12" s="2"/>
      <c r="SQO12" s="2"/>
      <c r="SQP12" s="2"/>
      <c r="SQQ12" s="2"/>
      <c r="SQR12" s="2"/>
      <c r="SQS12" s="2"/>
      <c r="SQT12" s="2"/>
      <c r="SQU12" s="2"/>
      <c r="SQV12" s="2"/>
      <c r="SQW12" s="2"/>
      <c r="SQX12" s="2"/>
      <c r="SQY12" s="2"/>
      <c r="SQZ12" s="2"/>
      <c r="SRA12" s="2"/>
      <c r="SRB12" s="2"/>
      <c r="SRC12" s="2"/>
      <c r="SRD12" s="2"/>
      <c r="SRE12" s="2"/>
      <c r="SRF12" s="2"/>
      <c r="SRG12" s="2"/>
      <c r="SRH12" s="2"/>
      <c r="SRI12" s="2"/>
      <c r="SRJ12" s="2"/>
      <c r="SRK12" s="2"/>
      <c r="SRL12" s="2"/>
      <c r="SRM12" s="2"/>
      <c r="SRN12" s="2"/>
      <c r="SRO12" s="2"/>
      <c r="SRP12" s="2"/>
      <c r="SRQ12" s="2"/>
      <c r="SRR12" s="2"/>
      <c r="SRS12" s="2"/>
      <c r="SRT12" s="2"/>
      <c r="SRU12" s="2"/>
      <c r="SRV12" s="2"/>
      <c r="SRW12" s="2"/>
      <c r="SRX12" s="2"/>
      <c r="SRY12" s="2"/>
      <c r="SRZ12" s="2"/>
      <c r="SSA12" s="2"/>
      <c r="SSB12" s="2"/>
      <c r="SSC12" s="2"/>
      <c r="SSD12" s="2"/>
      <c r="SSE12" s="2"/>
      <c r="SSF12" s="2"/>
      <c r="SSG12" s="2"/>
      <c r="SSH12" s="2"/>
      <c r="SSI12" s="2"/>
      <c r="SSJ12" s="2"/>
      <c r="SSK12" s="2"/>
      <c r="SSL12" s="2"/>
      <c r="SSM12" s="2"/>
      <c r="SSN12" s="2"/>
      <c r="SSO12" s="2"/>
      <c r="SSP12" s="2"/>
      <c r="SSQ12" s="2"/>
      <c r="SSR12" s="2"/>
      <c r="SSS12" s="2"/>
      <c r="SST12" s="2"/>
      <c r="SSU12" s="2"/>
      <c r="SSV12" s="2"/>
      <c r="SSW12" s="2"/>
      <c r="SSX12" s="2"/>
      <c r="SSY12" s="2"/>
      <c r="SSZ12" s="2"/>
      <c r="STA12" s="2"/>
      <c r="STB12" s="2"/>
      <c r="STC12" s="2"/>
      <c r="STD12" s="2"/>
      <c r="STE12" s="2"/>
      <c r="STF12" s="2"/>
      <c r="STG12" s="2"/>
      <c r="STH12" s="2"/>
      <c r="STI12" s="2"/>
      <c r="STJ12" s="2"/>
      <c r="STK12" s="2"/>
      <c r="STL12" s="2"/>
      <c r="STM12" s="2"/>
      <c r="STN12" s="2"/>
      <c r="STO12" s="2"/>
      <c r="STP12" s="2"/>
      <c r="STQ12" s="2"/>
      <c r="STR12" s="2"/>
      <c r="STS12" s="2"/>
      <c r="STT12" s="2"/>
      <c r="STU12" s="2"/>
      <c r="STV12" s="2"/>
      <c r="STW12" s="2"/>
      <c r="STX12" s="2"/>
      <c r="STY12" s="2"/>
      <c r="STZ12" s="2"/>
      <c r="SUA12" s="2"/>
      <c r="SUB12" s="2"/>
      <c r="SUC12" s="2"/>
      <c r="SUD12" s="2"/>
      <c r="SUE12" s="2"/>
      <c r="SUF12" s="2"/>
      <c r="SUG12" s="2"/>
      <c r="SUH12" s="2"/>
      <c r="SUI12" s="2"/>
      <c r="SUJ12" s="2"/>
      <c r="SUK12" s="2"/>
      <c r="SUL12" s="2"/>
      <c r="SUM12" s="2"/>
      <c r="SUN12" s="2"/>
      <c r="SUO12" s="2"/>
      <c r="SUP12" s="2"/>
      <c r="SUQ12" s="2"/>
      <c r="SUR12" s="2"/>
      <c r="SUS12" s="2"/>
      <c r="SUT12" s="2"/>
      <c r="SUU12" s="2"/>
      <c r="SUV12" s="2"/>
      <c r="SUW12" s="2"/>
      <c r="SUX12" s="2"/>
      <c r="SUY12" s="2"/>
      <c r="SUZ12" s="2"/>
      <c r="SVA12" s="2"/>
      <c r="SVB12" s="2"/>
      <c r="SVC12" s="2"/>
      <c r="SVD12" s="2"/>
      <c r="SVE12" s="2"/>
      <c r="SVF12" s="2"/>
      <c r="SVG12" s="2"/>
      <c r="SVH12" s="2"/>
      <c r="SVI12" s="2"/>
      <c r="SVJ12" s="2"/>
      <c r="SVK12" s="2"/>
      <c r="SVL12" s="2"/>
      <c r="SVM12" s="2"/>
      <c r="SVN12" s="2"/>
      <c r="SVO12" s="2"/>
      <c r="SVP12" s="2"/>
      <c r="SVQ12" s="2"/>
      <c r="SVR12" s="2"/>
      <c r="SVS12" s="2"/>
      <c r="SVT12" s="2"/>
      <c r="SVU12" s="2"/>
      <c r="SVV12" s="2"/>
      <c r="SVW12" s="2"/>
      <c r="SVX12" s="2"/>
      <c r="SVY12" s="2"/>
      <c r="SVZ12" s="2"/>
      <c r="SWA12" s="2"/>
      <c r="SWB12" s="2"/>
      <c r="SWC12" s="2"/>
      <c r="SWD12" s="2"/>
      <c r="SWE12" s="2"/>
      <c r="SWF12" s="2"/>
      <c r="SWG12" s="2"/>
      <c r="SWH12" s="2"/>
      <c r="SWI12" s="2"/>
      <c r="SWJ12" s="2"/>
      <c r="SWK12" s="2"/>
      <c r="SWL12" s="2"/>
      <c r="SWM12" s="2"/>
      <c r="SWN12" s="2"/>
      <c r="SWO12" s="2"/>
      <c r="SWP12" s="2"/>
      <c r="SWQ12" s="2"/>
      <c r="SWR12" s="2"/>
      <c r="SWS12" s="2"/>
      <c r="SWT12" s="2"/>
      <c r="SWU12" s="2"/>
      <c r="SWV12" s="2"/>
      <c r="SWW12" s="2"/>
      <c r="SWX12" s="2"/>
      <c r="SWY12" s="2"/>
      <c r="SWZ12" s="2"/>
      <c r="SXA12" s="2"/>
      <c r="SXB12" s="2"/>
      <c r="SXC12" s="2"/>
      <c r="SXD12" s="2"/>
      <c r="SXE12" s="2"/>
      <c r="SXF12" s="2"/>
      <c r="SXG12" s="2"/>
      <c r="SXH12" s="2"/>
      <c r="SXI12" s="2"/>
      <c r="SXJ12" s="2"/>
      <c r="SXK12" s="2"/>
      <c r="SXL12" s="2"/>
      <c r="SXM12" s="2"/>
      <c r="SXN12" s="2"/>
      <c r="SXO12" s="2"/>
      <c r="SXP12" s="2"/>
      <c r="SXQ12" s="2"/>
      <c r="SXR12" s="2"/>
      <c r="SXS12" s="2"/>
      <c r="SXT12" s="2"/>
      <c r="SXU12" s="2"/>
      <c r="SXV12" s="2"/>
      <c r="SXW12" s="2"/>
      <c r="SXX12" s="2"/>
      <c r="SXY12" s="2"/>
      <c r="SXZ12" s="2"/>
      <c r="SYA12" s="2"/>
      <c r="SYB12" s="2"/>
      <c r="SYC12" s="2"/>
      <c r="SYD12" s="2"/>
      <c r="SYE12" s="2"/>
      <c r="SYF12" s="2"/>
      <c r="SYG12" s="2"/>
      <c r="SYH12" s="2"/>
      <c r="SYI12" s="2"/>
      <c r="SYJ12" s="2"/>
      <c r="SYK12" s="2"/>
      <c r="SYL12" s="2"/>
      <c r="SYM12" s="2"/>
      <c r="SYN12" s="2"/>
      <c r="SYO12" s="2"/>
      <c r="SYP12" s="2"/>
      <c r="SYQ12" s="2"/>
      <c r="SYR12" s="2"/>
      <c r="SYS12" s="2"/>
      <c r="SYT12" s="2"/>
      <c r="SYU12" s="2"/>
      <c r="SYV12" s="2"/>
      <c r="SYW12" s="2"/>
      <c r="SYX12" s="2"/>
      <c r="SYY12" s="2"/>
      <c r="SYZ12" s="2"/>
      <c r="SZA12" s="2"/>
      <c r="SZB12" s="2"/>
      <c r="SZC12" s="2"/>
      <c r="SZD12" s="2"/>
      <c r="SZE12" s="2"/>
      <c r="SZF12" s="2"/>
      <c r="SZG12" s="2"/>
      <c r="SZH12" s="2"/>
      <c r="SZI12" s="2"/>
      <c r="SZJ12" s="2"/>
      <c r="SZK12" s="2"/>
      <c r="SZL12" s="2"/>
      <c r="SZM12" s="2"/>
      <c r="SZN12" s="2"/>
      <c r="SZO12" s="2"/>
      <c r="SZP12" s="2"/>
      <c r="SZQ12" s="2"/>
      <c r="SZR12" s="2"/>
      <c r="SZS12" s="2"/>
      <c r="SZT12" s="2"/>
      <c r="SZU12" s="2"/>
      <c r="SZV12" s="2"/>
      <c r="SZW12" s="2"/>
      <c r="SZX12" s="2"/>
      <c r="SZY12" s="2"/>
      <c r="SZZ12" s="2"/>
      <c r="TAA12" s="2"/>
      <c r="TAB12" s="2"/>
      <c r="TAC12" s="2"/>
      <c r="TAD12" s="2"/>
      <c r="TAE12" s="2"/>
      <c r="TAF12" s="2"/>
      <c r="TAG12" s="2"/>
      <c r="TAH12" s="2"/>
      <c r="TAI12" s="2"/>
      <c r="TAJ12" s="2"/>
      <c r="TAK12" s="2"/>
      <c r="TAL12" s="2"/>
      <c r="TAM12" s="2"/>
      <c r="TAN12" s="2"/>
      <c r="TAO12" s="2"/>
      <c r="TAP12" s="2"/>
      <c r="TAQ12" s="2"/>
      <c r="TAR12" s="2"/>
      <c r="TAS12" s="2"/>
      <c r="TAT12" s="2"/>
      <c r="TAU12" s="2"/>
      <c r="TAV12" s="2"/>
      <c r="TAW12" s="2"/>
      <c r="TAX12" s="2"/>
      <c r="TAY12" s="2"/>
      <c r="TAZ12" s="2"/>
      <c r="TBA12" s="2"/>
      <c r="TBB12" s="2"/>
      <c r="TBC12" s="2"/>
      <c r="TBD12" s="2"/>
      <c r="TBE12" s="2"/>
      <c r="TBF12" s="2"/>
      <c r="TBG12" s="2"/>
      <c r="TBH12" s="2"/>
      <c r="TBI12" s="2"/>
      <c r="TBJ12" s="2"/>
      <c r="TBK12" s="2"/>
      <c r="TBL12" s="2"/>
      <c r="TBM12" s="2"/>
      <c r="TBN12" s="2"/>
      <c r="TBO12" s="2"/>
      <c r="TBP12" s="2"/>
      <c r="TBQ12" s="2"/>
      <c r="TBR12" s="2"/>
      <c r="TBS12" s="2"/>
      <c r="TBT12" s="2"/>
      <c r="TBU12" s="2"/>
      <c r="TBV12" s="2"/>
      <c r="TBW12" s="2"/>
      <c r="TBX12" s="2"/>
      <c r="TBY12" s="2"/>
      <c r="TBZ12" s="2"/>
      <c r="TCA12" s="2"/>
      <c r="TCB12" s="2"/>
      <c r="TCC12" s="2"/>
      <c r="TCD12" s="2"/>
      <c r="TCE12" s="2"/>
      <c r="TCF12" s="2"/>
      <c r="TCG12" s="2"/>
      <c r="TCH12" s="2"/>
      <c r="TCI12" s="2"/>
      <c r="TCJ12" s="2"/>
      <c r="TCK12" s="2"/>
      <c r="TCL12" s="2"/>
      <c r="TCM12" s="2"/>
      <c r="TCN12" s="2"/>
      <c r="TCO12" s="2"/>
      <c r="TCP12" s="2"/>
      <c r="TCQ12" s="2"/>
      <c r="TCR12" s="2"/>
      <c r="TCS12" s="2"/>
      <c r="TCT12" s="2"/>
      <c r="TCU12" s="2"/>
      <c r="TCV12" s="2"/>
      <c r="TCW12" s="2"/>
      <c r="TCX12" s="2"/>
      <c r="TCY12" s="2"/>
      <c r="TCZ12" s="2"/>
      <c r="TDA12" s="2"/>
      <c r="TDB12" s="2"/>
      <c r="TDC12" s="2"/>
      <c r="TDD12" s="2"/>
      <c r="TDE12" s="2"/>
      <c r="TDF12" s="2"/>
      <c r="TDG12" s="2"/>
      <c r="TDH12" s="2"/>
      <c r="TDI12" s="2"/>
      <c r="TDJ12" s="2"/>
      <c r="TDK12" s="2"/>
      <c r="TDL12" s="2"/>
      <c r="TDM12" s="2"/>
      <c r="TDN12" s="2"/>
      <c r="TDO12" s="2"/>
      <c r="TDP12" s="2"/>
      <c r="TDQ12" s="2"/>
      <c r="TDR12" s="2"/>
      <c r="TDS12" s="2"/>
      <c r="TDT12" s="2"/>
      <c r="TDU12" s="2"/>
      <c r="TDV12" s="2"/>
      <c r="TDW12" s="2"/>
      <c r="TDX12" s="2"/>
      <c r="TDY12" s="2"/>
      <c r="TDZ12" s="2"/>
      <c r="TEA12" s="2"/>
      <c r="TEB12" s="2"/>
      <c r="TEC12" s="2"/>
      <c r="TED12" s="2"/>
      <c r="TEE12" s="2"/>
      <c r="TEF12" s="2"/>
      <c r="TEG12" s="2"/>
      <c r="TEH12" s="2"/>
      <c r="TEI12" s="2"/>
      <c r="TEJ12" s="2"/>
      <c r="TEK12" s="2"/>
      <c r="TEL12" s="2"/>
      <c r="TEM12" s="2"/>
      <c r="TEN12" s="2"/>
      <c r="TEO12" s="2"/>
      <c r="TEP12" s="2"/>
      <c r="TEQ12" s="2"/>
      <c r="TER12" s="2"/>
      <c r="TES12" s="2"/>
      <c r="TET12" s="2"/>
      <c r="TEU12" s="2"/>
      <c r="TEV12" s="2"/>
      <c r="TEW12" s="2"/>
      <c r="TEX12" s="2"/>
      <c r="TEY12" s="2"/>
      <c r="TEZ12" s="2"/>
      <c r="TFA12" s="2"/>
      <c r="TFB12" s="2"/>
      <c r="TFC12" s="2"/>
      <c r="TFD12" s="2"/>
      <c r="TFE12" s="2"/>
      <c r="TFF12" s="2"/>
      <c r="TFG12" s="2"/>
      <c r="TFH12" s="2"/>
      <c r="TFI12" s="2"/>
      <c r="TFJ12" s="2"/>
      <c r="TFK12" s="2"/>
      <c r="TFL12" s="2"/>
      <c r="TFM12" s="2"/>
      <c r="TFN12" s="2"/>
      <c r="TFO12" s="2"/>
      <c r="TFP12" s="2"/>
      <c r="TFQ12" s="2"/>
      <c r="TFR12" s="2"/>
      <c r="TFS12" s="2"/>
      <c r="TFT12" s="2"/>
      <c r="TFU12" s="2"/>
      <c r="TFV12" s="2"/>
      <c r="TFW12" s="2"/>
      <c r="TFX12" s="2"/>
      <c r="TFY12" s="2"/>
      <c r="TFZ12" s="2"/>
      <c r="TGA12" s="2"/>
      <c r="TGB12" s="2"/>
      <c r="TGC12" s="2"/>
      <c r="TGD12" s="2"/>
      <c r="TGE12" s="2"/>
      <c r="TGF12" s="2"/>
      <c r="TGG12" s="2"/>
      <c r="TGH12" s="2"/>
      <c r="TGI12" s="2"/>
      <c r="TGJ12" s="2"/>
      <c r="TGK12" s="2"/>
      <c r="TGL12" s="2"/>
      <c r="TGM12" s="2"/>
      <c r="TGN12" s="2"/>
      <c r="TGO12" s="2"/>
      <c r="TGP12" s="2"/>
      <c r="TGQ12" s="2"/>
      <c r="TGR12" s="2"/>
      <c r="TGS12" s="2"/>
      <c r="TGT12" s="2"/>
      <c r="TGU12" s="2"/>
      <c r="TGV12" s="2"/>
      <c r="TGW12" s="2"/>
      <c r="TGX12" s="2"/>
      <c r="TGY12" s="2"/>
      <c r="TGZ12" s="2"/>
      <c r="THA12" s="2"/>
      <c r="THB12" s="2"/>
      <c r="THC12" s="2"/>
      <c r="THD12" s="2"/>
      <c r="THE12" s="2"/>
      <c r="THF12" s="2"/>
      <c r="THG12" s="2"/>
      <c r="THH12" s="2"/>
      <c r="THI12" s="2"/>
      <c r="THJ12" s="2"/>
      <c r="THK12" s="2"/>
      <c r="THL12" s="2"/>
      <c r="THM12" s="2"/>
      <c r="THN12" s="2"/>
      <c r="THO12" s="2"/>
      <c r="THP12" s="2"/>
      <c r="THQ12" s="2"/>
      <c r="THR12" s="2"/>
      <c r="THS12" s="2"/>
      <c r="THT12" s="2"/>
      <c r="THU12" s="2"/>
      <c r="THV12" s="2"/>
      <c r="THW12" s="2"/>
      <c r="THX12" s="2"/>
      <c r="THY12" s="2"/>
      <c r="THZ12" s="2"/>
      <c r="TIA12" s="2"/>
      <c r="TIB12" s="2"/>
      <c r="TIC12" s="2"/>
      <c r="TID12" s="2"/>
      <c r="TIE12" s="2"/>
      <c r="TIF12" s="2"/>
      <c r="TIG12" s="2"/>
      <c r="TIH12" s="2"/>
      <c r="TII12" s="2"/>
      <c r="TIJ12" s="2"/>
      <c r="TIK12" s="2"/>
      <c r="TIL12" s="2"/>
      <c r="TIM12" s="2"/>
      <c r="TIN12" s="2"/>
      <c r="TIO12" s="2"/>
      <c r="TIP12" s="2"/>
      <c r="TIQ12" s="2"/>
      <c r="TIR12" s="2"/>
      <c r="TIS12" s="2"/>
      <c r="TIT12" s="2"/>
      <c r="TIU12" s="2"/>
      <c r="TIV12" s="2"/>
      <c r="TIW12" s="2"/>
      <c r="TIX12" s="2"/>
      <c r="TIY12" s="2"/>
      <c r="TIZ12" s="2"/>
      <c r="TJA12" s="2"/>
      <c r="TJB12" s="2"/>
      <c r="TJC12" s="2"/>
      <c r="TJD12" s="2"/>
      <c r="TJE12" s="2"/>
      <c r="TJF12" s="2"/>
      <c r="TJG12" s="2"/>
      <c r="TJH12" s="2"/>
      <c r="TJI12" s="2"/>
      <c r="TJJ12" s="2"/>
      <c r="TJK12" s="2"/>
      <c r="TJL12" s="2"/>
      <c r="TJM12" s="2"/>
      <c r="TJN12" s="2"/>
      <c r="TJO12" s="2"/>
      <c r="TJP12" s="2"/>
      <c r="TJQ12" s="2"/>
      <c r="TJR12" s="2"/>
      <c r="TJS12" s="2"/>
      <c r="TJT12" s="2"/>
      <c r="TJU12" s="2"/>
      <c r="TJV12" s="2"/>
      <c r="TJW12" s="2"/>
      <c r="TJX12" s="2"/>
      <c r="TJY12" s="2"/>
      <c r="TJZ12" s="2"/>
      <c r="TKA12" s="2"/>
      <c r="TKB12" s="2"/>
      <c r="TKC12" s="2"/>
      <c r="TKD12" s="2"/>
      <c r="TKE12" s="2"/>
      <c r="TKF12" s="2"/>
      <c r="TKG12" s="2"/>
      <c r="TKH12" s="2"/>
      <c r="TKI12" s="2"/>
      <c r="TKJ12" s="2"/>
      <c r="TKK12" s="2"/>
      <c r="TKL12" s="2"/>
      <c r="TKM12" s="2"/>
      <c r="TKN12" s="2"/>
      <c r="TKO12" s="2"/>
      <c r="TKP12" s="2"/>
      <c r="TKQ12" s="2"/>
      <c r="TKR12" s="2"/>
      <c r="TKS12" s="2"/>
      <c r="TKT12" s="2"/>
      <c r="TKU12" s="2"/>
      <c r="TKV12" s="2"/>
      <c r="TKW12" s="2"/>
      <c r="TKX12" s="2"/>
      <c r="TKY12" s="2"/>
      <c r="TKZ12" s="2"/>
      <c r="TLA12" s="2"/>
      <c r="TLB12" s="2"/>
      <c r="TLC12" s="2"/>
      <c r="TLD12" s="2"/>
      <c r="TLE12" s="2"/>
      <c r="TLF12" s="2"/>
      <c r="TLG12" s="2"/>
      <c r="TLH12" s="2"/>
      <c r="TLI12" s="2"/>
      <c r="TLJ12" s="2"/>
      <c r="TLK12" s="2"/>
      <c r="TLL12" s="2"/>
      <c r="TLM12" s="2"/>
      <c r="TLN12" s="2"/>
      <c r="TLO12" s="2"/>
      <c r="TLP12" s="2"/>
      <c r="TLQ12" s="2"/>
      <c r="TLR12" s="2"/>
      <c r="TLS12" s="2"/>
      <c r="TLT12" s="2"/>
      <c r="TLU12" s="2"/>
      <c r="TLV12" s="2"/>
      <c r="TLW12" s="2"/>
      <c r="TLX12" s="2"/>
      <c r="TLY12" s="2"/>
      <c r="TLZ12" s="2"/>
      <c r="TMA12" s="2"/>
      <c r="TMB12" s="2"/>
      <c r="TMC12" s="2"/>
      <c r="TMD12" s="2"/>
      <c r="TME12" s="2"/>
      <c r="TMF12" s="2"/>
      <c r="TMG12" s="2"/>
      <c r="TMH12" s="2"/>
      <c r="TMI12" s="2"/>
      <c r="TMJ12" s="2"/>
      <c r="TMK12" s="2"/>
      <c r="TML12" s="2"/>
      <c r="TMM12" s="2"/>
      <c r="TMN12" s="2"/>
      <c r="TMO12" s="2"/>
      <c r="TMP12" s="2"/>
      <c r="TMQ12" s="2"/>
      <c r="TMR12" s="2"/>
      <c r="TMS12" s="2"/>
      <c r="TMT12" s="2"/>
      <c r="TMU12" s="2"/>
      <c r="TMV12" s="2"/>
      <c r="TMW12" s="2"/>
      <c r="TMX12" s="2"/>
      <c r="TMY12" s="2"/>
      <c r="TMZ12" s="2"/>
      <c r="TNA12" s="2"/>
      <c r="TNB12" s="2"/>
      <c r="TNC12" s="2"/>
      <c r="TND12" s="2"/>
      <c r="TNE12" s="2"/>
      <c r="TNF12" s="2"/>
      <c r="TNG12" s="2"/>
      <c r="TNH12" s="2"/>
      <c r="TNI12" s="2"/>
      <c r="TNJ12" s="2"/>
      <c r="TNK12" s="2"/>
      <c r="TNL12" s="2"/>
      <c r="TNM12" s="2"/>
      <c r="TNN12" s="2"/>
      <c r="TNO12" s="2"/>
      <c r="TNP12" s="2"/>
      <c r="TNQ12" s="2"/>
      <c r="TNR12" s="2"/>
      <c r="TNS12" s="2"/>
      <c r="TNT12" s="2"/>
      <c r="TNU12" s="2"/>
      <c r="TNV12" s="2"/>
      <c r="TNW12" s="2"/>
      <c r="TNX12" s="2"/>
      <c r="TNY12" s="2"/>
      <c r="TNZ12" s="2"/>
      <c r="TOA12" s="2"/>
      <c r="TOB12" s="2"/>
      <c r="TOC12" s="2"/>
      <c r="TOD12" s="2"/>
      <c r="TOE12" s="2"/>
      <c r="TOF12" s="2"/>
      <c r="TOG12" s="2"/>
      <c r="TOH12" s="2"/>
      <c r="TOI12" s="2"/>
      <c r="TOJ12" s="2"/>
      <c r="TOK12" s="2"/>
      <c r="TOL12" s="2"/>
      <c r="TOM12" s="2"/>
      <c r="TON12" s="2"/>
      <c r="TOO12" s="2"/>
      <c r="TOP12" s="2"/>
      <c r="TOQ12" s="2"/>
      <c r="TOR12" s="2"/>
      <c r="TOS12" s="2"/>
      <c r="TOT12" s="2"/>
      <c r="TOU12" s="2"/>
      <c r="TOV12" s="2"/>
      <c r="TOW12" s="2"/>
      <c r="TOX12" s="2"/>
      <c r="TOY12" s="2"/>
      <c r="TOZ12" s="2"/>
      <c r="TPA12" s="2"/>
      <c r="TPB12" s="2"/>
      <c r="TPC12" s="2"/>
      <c r="TPD12" s="2"/>
      <c r="TPE12" s="2"/>
      <c r="TPF12" s="2"/>
      <c r="TPG12" s="2"/>
      <c r="TPH12" s="2"/>
      <c r="TPI12" s="2"/>
      <c r="TPJ12" s="2"/>
      <c r="TPK12" s="2"/>
      <c r="TPL12" s="2"/>
      <c r="TPM12" s="2"/>
      <c r="TPN12" s="2"/>
      <c r="TPO12" s="2"/>
      <c r="TPP12" s="2"/>
      <c r="TPQ12" s="2"/>
      <c r="TPR12" s="2"/>
      <c r="TPS12" s="2"/>
      <c r="TPT12" s="2"/>
      <c r="TPU12" s="2"/>
      <c r="TPV12" s="2"/>
      <c r="TPW12" s="2"/>
      <c r="TPX12" s="2"/>
      <c r="TPY12" s="2"/>
      <c r="TPZ12" s="2"/>
      <c r="TQA12" s="2"/>
      <c r="TQB12" s="2"/>
      <c r="TQC12" s="2"/>
      <c r="TQD12" s="2"/>
      <c r="TQE12" s="2"/>
      <c r="TQF12" s="2"/>
      <c r="TQG12" s="2"/>
      <c r="TQH12" s="2"/>
      <c r="TQI12" s="2"/>
      <c r="TQJ12" s="2"/>
      <c r="TQK12" s="2"/>
      <c r="TQL12" s="2"/>
      <c r="TQM12" s="2"/>
      <c r="TQN12" s="2"/>
      <c r="TQO12" s="2"/>
      <c r="TQP12" s="2"/>
      <c r="TQQ12" s="2"/>
      <c r="TQR12" s="2"/>
      <c r="TQS12" s="2"/>
      <c r="TQT12" s="2"/>
      <c r="TQU12" s="2"/>
      <c r="TQV12" s="2"/>
      <c r="TQW12" s="2"/>
      <c r="TQX12" s="2"/>
      <c r="TQY12" s="2"/>
      <c r="TQZ12" s="2"/>
      <c r="TRA12" s="2"/>
      <c r="TRB12" s="2"/>
      <c r="TRC12" s="2"/>
      <c r="TRD12" s="2"/>
      <c r="TRE12" s="2"/>
      <c r="TRF12" s="2"/>
      <c r="TRG12" s="2"/>
      <c r="TRH12" s="2"/>
      <c r="TRI12" s="2"/>
      <c r="TRJ12" s="2"/>
      <c r="TRK12" s="2"/>
      <c r="TRL12" s="2"/>
      <c r="TRM12" s="2"/>
      <c r="TRN12" s="2"/>
      <c r="TRO12" s="2"/>
      <c r="TRP12" s="2"/>
      <c r="TRQ12" s="2"/>
      <c r="TRR12" s="2"/>
      <c r="TRS12" s="2"/>
      <c r="TRT12" s="2"/>
      <c r="TRU12" s="2"/>
      <c r="TRV12" s="2"/>
      <c r="TRW12" s="2"/>
      <c r="TRX12" s="2"/>
      <c r="TRY12" s="2"/>
      <c r="TRZ12" s="2"/>
      <c r="TSA12" s="2"/>
      <c r="TSB12" s="2"/>
      <c r="TSC12" s="2"/>
      <c r="TSD12" s="2"/>
      <c r="TSE12" s="2"/>
      <c r="TSF12" s="2"/>
      <c r="TSG12" s="2"/>
      <c r="TSH12" s="2"/>
      <c r="TSI12" s="2"/>
      <c r="TSJ12" s="2"/>
      <c r="TSK12" s="2"/>
      <c r="TSL12" s="2"/>
      <c r="TSM12" s="2"/>
      <c r="TSN12" s="2"/>
      <c r="TSO12" s="2"/>
      <c r="TSP12" s="2"/>
      <c r="TSQ12" s="2"/>
      <c r="TSR12" s="2"/>
      <c r="TSS12" s="2"/>
      <c r="TST12" s="2"/>
      <c r="TSU12" s="2"/>
      <c r="TSV12" s="2"/>
      <c r="TSW12" s="2"/>
      <c r="TSX12" s="2"/>
      <c r="TSY12" s="2"/>
      <c r="TSZ12" s="2"/>
      <c r="TTA12" s="2"/>
      <c r="TTB12" s="2"/>
      <c r="TTC12" s="2"/>
      <c r="TTD12" s="2"/>
      <c r="TTE12" s="2"/>
      <c r="TTF12" s="2"/>
      <c r="TTG12" s="2"/>
      <c r="TTH12" s="2"/>
      <c r="TTI12" s="2"/>
      <c r="TTJ12" s="2"/>
      <c r="TTK12" s="2"/>
      <c r="TTL12" s="2"/>
      <c r="TTM12" s="2"/>
      <c r="TTN12" s="2"/>
      <c r="TTO12" s="2"/>
      <c r="TTP12" s="2"/>
      <c r="TTQ12" s="2"/>
      <c r="TTR12" s="2"/>
      <c r="TTS12" s="2"/>
      <c r="TTT12" s="2"/>
      <c r="TTU12" s="2"/>
      <c r="TTV12" s="2"/>
      <c r="TTW12" s="2"/>
      <c r="TTX12" s="2"/>
      <c r="TTY12" s="2"/>
      <c r="TTZ12" s="2"/>
      <c r="TUA12" s="2"/>
      <c r="TUB12" s="2"/>
      <c r="TUC12" s="2"/>
      <c r="TUD12" s="2"/>
      <c r="TUE12" s="2"/>
      <c r="TUF12" s="2"/>
      <c r="TUG12" s="2"/>
      <c r="TUH12" s="2"/>
      <c r="TUI12" s="2"/>
      <c r="TUJ12" s="2"/>
      <c r="TUK12" s="2"/>
      <c r="TUL12" s="2"/>
      <c r="TUM12" s="2"/>
      <c r="TUN12" s="2"/>
      <c r="TUO12" s="2"/>
      <c r="TUP12" s="2"/>
      <c r="TUQ12" s="2"/>
      <c r="TUR12" s="2"/>
      <c r="TUS12" s="2"/>
      <c r="TUT12" s="2"/>
      <c r="TUU12" s="2"/>
      <c r="TUV12" s="2"/>
      <c r="TUW12" s="2"/>
      <c r="TUX12" s="2"/>
      <c r="TUY12" s="2"/>
      <c r="TUZ12" s="2"/>
      <c r="TVA12" s="2"/>
      <c r="TVB12" s="2"/>
      <c r="TVC12" s="2"/>
      <c r="TVD12" s="2"/>
      <c r="TVE12" s="2"/>
      <c r="TVF12" s="2"/>
      <c r="TVG12" s="2"/>
      <c r="TVH12" s="2"/>
      <c r="TVI12" s="2"/>
      <c r="TVJ12" s="2"/>
      <c r="TVK12" s="2"/>
      <c r="TVL12" s="2"/>
      <c r="TVM12" s="2"/>
      <c r="TVN12" s="2"/>
      <c r="TVO12" s="2"/>
      <c r="TVP12" s="2"/>
      <c r="TVQ12" s="2"/>
      <c r="TVR12" s="2"/>
      <c r="TVS12" s="2"/>
      <c r="TVT12" s="2"/>
      <c r="TVU12" s="2"/>
      <c r="TVV12" s="2"/>
      <c r="TVW12" s="2"/>
      <c r="TVX12" s="2"/>
      <c r="TVY12" s="2"/>
      <c r="TVZ12" s="2"/>
      <c r="TWA12" s="2"/>
      <c r="TWB12" s="2"/>
      <c r="TWC12" s="2"/>
      <c r="TWD12" s="2"/>
      <c r="TWE12" s="2"/>
      <c r="TWF12" s="2"/>
      <c r="TWG12" s="2"/>
      <c r="TWH12" s="2"/>
      <c r="TWI12" s="2"/>
      <c r="TWJ12" s="2"/>
      <c r="TWK12" s="2"/>
      <c r="TWL12" s="2"/>
      <c r="TWM12" s="2"/>
      <c r="TWN12" s="2"/>
      <c r="TWO12" s="2"/>
      <c r="TWP12" s="2"/>
      <c r="TWQ12" s="2"/>
      <c r="TWR12" s="2"/>
      <c r="TWS12" s="2"/>
      <c r="TWT12" s="2"/>
      <c r="TWU12" s="2"/>
      <c r="TWV12" s="2"/>
      <c r="TWW12" s="2"/>
      <c r="TWX12" s="2"/>
      <c r="TWY12" s="2"/>
      <c r="TWZ12" s="2"/>
      <c r="TXA12" s="2"/>
      <c r="TXB12" s="2"/>
      <c r="TXC12" s="2"/>
      <c r="TXD12" s="2"/>
      <c r="TXE12" s="2"/>
      <c r="TXF12" s="2"/>
      <c r="TXG12" s="2"/>
      <c r="TXH12" s="2"/>
      <c r="TXI12" s="2"/>
      <c r="TXJ12" s="2"/>
      <c r="TXK12" s="2"/>
      <c r="TXL12" s="2"/>
      <c r="TXM12" s="2"/>
      <c r="TXN12" s="2"/>
      <c r="TXO12" s="2"/>
      <c r="TXP12" s="2"/>
      <c r="TXQ12" s="2"/>
      <c r="TXR12" s="2"/>
      <c r="TXS12" s="2"/>
      <c r="TXT12" s="2"/>
      <c r="TXU12" s="2"/>
      <c r="TXV12" s="2"/>
      <c r="TXW12" s="2"/>
      <c r="TXX12" s="2"/>
      <c r="TXY12" s="2"/>
      <c r="TXZ12" s="2"/>
      <c r="TYA12" s="2"/>
      <c r="TYB12" s="2"/>
      <c r="TYC12" s="2"/>
      <c r="TYD12" s="2"/>
      <c r="TYE12" s="2"/>
      <c r="TYF12" s="2"/>
      <c r="TYG12" s="2"/>
      <c r="TYH12" s="2"/>
      <c r="TYI12" s="2"/>
      <c r="TYJ12" s="2"/>
      <c r="TYK12" s="2"/>
      <c r="TYL12" s="2"/>
      <c r="TYM12" s="2"/>
      <c r="TYN12" s="2"/>
      <c r="TYO12" s="2"/>
      <c r="TYP12" s="2"/>
      <c r="TYQ12" s="2"/>
      <c r="TYR12" s="2"/>
      <c r="TYS12" s="2"/>
      <c r="TYT12" s="2"/>
      <c r="TYU12" s="2"/>
      <c r="TYV12" s="2"/>
      <c r="TYW12" s="2"/>
      <c r="TYX12" s="2"/>
      <c r="TYY12" s="2"/>
      <c r="TYZ12" s="2"/>
      <c r="TZA12" s="2"/>
      <c r="TZB12" s="2"/>
      <c r="TZC12" s="2"/>
      <c r="TZD12" s="2"/>
      <c r="TZE12" s="2"/>
      <c r="TZF12" s="2"/>
      <c r="TZG12" s="2"/>
      <c r="TZH12" s="2"/>
      <c r="TZI12" s="2"/>
      <c r="TZJ12" s="2"/>
      <c r="TZK12" s="2"/>
      <c r="TZL12" s="2"/>
      <c r="TZM12" s="2"/>
      <c r="TZN12" s="2"/>
      <c r="TZO12" s="2"/>
      <c r="TZP12" s="2"/>
      <c r="TZQ12" s="2"/>
      <c r="TZR12" s="2"/>
      <c r="TZS12" s="2"/>
      <c r="TZT12" s="2"/>
      <c r="TZU12" s="2"/>
      <c r="TZV12" s="2"/>
      <c r="TZW12" s="2"/>
      <c r="TZX12" s="2"/>
      <c r="TZY12" s="2"/>
      <c r="TZZ12" s="2"/>
      <c r="UAA12" s="2"/>
      <c r="UAB12" s="2"/>
      <c r="UAC12" s="2"/>
      <c r="UAD12" s="2"/>
      <c r="UAE12" s="2"/>
      <c r="UAF12" s="2"/>
      <c r="UAG12" s="2"/>
      <c r="UAH12" s="2"/>
      <c r="UAI12" s="2"/>
      <c r="UAJ12" s="2"/>
      <c r="UAK12" s="2"/>
      <c r="UAL12" s="2"/>
      <c r="UAM12" s="2"/>
      <c r="UAN12" s="2"/>
      <c r="UAO12" s="2"/>
      <c r="UAP12" s="2"/>
      <c r="UAQ12" s="2"/>
      <c r="UAR12" s="2"/>
      <c r="UAS12" s="2"/>
      <c r="UAT12" s="2"/>
      <c r="UAU12" s="2"/>
      <c r="UAV12" s="2"/>
      <c r="UAW12" s="2"/>
      <c r="UAX12" s="2"/>
      <c r="UAY12" s="2"/>
      <c r="UAZ12" s="2"/>
      <c r="UBA12" s="2"/>
      <c r="UBB12" s="2"/>
      <c r="UBC12" s="2"/>
      <c r="UBD12" s="2"/>
      <c r="UBE12" s="2"/>
      <c r="UBF12" s="2"/>
      <c r="UBG12" s="2"/>
      <c r="UBH12" s="2"/>
      <c r="UBI12" s="2"/>
      <c r="UBJ12" s="2"/>
      <c r="UBK12" s="2"/>
      <c r="UBL12" s="2"/>
      <c r="UBM12" s="2"/>
      <c r="UBN12" s="2"/>
      <c r="UBO12" s="2"/>
      <c r="UBP12" s="2"/>
      <c r="UBQ12" s="2"/>
      <c r="UBR12" s="2"/>
      <c r="UBS12" s="2"/>
      <c r="UBT12" s="2"/>
      <c r="UBU12" s="2"/>
      <c r="UBV12" s="2"/>
      <c r="UBW12" s="2"/>
      <c r="UBX12" s="2"/>
      <c r="UBY12" s="2"/>
      <c r="UBZ12" s="2"/>
      <c r="UCA12" s="2"/>
      <c r="UCB12" s="2"/>
      <c r="UCC12" s="2"/>
      <c r="UCD12" s="2"/>
      <c r="UCE12" s="2"/>
      <c r="UCF12" s="2"/>
      <c r="UCG12" s="2"/>
      <c r="UCH12" s="2"/>
      <c r="UCI12" s="2"/>
      <c r="UCJ12" s="2"/>
      <c r="UCK12" s="2"/>
      <c r="UCL12" s="2"/>
      <c r="UCM12" s="2"/>
      <c r="UCN12" s="2"/>
      <c r="UCO12" s="2"/>
      <c r="UCP12" s="2"/>
      <c r="UCQ12" s="2"/>
      <c r="UCR12" s="2"/>
      <c r="UCS12" s="2"/>
      <c r="UCT12" s="2"/>
      <c r="UCU12" s="2"/>
      <c r="UCV12" s="2"/>
      <c r="UCW12" s="2"/>
      <c r="UCX12" s="2"/>
      <c r="UCY12" s="2"/>
      <c r="UCZ12" s="2"/>
      <c r="UDA12" s="2"/>
      <c r="UDB12" s="2"/>
      <c r="UDC12" s="2"/>
      <c r="UDD12" s="2"/>
      <c r="UDE12" s="2"/>
      <c r="UDF12" s="2"/>
      <c r="UDG12" s="2"/>
      <c r="UDH12" s="2"/>
      <c r="UDI12" s="2"/>
      <c r="UDJ12" s="2"/>
      <c r="UDK12" s="2"/>
      <c r="UDL12" s="2"/>
      <c r="UDM12" s="2"/>
      <c r="UDN12" s="2"/>
      <c r="UDO12" s="2"/>
      <c r="UDP12" s="2"/>
      <c r="UDQ12" s="2"/>
      <c r="UDR12" s="2"/>
      <c r="UDS12" s="2"/>
      <c r="UDT12" s="2"/>
      <c r="UDU12" s="2"/>
      <c r="UDV12" s="2"/>
      <c r="UDW12" s="2"/>
      <c r="UDX12" s="2"/>
      <c r="UDY12" s="2"/>
      <c r="UDZ12" s="2"/>
      <c r="UEA12" s="2"/>
      <c r="UEB12" s="2"/>
      <c r="UEC12" s="2"/>
      <c r="UED12" s="2"/>
      <c r="UEE12" s="2"/>
      <c r="UEF12" s="2"/>
      <c r="UEG12" s="2"/>
      <c r="UEH12" s="2"/>
      <c r="UEI12" s="2"/>
      <c r="UEJ12" s="2"/>
      <c r="UEK12" s="2"/>
      <c r="UEL12" s="2"/>
      <c r="UEM12" s="2"/>
      <c r="UEN12" s="2"/>
      <c r="UEO12" s="2"/>
      <c r="UEP12" s="2"/>
      <c r="UEQ12" s="2"/>
      <c r="UER12" s="2"/>
      <c r="UES12" s="2"/>
      <c r="UET12" s="2"/>
      <c r="UEU12" s="2"/>
      <c r="UEV12" s="2"/>
      <c r="UEW12" s="2"/>
      <c r="UEX12" s="2"/>
      <c r="UEY12" s="2"/>
      <c r="UEZ12" s="2"/>
      <c r="UFA12" s="2"/>
      <c r="UFB12" s="2"/>
      <c r="UFC12" s="2"/>
      <c r="UFD12" s="2"/>
      <c r="UFE12" s="2"/>
      <c r="UFF12" s="2"/>
      <c r="UFG12" s="2"/>
      <c r="UFH12" s="2"/>
      <c r="UFI12" s="2"/>
      <c r="UFJ12" s="2"/>
      <c r="UFK12" s="2"/>
      <c r="UFL12" s="2"/>
      <c r="UFM12" s="2"/>
      <c r="UFN12" s="2"/>
      <c r="UFO12" s="2"/>
      <c r="UFP12" s="2"/>
      <c r="UFQ12" s="2"/>
      <c r="UFR12" s="2"/>
      <c r="UFS12" s="2"/>
      <c r="UFT12" s="2"/>
      <c r="UFU12" s="2"/>
      <c r="UFV12" s="2"/>
      <c r="UFW12" s="2"/>
      <c r="UFX12" s="2"/>
      <c r="UFY12" s="2"/>
      <c r="UFZ12" s="2"/>
      <c r="UGA12" s="2"/>
      <c r="UGB12" s="2"/>
      <c r="UGC12" s="2"/>
      <c r="UGD12" s="2"/>
      <c r="UGE12" s="2"/>
      <c r="UGF12" s="2"/>
      <c r="UGG12" s="2"/>
      <c r="UGH12" s="2"/>
      <c r="UGI12" s="2"/>
      <c r="UGJ12" s="2"/>
      <c r="UGK12" s="2"/>
      <c r="UGL12" s="2"/>
      <c r="UGM12" s="2"/>
      <c r="UGN12" s="2"/>
      <c r="UGO12" s="2"/>
      <c r="UGP12" s="2"/>
      <c r="UGQ12" s="2"/>
      <c r="UGR12" s="2"/>
      <c r="UGS12" s="2"/>
      <c r="UGT12" s="2"/>
      <c r="UGU12" s="2"/>
      <c r="UGV12" s="2"/>
      <c r="UGW12" s="2"/>
      <c r="UGX12" s="2"/>
      <c r="UGY12" s="2"/>
      <c r="UGZ12" s="2"/>
      <c r="UHA12" s="2"/>
      <c r="UHB12" s="2"/>
      <c r="UHC12" s="2"/>
      <c r="UHD12" s="2"/>
      <c r="UHE12" s="2"/>
      <c r="UHF12" s="2"/>
      <c r="UHG12" s="2"/>
      <c r="UHH12" s="2"/>
      <c r="UHI12" s="2"/>
      <c r="UHJ12" s="2"/>
      <c r="UHK12" s="2"/>
      <c r="UHL12" s="2"/>
      <c r="UHM12" s="2"/>
      <c r="UHN12" s="2"/>
      <c r="UHO12" s="2"/>
      <c r="UHP12" s="2"/>
      <c r="UHQ12" s="2"/>
      <c r="UHR12" s="2"/>
      <c r="UHS12" s="2"/>
      <c r="UHT12" s="2"/>
      <c r="UHU12" s="2"/>
      <c r="UHV12" s="2"/>
      <c r="UHW12" s="2"/>
      <c r="UHX12" s="2"/>
      <c r="UHY12" s="2"/>
      <c r="UHZ12" s="2"/>
      <c r="UIA12" s="2"/>
      <c r="UIB12" s="2"/>
      <c r="UIC12" s="2"/>
      <c r="UID12" s="2"/>
      <c r="UIE12" s="2"/>
      <c r="UIF12" s="2"/>
      <c r="UIG12" s="2"/>
      <c r="UIH12" s="2"/>
      <c r="UII12" s="2"/>
      <c r="UIJ12" s="2"/>
      <c r="UIK12" s="2"/>
      <c r="UIL12" s="2"/>
      <c r="UIM12" s="2"/>
      <c r="UIN12" s="2"/>
      <c r="UIO12" s="2"/>
      <c r="UIP12" s="2"/>
      <c r="UIQ12" s="2"/>
      <c r="UIR12" s="2"/>
      <c r="UIS12" s="2"/>
      <c r="UIT12" s="2"/>
      <c r="UIU12" s="2"/>
      <c r="UIV12" s="2"/>
      <c r="UIW12" s="2"/>
      <c r="UIX12" s="2"/>
      <c r="UIY12" s="2"/>
      <c r="UIZ12" s="2"/>
      <c r="UJA12" s="2"/>
      <c r="UJB12" s="2"/>
      <c r="UJC12" s="2"/>
      <c r="UJD12" s="2"/>
      <c r="UJE12" s="2"/>
      <c r="UJF12" s="2"/>
      <c r="UJG12" s="2"/>
      <c r="UJH12" s="2"/>
      <c r="UJI12" s="2"/>
      <c r="UJJ12" s="2"/>
      <c r="UJK12" s="2"/>
      <c r="UJL12" s="2"/>
      <c r="UJM12" s="2"/>
      <c r="UJN12" s="2"/>
      <c r="UJO12" s="2"/>
      <c r="UJP12" s="2"/>
      <c r="UJQ12" s="2"/>
      <c r="UJR12" s="2"/>
      <c r="UJS12" s="2"/>
      <c r="UJT12" s="2"/>
      <c r="UJU12" s="2"/>
      <c r="UJV12" s="2"/>
      <c r="UJW12" s="2"/>
      <c r="UJX12" s="2"/>
      <c r="UJY12" s="2"/>
      <c r="UJZ12" s="2"/>
      <c r="UKA12" s="2"/>
      <c r="UKB12" s="2"/>
      <c r="UKC12" s="2"/>
      <c r="UKD12" s="2"/>
      <c r="UKE12" s="2"/>
      <c r="UKF12" s="2"/>
      <c r="UKG12" s="2"/>
      <c r="UKH12" s="2"/>
      <c r="UKI12" s="2"/>
      <c r="UKJ12" s="2"/>
      <c r="UKK12" s="2"/>
      <c r="UKL12" s="2"/>
      <c r="UKM12" s="2"/>
      <c r="UKN12" s="2"/>
      <c r="UKO12" s="2"/>
      <c r="UKP12" s="2"/>
      <c r="UKQ12" s="2"/>
      <c r="UKR12" s="2"/>
      <c r="UKS12" s="2"/>
      <c r="UKT12" s="2"/>
      <c r="UKU12" s="2"/>
      <c r="UKV12" s="2"/>
      <c r="UKW12" s="2"/>
      <c r="UKX12" s="2"/>
      <c r="UKY12" s="2"/>
      <c r="UKZ12" s="2"/>
      <c r="ULA12" s="2"/>
      <c r="ULB12" s="2"/>
      <c r="ULC12" s="2"/>
      <c r="ULD12" s="2"/>
      <c r="ULE12" s="2"/>
      <c r="ULF12" s="2"/>
      <c r="ULG12" s="2"/>
      <c r="ULH12" s="2"/>
      <c r="ULI12" s="2"/>
      <c r="ULJ12" s="2"/>
      <c r="ULK12" s="2"/>
      <c r="ULL12" s="2"/>
      <c r="ULM12" s="2"/>
      <c r="ULN12" s="2"/>
      <c r="ULO12" s="2"/>
      <c r="ULP12" s="2"/>
      <c r="ULQ12" s="2"/>
      <c r="ULR12" s="2"/>
      <c r="ULS12" s="2"/>
      <c r="ULT12" s="2"/>
      <c r="ULU12" s="2"/>
      <c r="ULV12" s="2"/>
      <c r="ULW12" s="2"/>
      <c r="ULX12" s="2"/>
      <c r="ULY12" s="2"/>
      <c r="ULZ12" s="2"/>
      <c r="UMA12" s="2"/>
      <c r="UMB12" s="2"/>
      <c r="UMC12" s="2"/>
      <c r="UMD12" s="2"/>
      <c r="UME12" s="2"/>
      <c r="UMF12" s="2"/>
      <c r="UMG12" s="2"/>
      <c r="UMH12" s="2"/>
      <c r="UMI12" s="2"/>
      <c r="UMJ12" s="2"/>
      <c r="UMK12" s="2"/>
      <c r="UML12" s="2"/>
      <c r="UMM12" s="2"/>
      <c r="UMN12" s="2"/>
      <c r="UMO12" s="2"/>
      <c r="UMP12" s="2"/>
      <c r="UMQ12" s="2"/>
      <c r="UMR12" s="2"/>
      <c r="UMS12" s="2"/>
      <c r="UMT12" s="2"/>
      <c r="UMU12" s="2"/>
      <c r="UMV12" s="2"/>
      <c r="UMW12" s="2"/>
      <c r="UMX12" s="2"/>
      <c r="UMY12" s="2"/>
      <c r="UMZ12" s="2"/>
      <c r="UNA12" s="2"/>
      <c r="UNB12" s="2"/>
      <c r="UNC12" s="2"/>
      <c r="UND12" s="2"/>
      <c r="UNE12" s="2"/>
      <c r="UNF12" s="2"/>
      <c r="UNG12" s="2"/>
      <c r="UNH12" s="2"/>
      <c r="UNI12" s="2"/>
      <c r="UNJ12" s="2"/>
      <c r="UNK12" s="2"/>
      <c r="UNL12" s="2"/>
      <c r="UNM12" s="2"/>
      <c r="UNN12" s="2"/>
      <c r="UNO12" s="2"/>
      <c r="UNP12" s="2"/>
      <c r="UNQ12" s="2"/>
      <c r="UNR12" s="2"/>
      <c r="UNS12" s="2"/>
      <c r="UNT12" s="2"/>
      <c r="UNU12" s="2"/>
      <c r="UNV12" s="2"/>
      <c r="UNW12" s="2"/>
      <c r="UNX12" s="2"/>
      <c r="UNY12" s="2"/>
      <c r="UNZ12" s="2"/>
      <c r="UOA12" s="2"/>
      <c r="UOB12" s="2"/>
      <c r="UOC12" s="2"/>
      <c r="UOD12" s="2"/>
      <c r="UOE12" s="2"/>
      <c r="UOF12" s="2"/>
      <c r="UOG12" s="2"/>
      <c r="UOH12" s="2"/>
      <c r="UOI12" s="2"/>
      <c r="UOJ12" s="2"/>
      <c r="UOK12" s="2"/>
      <c r="UOL12" s="2"/>
      <c r="UOM12" s="2"/>
      <c r="UON12" s="2"/>
      <c r="UOO12" s="2"/>
      <c r="UOP12" s="2"/>
      <c r="UOQ12" s="2"/>
      <c r="UOR12" s="2"/>
      <c r="UOS12" s="2"/>
      <c r="UOT12" s="2"/>
      <c r="UOU12" s="2"/>
      <c r="UOV12" s="2"/>
      <c r="UOW12" s="2"/>
      <c r="UOX12" s="2"/>
      <c r="UOY12" s="2"/>
      <c r="UOZ12" s="2"/>
      <c r="UPA12" s="2"/>
      <c r="UPB12" s="2"/>
      <c r="UPC12" s="2"/>
      <c r="UPD12" s="2"/>
      <c r="UPE12" s="2"/>
      <c r="UPF12" s="2"/>
      <c r="UPG12" s="2"/>
      <c r="UPH12" s="2"/>
      <c r="UPI12" s="2"/>
      <c r="UPJ12" s="2"/>
      <c r="UPK12" s="2"/>
      <c r="UPL12" s="2"/>
      <c r="UPM12" s="2"/>
      <c r="UPN12" s="2"/>
      <c r="UPO12" s="2"/>
      <c r="UPP12" s="2"/>
      <c r="UPQ12" s="2"/>
      <c r="UPR12" s="2"/>
      <c r="UPS12" s="2"/>
      <c r="UPT12" s="2"/>
      <c r="UPU12" s="2"/>
      <c r="UPV12" s="2"/>
      <c r="UPW12" s="2"/>
      <c r="UPX12" s="2"/>
      <c r="UPY12" s="2"/>
      <c r="UPZ12" s="2"/>
      <c r="UQA12" s="2"/>
      <c r="UQB12" s="2"/>
      <c r="UQC12" s="2"/>
      <c r="UQD12" s="2"/>
      <c r="UQE12" s="2"/>
      <c r="UQF12" s="2"/>
      <c r="UQG12" s="2"/>
      <c r="UQH12" s="2"/>
      <c r="UQI12" s="2"/>
      <c r="UQJ12" s="2"/>
      <c r="UQK12" s="2"/>
      <c r="UQL12" s="2"/>
      <c r="UQM12" s="2"/>
      <c r="UQN12" s="2"/>
      <c r="UQO12" s="2"/>
      <c r="UQP12" s="2"/>
      <c r="UQQ12" s="2"/>
      <c r="UQR12" s="2"/>
      <c r="UQS12" s="2"/>
      <c r="UQT12" s="2"/>
      <c r="UQU12" s="2"/>
      <c r="UQV12" s="2"/>
      <c r="UQW12" s="2"/>
      <c r="UQX12" s="2"/>
      <c r="UQY12" s="2"/>
      <c r="UQZ12" s="2"/>
      <c r="URA12" s="2"/>
      <c r="URB12" s="2"/>
      <c r="URC12" s="2"/>
      <c r="URD12" s="2"/>
      <c r="URE12" s="2"/>
      <c r="URF12" s="2"/>
      <c r="URG12" s="2"/>
      <c r="URH12" s="2"/>
      <c r="URI12" s="2"/>
      <c r="URJ12" s="2"/>
      <c r="URK12" s="2"/>
      <c r="URL12" s="2"/>
      <c r="URM12" s="2"/>
      <c r="URN12" s="2"/>
      <c r="URO12" s="2"/>
      <c r="URP12" s="2"/>
      <c r="URQ12" s="2"/>
      <c r="URR12" s="2"/>
      <c r="URS12" s="2"/>
      <c r="URT12" s="2"/>
      <c r="URU12" s="2"/>
      <c r="URV12" s="2"/>
      <c r="URW12" s="2"/>
      <c r="URX12" s="2"/>
      <c r="URY12" s="2"/>
      <c r="URZ12" s="2"/>
      <c r="USA12" s="2"/>
      <c r="USB12" s="2"/>
      <c r="USC12" s="2"/>
      <c r="USD12" s="2"/>
      <c r="USE12" s="2"/>
      <c r="USF12" s="2"/>
      <c r="USG12" s="2"/>
      <c r="USH12" s="2"/>
      <c r="USI12" s="2"/>
      <c r="USJ12" s="2"/>
      <c r="USK12" s="2"/>
      <c r="USL12" s="2"/>
      <c r="USM12" s="2"/>
      <c r="USN12" s="2"/>
      <c r="USO12" s="2"/>
      <c r="USP12" s="2"/>
      <c r="USQ12" s="2"/>
      <c r="USR12" s="2"/>
      <c r="USS12" s="2"/>
      <c r="UST12" s="2"/>
      <c r="USU12" s="2"/>
      <c r="USV12" s="2"/>
      <c r="USW12" s="2"/>
      <c r="USX12" s="2"/>
      <c r="USY12" s="2"/>
      <c r="USZ12" s="2"/>
      <c r="UTA12" s="2"/>
      <c r="UTB12" s="2"/>
      <c r="UTC12" s="2"/>
      <c r="UTD12" s="2"/>
      <c r="UTE12" s="2"/>
      <c r="UTF12" s="2"/>
      <c r="UTG12" s="2"/>
      <c r="UTH12" s="2"/>
      <c r="UTI12" s="2"/>
      <c r="UTJ12" s="2"/>
      <c r="UTK12" s="2"/>
      <c r="UTL12" s="2"/>
      <c r="UTM12" s="2"/>
      <c r="UTN12" s="2"/>
      <c r="UTO12" s="2"/>
      <c r="UTP12" s="2"/>
      <c r="UTQ12" s="2"/>
      <c r="UTR12" s="2"/>
      <c r="UTS12" s="2"/>
      <c r="UTT12" s="2"/>
      <c r="UTU12" s="2"/>
      <c r="UTV12" s="2"/>
      <c r="UTW12" s="2"/>
      <c r="UTX12" s="2"/>
      <c r="UTY12" s="2"/>
      <c r="UTZ12" s="2"/>
      <c r="UUA12" s="2"/>
      <c r="UUB12" s="2"/>
      <c r="UUC12" s="2"/>
      <c r="UUD12" s="2"/>
      <c r="UUE12" s="2"/>
      <c r="UUF12" s="2"/>
      <c r="UUG12" s="2"/>
      <c r="UUH12" s="2"/>
      <c r="UUI12" s="2"/>
      <c r="UUJ12" s="2"/>
      <c r="UUK12" s="2"/>
      <c r="UUL12" s="2"/>
      <c r="UUM12" s="2"/>
      <c r="UUN12" s="2"/>
      <c r="UUO12" s="2"/>
      <c r="UUP12" s="2"/>
      <c r="UUQ12" s="2"/>
      <c r="UUR12" s="2"/>
      <c r="UUS12" s="2"/>
      <c r="UUT12" s="2"/>
      <c r="UUU12" s="2"/>
      <c r="UUV12" s="2"/>
      <c r="UUW12" s="2"/>
      <c r="UUX12" s="2"/>
      <c r="UUY12" s="2"/>
      <c r="UUZ12" s="2"/>
      <c r="UVA12" s="2"/>
      <c r="UVB12" s="2"/>
      <c r="UVC12" s="2"/>
      <c r="UVD12" s="2"/>
      <c r="UVE12" s="2"/>
      <c r="UVF12" s="2"/>
      <c r="UVG12" s="2"/>
      <c r="UVH12" s="2"/>
      <c r="UVI12" s="2"/>
      <c r="UVJ12" s="2"/>
      <c r="UVK12" s="2"/>
      <c r="UVL12" s="2"/>
      <c r="UVM12" s="2"/>
      <c r="UVN12" s="2"/>
      <c r="UVO12" s="2"/>
      <c r="UVP12" s="2"/>
      <c r="UVQ12" s="2"/>
      <c r="UVR12" s="2"/>
      <c r="UVS12" s="2"/>
      <c r="UVT12" s="2"/>
      <c r="UVU12" s="2"/>
      <c r="UVV12" s="2"/>
      <c r="UVW12" s="2"/>
      <c r="UVX12" s="2"/>
      <c r="UVY12" s="2"/>
      <c r="UVZ12" s="2"/>
      <c r="UWA12" s="2"/>
      <c r="UWB12" s="2"/>
      <c r="UWC12" s="2"/>
      <c r="UWD12" s="2"/>
      <c r="UWE12" s="2"/>
      <c r="UWF12" s="2"/>
      <c r="UWG12" s="2"/>
      <c r="UWH12" s="2"/>
      <c r="UWI12" s="2"/>
      <c r="UWJ12" s="2"/>
      <c r="UWK12" s="2"/>
      <c r="UWL12" s="2"/>
      <c r="UWM12" s="2"/>
      <c r="UWN12" s="2"/>
      <c r="UWO12" s="2"/>
      <c r="UWP12" s="2"/>
      <c r="UWQ12" s="2"/>
      <c r="UWR12" s="2"/>
      <c r="UWS12" s="2"/>
      <c r="UWT12" s="2"/>
      <c r="UWU12" s="2"/>
      <c r="UWV12" s="2"/>
      <c r="UWW12" s="2"/>
      <c r="UWX12" s="2"/>
      <c r="UWY12" s="2"/>
      <c r="UWZ12" s="2"/>
      <c r="UXA12" s="2"/>
      <c r="UXB12" s="2"/>
      <c r="UXC12" s="2"/>
      <c r="UXD12" s="2"/>
      <c r="UXE12" s="2"/>
      <c r="UXF12" s="2"/>
      <c r="UXG12" s="2"/>
      <c r="UXH12" s="2"/>
      <c r="UXI12" s="2"/>
      <c r="UXJ12" s="2"/>
      <c r="UXK12" s="2"/>
      <c r="UXL12" s="2"/>
      <c r="UXM12" s="2"/>
      <c r="UXN12" s="2"/>
      <c r="UXO12" s="2"/>
      <c r="UXP12" s="2"/>
      <c r="UXQ12" s="2"/>
      <c r="UXR12" s="2"/>
      <c r="UXS12" s="2"/>
      <c r="UXT12" s="2"/>
      <c r="UXU12" s="2"/>
      <c r="UXV12" s="2"/>
      <c r="UXW12" s="2"/>
      <c r="UXX12" s="2"/>
      <c r="UXY12" s="2"/>
      <c r="UXZ12" s="2"/>
      <c r="UYA12" s="2"/>
      <c r="UYB12" s="2"/>
      <c r="UYC12" s="2"/>
      <c r="UYD12" s="2"/>
      <c r="UYE12" s="2"/>
      <c r="UYF12" s="2"/>
      <c r="UYG12" s="2"/>
      <c r="UYH12" s="2"/>
      <c r="UYI12" s="2"/>
      <c r="UYJ12" s="2"/>
      <c r="UYK12" s="2"/>
      <c r="UYL12" s="2"/>
      <c r="UYM12" s="2"/>
      <c r="UYN12" s="2"/>
      <c r="UYO12" s="2"/>
      <c r="UYP12" s="2"/>
      <c r="UYQ12" s="2"/>
      <c r="UYR12" s="2"/>
      <c r="UYS12" s="2"/>
      <c r="UYT12" s="2"/>
      <c r="UYU12" s="2"/>
      <c r="UYV12" s="2"/>
      <c r="UYW12" s="2"/>
      <c r="UYX12" s="2"/>
      <c r="UYY12" s="2"/>
      <c r="UYZ12" s="2"/>
      <c r="UZA12" s="2"/>
      <c r="UZB12" s="2"/>
      <c r="UZC12" s="2"/>
      <c r="UZD12" s="2"/>
      <c r="UZE12" s="2"/>
      <c r="UZF12" s="2"/>
      <c r="UZG12" s="2"/>
      <c r="UZH12" s="2"/>
      <c r="UZI12" s="2"/>
      <c r="UZJ12" s="2"/>
      <c r="UZK12" s="2"/>
      <c r="UZL12" s="2"/>
      <c r="UZM12" s="2"/>
      <c r="UZN12" s="2"/>
      <c r="UZO12" s="2"/>
      <c r="UZP12" s="2"/>
      <c r="UZQ12" s="2"/>
      <c r="UZR12" s="2"/>
      <c r="UZS12" s="2"/>
      <c r="UZT12" s="2"/>
      <c r="UZU12" s="2"/>
      <c r="UZV12" s="2"/>
      <c r="UZW12" s="2"/>
      <c r="UZX12" s="2"/>
      <c r="UZY12" s="2"/>
      <c r="UZZ12" s="2"/>
      <c r="VAA12" s="2"/>
      <c r="VAB12" s="2"/>
      <c r="VAC12" s="2"/>
      <c r="VAD12" s="2"/>
      <c r="VAE12" s="2"/>
      <c r="VAF12" s="2"/>
      <c r="VAG12" s="2"/>
      <c r="VAH12" s="2"/>
      <c r="VAI12" s="2"/>
      <c r="VAJ12" s="2"/>
      <c r="VAK12" s="2"/>
      <c r="VAL12" s="2"/>
      <c r="VAM12" s="2"/>
      <c r="VAN12" s="2"/>
      <c r="VAO12" s="2"/>
      <c r="VAP12" s="2"/>
      <c r="VAQ12" s="2"/>
      <c r="VAR12" s="2"/>
      <c r="VAS12" s="2"/>
      <c r="VAT12" s="2"/>
      <c r="VAU12" s="2"/>
      <c r="VAV12" s="2"/>
      <c r="VAW12" s="2"/>
      <c r="VAX12" s="2"/>
      <c r="VAY12" s="2"/>
      <c r="VAZ12" s="2"/>
      <c r="VBA12" s="2"/>
      <c r="VBB12" s="2"/>
      <c r="VBC12" s="2"/>
      <c r="VBD12" s="2"/>
      <c r="VBE12" s="2"/>
      <c r="VBF12" s="2"/>
      <c r="VBG12" s="2"/>
      <c r="VBH12" s="2"/>
      <c r="VBI12" s="2"/>
      <c r="VBJ12" s="2"/>
      <c r="VBK12" s="2"/>
      <c r="VBL12" s="2"/>
      <c r="VBM12" s="2"/>
      <c r="VBN12" s="2"/>
      <c r="VBO12" s="2"/>
      <c r="VBP12" s="2"/>
      <c r="VBQ12" s="2"/>
      <c r="VBR12" s="2"/>
      <c r="VBS12" s="2"/>
      <c r="VBT12" s="2"/>
      <c r="VBU12" s="2"/>
      <c r="VBV12" s="2"/>
      <c r="VBW12" s="2"/>
      <c r="VBX12" s="2"/>
      <c r="VBY12" s="2"/>
      <c r="VBZ12" s="2"/>
      <c r="VCA12" s="2"/>
      <c r="VCB12" s="2"/>
      <c r="VCC12" s="2"/>
      <c r="VCD12" s="2"/>
      <c r="VCE12" s="2"/>
      <c r="VCF12" s="2"/>
      <c r="VCG12" s="2"/>
      <c r="VCH12" s="2"/>
      <c r="VCI12" s="2"/>
      <c r="VCJ12" s="2"/>
      <c r="VCK12" s="2"/>
      <c r="VCL12" s="2"/>
      <c r="VCM12" s="2"/>
      <c r="VCN12" s="2"/>
      <c r="VCO12" s="2"/>
      <c r="VCP12" s="2"/>
      <c r="VCQ12" s="2"/>
      <c r="VCR12" s="2"/>
      <c r="VCS12" s="2"/>
      <c r="VCT12" s="2"/>
      <c r="VCU12" s="2"/>
      <c r="VCV12" s="2"/>
      <c r="VCW12" s="2"/>
      <c r="VCX12" s="2"/>
      <c r="VCY12" s="2"/>
      <c r="VCZ12" s="2"/>
      <c r="VDA12" s="2"/>
      <c r="VDB12" s="2"/>
      <c r="VDC12" s="2"/>
      <c r="VDD12" s="2"/>
      <c r="VDE12" s="2"/>
      <c r="VDF12" s="2"/>
      <c r="VDG12" s="2"/>
      <c r="VDH12" s="2"/>
      <c r="VDI12" s="2"/>
      <c r="VDJ12" s="2"/>
      <c r="VDK12" s="2"/>
      <c r="VDL12" s="2"/>
      <c r="VDM12" s="2"/>
      <c r="VDN12" s="2"/>
      <c r="VDO12" s="2"/>
      <c r="VDP12" s="2"/>
      <c r="VDQ12" s="2"/>
      <c r="VDR12" s="2"/>
      <c r="VDS12" s="2"/>
      <c r="VDT12" s="2"/>
      <c r="VDU12" s="2"/>
      <c r="VDV12" s="2"/>
      <c r="VDW12" s="2"/>
      <c r="VDX12" s="2"/>
      <c r="VDY12" s="2"/>
      <c r="VDZ12" s="2"/>
      <c r="VEA12" s="2"/>
      <c r="VEB12" s="2"/>
      <c r="VEC12" s="2"/>
      <c r="VED12" s="2"/>
      <c r="VEE12" s="2"/>
      <c r="VEF12" s="2"/>
      <c r="VEG12" s="2"/>
      <c r="VEH12" s="2"/>
      <c r="VEI12" s="2"/>
      <c r="VEJ12" s="2"/>
      <c r="VEK12" s="2"/>
      <c r="VEL12" s="2"/>
      <c r="VEM12" s="2"/>
      <c r="VEN12" s="2"/>
      <c r="VEO12" s="2"/>
      <c r="VEP12" s="2"/>
      <c r="VEQ12" s="2"/>
      <c r="VER12" s="2"/>
      <c r="VES12" s="2"/>
      <c r="VET12" s="2"/>
      <c r="VEU12" s="2"/>
      <c r="VEV12" s="2"/>
      <c r="VEW12" s="2"/>
      <c r="VEX12" s="2"/>
      <c r="VEY12" s="2"/>
      <c r="VEZ12" s="2"/>
      <c r="VFA12" s="2"/>
      <c r="VFB12" s="2"/>
      <c r="VFC12" s="2"/>
      <c r="VFD12" s="2"/>
      <c r="VFE12" s="2"/>
      <c r="VFF12" s="2"/>
      <c r="VFG12" s="2"/>
      <c r="VFH12" s="2"/>
      <c r="VFI12" s="2"/>
      <c r="VFJ12" s="2"/>
      <c r="VFK12" s="2"/>
      <c r="VFL12" s="2"/>
      <c r="VFM12" s="2"/>
      <c r="VFN12" s="2"/>
      <c r="VFO12" s="2"/>
      <c r="VFP12" s="2"/>
      <c r="VFQ12" s="2"/>
      <c r="VFR12" s="2"/>
      <c r="VFS12" s="2"/>
      <c r="VFT12" s="2"/>
      <c r="VFU12" s="2"/>
      <c r="VFV12" s="2"/>
      <c r="VFW12" s="2"/>
      <c r="VFX12" s="2"/>
      <c r="VFY12" s="2"/>
      <c r="VFZ12" s="2"/>
      <c r="VGA12" s="2"/>
      <c r="VGB12" s="2"/>
      <c r="VGC12" s="2"/>
      <c r="VGD12" s="2"/>
      <c r="VGE12" s="2"/>
      <c r="VGF12" s="2"/>
      <c r="VGG12" s="2"/>
      <c r="VGH12" s="2"/>
      <c r="VGI12" s="2"/>
      <c r="VGJ12" s="2"/>
      <c r="VGK12" s="2"/>
      <c r="VGL12" s="2"/>
      <c r="VGM12" s="2"/>
      <c r="VGN12" s="2"/>
      <c r="VGO12" s="2"/>
      <c r="VGP12" s="2"/>
      <c r="VGQ12" s="2"/>
      <c r="VGR12" s="2"/>
      <c r="VGS12" s="2"/>
      <c r="VGT12" s="2"/>
      <c r="VGU12" s="2"/>
      <c r="VGV12" s="2"/>
      <c r="VGW12" s="2"/>
      <c r="VGX12" s="2"/>
      <c r="VGY12" s="2"/>
      <c r="VGZ12" s="2"/>
      <c r="VHA12" s="2"/>
      <c r="VHB12" s="2"/>
      <c r="VHC12" s="2"/>
      <c r="VHD12" s="2"/>
      <c r="VHE12" s="2"/>
      <c r="VHF12" s="2"/>
      <c r="VHG12" s="2"/>
      <c r="VHH12" s="2"/>
      <c r="VHI12" s="2"/>
      <c r="VHJ12" s="2"/>
      <c r="VHK12" s="2"/>
      <c r="VHL12" s="2"/>
      <c r="VHM12" s="2"/>
      <c r="VHN12" s="2"/>
      <c r="VHO12" s="2"/>
      <c r="VHP12" s="2"/>
      <c r="VHQ12" s="2"/>
      <c r="VHR12" s="2"/>
      <c r="VHS12" s="2"/>
      <c r="VHT12" s="2"/>
      <c r="VHU12" s="2"/>
      <c r="VHV12" s="2"/>
      <c r="VHW12" s="2"/>
      <c r="VHX12" s="2"/>
      <c r="VHY12" s="2"/>
      <c r="VHZ12" s="2"/>
      <c r="VIA12" s="2"/>
      <c r="VIB12" s="2"/>
      <c r="VIC12" s="2"/>
      <c r="VID12" s="2"/>
      <c r="VIE12" s="2"/>
      <c r="VIF12" s="2"/>
      <c r="VIG12" s="2"/>
      <c r="VIH12" s="2"/>
      <c r="VII12" s="2"/>
      <c r="VIJ12" s="2"/>
      <c r="VIK12" s="2"/>
      <c r="VIL12" s="2"/>
      <c r="VIM12" s="2"/>
      <c r="VIN12" s="2"/>
      <c r="VIO12" s="2"/>
      <c r="VIP12" s="2"/>
      <c r="VIQ12" s="2"/>
      <c r="VIR12" s="2"/>
      <c r="VIS12" s="2"/>
      <c r="VIT12" s="2"/>
      <c r="VIU12" s="2"/>
      <c r="VIV12" s="2"/>
      <c r="VIW12" s="2"/>
      <c r="VIX12" s="2"/>
      <c r="VIY12" s="2"/>
      <c r="VIZ12" s="2"/>
      <c r="VJA12" s="2"/>
      <c r="VJB12" s="2"/>
      <c r="VJC12" s="2"/>
      <c r="VJD12" s="2"/>
      <c r="VJE12" s="2"/>
      <c r="VJF12" s="2"/>
      <c r="VJG12" s="2"/>
      <c r="VJH12" s="2"/>
      <c r="VJI12" s="2"/>
      <c r="VJJ12" s="2"/>
      <c r="VJK12" s="2"/>
      <c r="VJL12" s="2"/>
      <c r="VJM12" s="2"/>
      <c r="VJN12" s="2"/>
      <c r="VJO12" s="2"/>
      <c r="VJP12" s="2"/>
      <c r="VJQ12" s="2"/>
      <c r="VJR12" s="2"/>
      <c r="VJS12" s="2"/>
      <c r="VJT12" s="2"/>
      <c r="VJU12" s="2"/>
      <c r="VJV12" s="2"/>
      <c r="VJW12" s="2"/>
      <c r="VJX12" s="2"/>
      <c r="VJY12" s="2"/>
      <c r="VJZ12" s="2"/>
      <c r="VKA12" s="2"/>
      <c r="VKB12" s="2"/>
      <c r="VKC12" s="2"/>
      <c r="VKD12" s="2"/>
      <c r="VKE12" s="2"/>
      <c r="VKF12" s="2"/>
      <c r="VKG12" s="2"/>
      <c r="VKH12" s="2"/>
      <c r="VKI12" s="2"/>
      <c r="VKJ12" s="2"/>
      <c r="VKK12" s="2"/>
      <c r="VKL12" s="2"/>
      <c r="VKM12" s="2"/>
      <c r="VKN12" s="2"/>
      <c r="VKO12" s="2"/>
      <c r="VKP12" s="2"/>
      <c r="VKQ12" s="2"/>
      <c r="VKR12" s="2"/>
      <c r="VKS12" s="2"/>
      <c r="VKT12" s="2"/>
      <c r="VKU12" s="2"/>
      <c r="VKV12" s="2"/>
      <c r="VKW12" s="2"/>
      <c r="VKX12" s="2"/>
      <c r="VKY12" s="2"/>
      <c r="VKZ12" s="2"/>
      <c r="VLA12" s="2"/>
      <c r="VLB12" s="2"/>
      <c r="VLC12" s="2"/>
      <c r="VLD12" s="2"/>
      <c r="VLE12" s="2"/>
      <c r="VLF12" s="2"/>
      <c r="VLG12" s="2"/>
      <c r="VLH12" s="2"/>
      <c r="VLI12" s="2"/>
      <c r="VLJ12" s="2"/>
      <c r="VLK12" s="2"/>
      <c r="VLL12" s="2"/>
      <c r="VLM12" s="2"/>
      <c r="VLN12" s="2"/>
      <c r="VLO12" s="2"/>
      <c r="VLP12" s="2"/>
      <c r="VLQ12" s="2"/>
      <c r="VLR12" s="2"/>
      <c r="VLS12" s="2"/>
      <c r="VLT12" s="2"/>
      <c r="VLU12" s="2"/>
      <c r="VLV12" s="2"/>
      <c r="VLW12" s="2"/>
      <c r="VLX12" s="2"/>
      <c r="VLY12" s="2"/>
      <c r="VLZ12" s="2"/>
      <c r="VMA12" s="2"/>
      <c r="VMB12" s="2"/>
      <c r="VMC12" s="2"/>
      <c r="VMD12" s="2"/>
      <c r="VME12" s="2"/>
      <c r="VMF12" s="2"/>
      <c r="VMG12" s="2"/>
      <c r="VMH12" s="2"/>
      <c r="VMI12" s="2"/>
      <c r="VMJ12" s="2"/>
      <c r="VMK12" s="2"/>
      <c r="VML12" s="2"/>
      <c r="VMM12" s="2"/>
      <c r="VMN12" s="2"/>
      <c r="VMO12" s="2"/>
      <c r="VMP12" s="2"/>
      <c r="VMQ12" s="2"/>
      <c r="VMR12" s="2"/>
      <c r="VMS12" s="2"/>
      <c r="VMT12" s="2"/>
      <c r="VMU12" s="2"/>
      <c r="VMV12" s="2"/>
      <c r="VMW12" s="2"/>
      <c r="VMX12" s="2"/>
      <c r="VMY12" s="2"/>
      <c r="VMZ12" s="2"/>
      <c r="VNA12" s="2"/>
      <c r="VNB12" s="2"/>
      <c r="VNC12" s="2"/>
      <c r="VND12" s="2"/>
      <c r="VNE12" s="2"/>
      <c r="VNF12" s="2"/>
      <c r="VNG12" s="2"/>
      <c r="VNH12" s="2"/>
      <c r="VNI12" s="2"/>
      <c r="VNJ12" s="2"/>
      <c r="VNK12" s="2"/>
      <c r="VNL12" s="2"/>
      <c r="VNM12" s="2"/>
      <c r="VNN12" s="2"/>
      <c r="VNO12" s="2"/>
      <c r="VNP12" s="2"/>
      <c r="VNQ12" s="2"/>
      <c r="VNR12" s="2"/>
      <c r="VNS12" s="2"/>
      <c r="VNT12" s="2"/>
      <c r="VNU12" s="2"/>
      <c r="VNV12" s="2"/>
      <c r="VNW12" s="2"/>
      <c r="VNX12" s="2"/>
      <c r="VNY12" s="2"/>
      <c r="VNZ12" s="2"/>
      <c r="VOA12" s="2"/>
      <c r="VOB12" s="2"/>
      <c r="VOC12" s="2"/>
      <c r="VOD12" s="2"/>
      <c r="VOE12" s="2"/>
      <c r="VOF12" s="2"/>
      <c r="VOG12" s="2"/>
      <c r="VOH12" s="2"/>
      <c r="VOI12" s="2"/>
      <c r="VOJ12" s="2"/>
      <c r="VOK12" s="2"/>
      <c r="VOL12" s="2"/>
      <c r="VOM12" s="2"/>
      <c r="VON12" s="2"/>
      <c r="VOO12" s="2"/>
      <c r="VOP12" s="2"/>
      <c r="VOQ12" s="2"/>
      <c r="VOR12" s="2"/>
      <c r="VOS12" s="2"/>
      <c r="VOT12" s="2"/>
      <c r="VOU12" s="2"/>
      <c r="VOV12" s="2"/>
      <c r="VOW12" s="2"/>
      <c r="VOX12" s="2"/>
      <c r="VOY12" s="2"/>
      <c r="VOZ12" s="2"/>
      <c r="VPA12" s="2"/>
      <c r="VPB12" s="2"/>
      <c r="VPC12" s="2"/>
      <c r="VPD12" s="2"/>
      <c r="VPE12" s="2"/>
      <c r="VPF12" s="2"/>
      <c r="VPG12" s="2"/>
      <c r="VPH12" s="2"/>
      <c r="VPI12" s="2"/>
      <c r="VPJ12" s="2"/>
      <c r="VPK12" s="2"/>
      <c r="VPL12" s="2"/>
      <c r="VPM12" s="2"/>
      <c r="VPN12" s="2"/>
      <c r="VPO12" s="2"/>
      <c r="VPP12" s="2"/>
      <c r="VPQ12" s="2"/>
      <c r="VPR12" s="2"/>
      <c r="VPS12" s="2"/>
      <c r="VPT12" s="2"/>
      <c r="VPU12" s="2"/>
      <c r="VPV12" s="2"/>
      <c r="VPW12" s="2"/>
      <c r="VPX12" s="2"/>
      <c r="VPY12" s="2"/>
      <c r="VPZ12" s="2"/>
      <c r="VQA12" s="2"/>
      <c r="VQB12" s="2"/>
      <c r="VQC12" s="2"/>
      <c r="VQD12" s="2"/>
      <c r="VQE12" s="2"/>
      <c r="VQF12" s="2"/>
      <c r="VQG12" s="2"/>
      <c r="VQH12" s="2"/>
      <c r="VQI12" s="2"/>
      <c r="VQJ12" s="2"/>
      <c r="VQK12" s="2"/>
      <c r="VQL12" s="2"/>
      <c r="VQM12" s="2"/>
      <c r="VQN12" s="2"/>
      <c r="VQO12" s="2"/>
      <c r="VQP12" s="2"/>
      <c r="VQQ12" s="2"/>
      <c r="VQR12" s="2"/>
      <c r="VQS12" s="2"/>
      <c r="VQT12" s="2"/>
      <c r="VQU12" s="2"/>
      <c r="VQV12" s="2"/>
      <c r="VQW12" s="2"/>
      <c r="VQX12" s="2"/>
      <c r="VQY12" s="2"/>
      <c r="VQZ12" s="2"/>
      <c r="VRA12" s="2"/>
      <c r="VRB12" s="2"/>
      <c r="VRC12" s="2"/>
      <c r="VRD12" s="2"/>
      <c r="VRE12" s="2"/>
      <c r="VRF12" s="2"/>
      <c r="VRG12" s="2"/>
      <c r="VRH12" s="2"/>
      <c r="VRI12" s="2"/>
      <c r="VRJ12" s="2"/>
      <c r="VRK12" s="2"/>
      <c r="VRL12" s="2"/>
      <c r="VRM12" s="2"/>
      <c r="VRN12" s="2"/>
      <c r="VRO12" s="2"/>
      <c r="VRP12" s="2"/>
      <c r="VRQ12" s="2"/>
      <c r="VRR12" s="2"/>
      <c r="VRS12" s="2"/>
      <c r="VRT12" s="2"/>
      <c r="VRU12" s="2"/>
      <c r="VRV12" s="2"/>
      <c r="VRW12" s="2"/>
      <c r="VRX12" s="2"/>
      <c r="VRY12" s="2"/>
      <c r="VRZ12" s="2"/>
      <c r="VSA12" s="2"/>
      <c r="VSB12" s="2"/>
      <c r="VSC12" s="2"/>
      <c r="VSD12" s="2"/>
      <c r="VSE12" s="2"/>
      <c r="VSF12" s="2"/>
      <c r="VSG12" s="2"/>
      <c r="VSH12" s="2"/>
      <c r="VSI12" s="2"/>
      <c r="VSJ12" s="2"/>
      <c r="VSK12" s="2"/>
      <c r="VSL12" s="2"/>
      <c r="VSM12" s="2"/>
      <c r="VSN12" s="2"/>
      <c r="VSO12" s="2"/>
      <c r="VSP12" s="2"/>
      <c r="VSQ12" s="2"/>
      <c r="VSR12" s="2"/>
      <c r="VSS12" s="2"/>
      <c r="VST12" s="2"/>
      <c r="VSU12" s="2"/>
      <c r="VSV12" s="2"/>
      <c r="VSW12" s="2"/>
      <c r="VSX12" s="2"/>
      <c r="VSY12" s="2"/>
      <c r="VSZ12" s="2"/>
      <c r="VTA12" s="2"/>
      <c r="VTB12" s="2"/>
      <c r="VTC12" s="2"/>
      <c r="VTD12" s="2"/>
      <c r="VTE12" s="2"/>
      <c r="VTF12" s="2"/>
      <c r="VTG12" s="2"/>
      <c r="VTH12" s="2"/>
      <c r="VTI12" s="2"/>
      <c r="VTJ12" s="2"/>
      <c r="VTK12" s="2"/>
      <c r="VTL12" s="2"/>
      <c r="VTM12" s="2"/>
      <c r="VTN12" s="2"/>
      <c r="VTO12" s="2"/>
      <c r="VTP12" s="2"/>
      <c r="VTQ12" s="2"/>
      <c r="VTR12" s="2"/>
      <c r="VTS12" s="2"/>
      <c r="VTT12" s="2"/>
      <c r="VTU12" s="2"/>
      <c r="VTV12" s="2"/>
      <c r="VTW12" s="2"/>
      <c r="VTX12" s="2"/>
      <c r="VTY12" s="2"/>
      <c r="VTZ12" s="2"/>
      <c r="VUA12" s="2"/>
      <c r="VUB12" s="2"/>
      <c r="VUC12" s="2"/>
      <c r="VUD12" s="2"/>
      <c r="VUE12" s="2"/>
      <c r="VUF12" s="2"/>
      <c r="VUG12" s="2"/>
      <c r="VUH12" s="2"/>
      <c r="VUI12" s="2"/>
      <c r="VUJ12" s="2"/>
      <c r="VUK12" s="2"/>
      <c r="VUL12" s="2"/>
      <c r="VUM12" s="2"/>
      <c r="VUN12" s="2"/>
      <c r="VUO12" s="2"/>
      <c r="VUP12" s="2"/>
      <c r="VUQ12" s="2"/>
      <c r="VUR12" s="2"/>
      <c r="VUS12" s="2"/>
      <c r="VUT12" s="2"/>
      <c r="VUU12" s="2"/>
      <c r="VUV12" s="2"/>
      <c r="VUW12" s="2"/>
      <c r="VUX12" s="2"/>
      <c r="VUY12" s="2"/>
      <c r="VUZ12" s="2"/>
      <c r="VVA12" s="2"/>
      <c r="VVB12" s="2"/>
      <c r="VVC12" s="2"/>
      <c r="VVD12" s="2"/>
      <c r="VVE12" s="2"/>
      <c r="VVF12" s="2"/>
      <c r="VVG12" s="2"/>
      <c r="VVH12" s="2"/>
      <c r="VVI12" s="2"/>
      <c r="VVJ12" s="2"/>
      <c r="VVK12" s="2"/>
      <c r="VVL12" s="2"/>
      <c r="VVM12" s="2"/>
      <c r="VVN12" s="2"/>
      <c r="VVO12" s="2"/>
      <c r="VVP12" s="2"/>
      <c r="VVQ12" s="2"/>
      <c r="VVR12" s="2"/>
      <c r="VVS12" s="2"/>
      <c r="VVT12" s="2"/>
      <c r="VVU12" s="2"/>
      <c r="VVV12" s="2"/>
      <c r="VVW12" s="2"/>
      <c r="VVX12" s="2"/>
      <c r="VVY12" s="2"/>
      <c r="VVZ12" s="2"/>
      <c r="VWA12" s="2"/>
      <c r="VWB12" s="2"/>
      <c r="VWC12" s="2"/>
      <c r="VWD12" s="2"/>
      <c r="VWE12" s="2"/>
      <c r="VWF12" s="2"/>
      <c r="VWG12" s="2"/>
      <c r="VWH12" s="2"/>
      <c r="VWI12" s="2"/>
      <c r="VWJ12" s="2"/>
      <c r="VWK12" s="2"/>
      <c r="VWL12" s="2"/>
      <c r="VWM12" s="2"/>
      <c r="VWN12" s="2"/>
      <c r="VWO12" s="2"/>
      <c r="VWP12" s="2"/>
      <c r="VWQ12" s="2"/>
      <c r="VWR12" s="2"/>
      <c r="VWS12" s="2"/>
      <c r="VWT12" s="2"/>
      <c r="VWU12" s="2"/>
      <c r="VWV12" s="2"/>
      <c r="VWW12" s="2"/>
      <c r="VWX12" s="2"/>
      <c r="VWY12" s="2"/>
      <c r="VWZ12" s="2"/>
      <c r="VXA12" s="2"/>
      <c r="VXB12" s="2"/>
      <c r="VXC12" s="2"/>
      <c r="VXD12" s="2"/>
      <c r="VXE12" s="2"/>
      <c r="VXF12" s="2"/>
      <c r="VXG12" s="2"/>
      <c r="VXH12" s="2"/>
      <c r="VXI12" s="2"/>
      <c r="VXJ12" s="2"/>
      <c r="VXK12" s="2"/>
      <c r="VXL12" s="2"/>
      <c r="VXM12" s="2"/>
      <c r="VXN12" s="2"/>
      <c r="VXO12" s="2"/>
      <c r="VXP12" s="2"/>
      <c r="VXQ12" s="2"/>
      <c r="VXR12" s="2"/>
      <c r="VXS12" s="2"/>
      <c r="VXT12" s="2"/>
      <c r="VXU12" s="2"/>
      <c r="VXV12" s="2"/>
      <c r="VXW12" s="2"/>
      <c r="VXX12" s="2"/>
      <c r="VXY12" s="2"/>
      <c r="VXZ12" s="2"/>
      <c r="VYA12" s="2"/>
      <c r="VYB12" s="2"/>
      <c r="VYC12" s="2"/>
      <c r="VYD12" s="2"/>
      <c r="VYE12" s="2"/>
      <c r="VYF12" s="2"/>
      <c r="VYG12" s="2"/>
      <c r="VYH12" s="2"/>
      <c r="VYI12" s="2"/>
      <c r="VYJ12" s="2"/>
      <c r="VYK12" s="2"/>
      <c r="VYL12" s="2"/>
      <c r="VYM12" s="2"/>
      <c r="VYN12" s="2"/>
      <c r="VYO12" s="2"/>
      <c r="VYP12" s="2"/>
      <c r="VYQ12" s="2"/>
      <c r="VYR12" s="2"/>
      <c r="VYS12" s="2"/>
      <c r="VYT12" s="2"/>
      <c r="VYU12" s="2"/>
      <c r="VYV12" s="2"/>
      <c r="VYW12" s="2"/>
      <c r="VYX12" s="2"/>
      <c r="VYY12" s="2"/>
      <c r="VYZ12" s="2"/>
      <c r="VZA12" s="2"/>
      <c r="VZB12" s="2"/>
      <c r="VZC12" s="2"/>
      <c r="VZD12" s="2"/>
      <c r="VZE12" s="2"/>
      <c r="VZF12" s="2"/>
      <c r="VZG12" s="2"/>
      <c r="VZH12" s="2"/>
      <c r="VZI12" s="2"/>
      <c r="VZJ12" s="2"/>
      <c r="VZK12" s="2"/>
      <c r="VZL12" s="2"/>
      <c r="VZM12" s="2"/>
      <c r="VZN12" s="2"/>
      <c r="VZO12" s="2"/>
      <c r="VZP12" s="2"/>
      <c r="VZQ12" s="2"/>
      <c r="VZR12" s="2"/>
      <c r="VZS12" s="2"/>
      <c r="VZT12" s="2"/>
      <c r="VZU12" s="2"/>
      <c r="VZV12" s="2"/>
      <c r="VZW12" s="2"/>
      <c r="VZX12" s="2"/>
      <c r="VZY12" s="2"/>
      <c r="VZZ12" s="2"/>
      <c r="WAA12" s="2"/>
      <c r="WAB12" s="2"/>
      <c r="WAC12" s="2"/>
      <c r="WAD12" s="2"/>
      <c r="WAE12" s="2"/>
      <c r="WAF12" s="2"/>
      <c r="WAG12" s="2"/>
      <c r="WAH12" s="2"/>
      <c r="WAI12" s="2"/>
      <c r="WAJ12" s="2"/>
      <c r="WAK12" s="2"/>
      <c r="WAL12" s="2"/>
      <c r="WAM12" s="2"/>
      <c r="WAN12" s="2"/>
      <c r="WAO12" s="2"/>
      <c r="WAP12" s="2"/>
      <c r="WAQ12" s="2"/>
      <c r="WAR12" s="2"/>
      <c r="WAS12" s="2"/>
      <c r="WAT12" s="2"/>
      <c r="WAU12" s="2"/>
      <c r="WAV12" s="2"/>
      <c r="WAW12" s="2"/>
      <c r="WAX12" s="2"/>
      <c r="WAY12" s="2"/>
      <c r="WAZ12" s="2"/>
      <c r="WBA12" s="2"/>
      <c r="WBB12" s="2"/>
      <c r="WBC12" s="2"/>
      <c r="WBD12" s="2"/>
      <c r="WBE12" s="2"/>
      <c r="WBF12" s="2"/>
      <c r="WBG12" s="2"/>
      <c r="WBH12" s="2"/>
      <c r="WBI12" s="2"/>
      <c r="WBJ12" s="2"/>
      <c r="WBK12" s="2"/>
      <c r="WBL12" s="2"/>
      <c r="WBM12" s="2"/>
      <c r="WBN12" s="2"/>
      <c r="WBO12" s="2"/>
      <c r="WBP12" s="2"/>
      <c r="WBQ12" s="2"/>
      <c r="WBR12" s="2"/>
      <c r="WBS12" s="2"/>
      <c r="WBT12" s="2"/>
      <c r="WBU12" s="2"/>
      <c r="WBV12" s="2"/>
      <c r="WBW12" s="2"/>
      <c r="WBX12" s="2"/>
      <c r="WBY12" s="2"/>
      <c r="WBZ12" s="2"/>
      <c r="WCA12" s="2"/>
      <c r="WCB12" s="2"/>
      <c r="WCC12" s="2"/>
      <c r="WCD12" s="2"/>
      <c r="WCE12" s="2"/>
      <c r="WCF12" s="2"/>
      <c r="WCG12" s="2"/>
      <c r="WCH12" s="2"/>
      <c r="WCI12" s="2"/>
      <c r="WCJ12" s="2"/>
      <c r="WCK12" s="2"/>
      <c r="WCL12" s="2"/>
      <c r="WCM12" s="2"/>
      <c r="WCN12" s="2"/>
      <c r="WCO12" s="2"/>
      <c r="WCP12" s="2"/>
      <c r="WCQ12" s="2"/>
      <c r="WCR12" s="2"/>
      <c r="WCS12" s="2"/>
      <c r="WCT12" s="2"/>
      <c r="WCU12" s="2"/>
      <c r="WCV12" s="2"/>
      <c r="WCW12" s="2"/>
      <c r="WCX12" s="2"/>
      <c r="WCY12" s="2"/>
      <c r="WCZ12" s="2"/>
      <c r="WDA12" s="2"/>
      <c r="WDB12" s="2"/>
      <c r="WDC12" s="2"/>
      <c r="WDD12" s="2"/>
      <c r="WDE12" s="2"/>
      <c r="WDF12" s="2"/>
      <c r="WDG12" s="2"/>
      <c r="WDH12" s="2"/>
      <c r="WDI12" s="2"/>
      <c r="WDJ12" s="2"/>
      <c r="WDK12" s="2"/>
      <c r="WDL12" s="2"/>
      <c r="WDM12" s="2"/>
      <c r="WDN12" s="2"/>
      <c r="WDO12" s="2"/>
      <c r="WDP12" s="2"/>
      <c r="WDQ12" s="2"/>
      <c r="WDR12" s="2"/>
      <c r="WDS12" s="2"/>
      <c r="WDT12" s="2"/>
      <c r="WDU12" s="2"/>
      <c r="WDV12" s="2"/>
      <c r="WDW12" s="2"/>
      <c r="WDX12" s="2"/>
      <c r="WDY12" s="2"/>
      <c r="WDZ12" s="2"/>
      <c r="WEA12" s="2"/>
      <c r="WEB12" s="2"/>
      <c r="WEC12" s="2"/>
      <c r="WED12" s="2"/>
      <c r="WEE12" s="2"/>
      <c r="WEF12" s="2"/>
      <c r="WEG12" s="2"/>
      <c r="WEH12" s="2"/>
      <c r="WEI12" s="2"/>
      <c r="WEJ12" s="2"/>
      <c r="WEK12" s="2"/>
      <c r="WEL12" s="2"/>
      <c r="WEM12" s="2"/>
      <c r="WEN12" s="2"/>
      <c r="WEO12" s="2"/>
      <c r="WEP12" s="2"/>
      <c r="WEQ12" s="2"/>
      <c r="WER12" s="2"/>
      <c r="WES12" s="2"/>
      <c r="WET12" s="2"/>
      <c r="WEU12" s="2"/>
      <c r="WEV12" s="2"/>
      <c r="WEW12" s="2"/>
      <c r="WEX12" s="2"/>
      <c r="WEY12" s="2"/>
      <c r="WEZ12" s="2"/>
      <c r="WFA12" s="2"/>
      <c r="WFB12" s="2"/>
      <c r="WFC12" s="2"/>
      <c r="WFD12" s="2"/>
      <c r="WFE12" s="2"/>
      <c r="WFF12" s="2"/>
      <c r="WFG12" s="2"/>
      <c r="WFH12" s="2"/>
      <c r="WFI12" s="2"/>
      <c r="WFJ12" s="2"/>
      <c r="WFK12" s="2"/>
      <c r="WFL12" s="2"/>
      <c r="WFM12" s="2"/>
      <c r="WFN12" s="2"/>
      <c r="WFO12" s="2"/>
      <c r="WFP12" s="2"/>
      <c r="WFQ12" s="2"/>
      <c r="WFR12" s="2"/>
      <c r="WFS12" s="2"/>
      <c r="WFT12" s="2"/>
      <c r="WFU12" s="2"/>
      <c r="WFV12" s="2"/>
      <c r="WFW12" s="2"/>
      <c r="WFX12" s="2"/>
      <c r="WFY12" s="2"/>
      <c r="WFZ12" s="2"/>
      <c r="WGA12" s="2"/>
      <c r="WGB12" s="2"/>
      <c r="WGC12" s="2"/>
      <c r="WGD12" s="2"/>
      <c r="WGE12" s="2"/>
      <c r="WGF12" s="2"/>
      <c r="WGG12" s="2"/>
      <c r="WGH12" s="2"/>
      <c r="WGI12" s="2"/>
      <c r="WGJ12" s="2"/>
      <c r="WGK12" s="2"/>
      <c r="WGL12" s="2"/>
      <c r="WGM12" s="2"/>
      <c r="WGN12" s="2"/>
      <c r="WGO12" s="2"/>
      <c r="WGP12" s="2"/>
      <c r="WGQ12" s="2"/>
      <c r="WGR12" s="2"/>
      <c r="WGS12" s="2"/>
      <c r="WGT12" s="2"/>
      <c r="WGU12" s="2"/>
      <c r="WGV12" s="2"/>
      <c r="WGW12" s="2"/>
      <c r="WGX12" s="2"/>
      <c r="WGY12" s="2"/>
      <c r="WGZ12" s="2"/>
      <c r="WHA12" s="2"/>
      <c r="WHB12" s="2"/>
      <c r="WHC12" s="2"/>
      <c r="WHD12" s="2"/>
      <c r="WHE12" s="2"/>
      <c r="WHF12" s="2"/>
      <c r="WHG12" s="2"/>
      <c r="WHH12" s="2"/>
      <c r="WHI12" s="2"/>
      <c r="WHJ12" s="2"/>
      <c r="WHK12" s="2"/>
      <c r="WHL12" s="2"/>
      <c r="WHM12" s="2"/>
      <c r="WHN12" s="2"/>
      <c r="WHO12" s="2"/>
      <c r="WHP12" s="2"/>
      <c r="WHQ12" s="2"/>
      <c r="WHR12" s="2"/>
      <c r="WHS12" s="2"/>
      <c r="WHT12" s="2"/>
      <c r="WHU12" s="2"/>
      <c r="WHV12" s="2"/>
      <c r="WHW12" s="2"/>
      <c r="WHX12" s="2"/>
      <c r="WHY12" s="2"/>
      <c r="WHZ12" s="2"/>
      <c r="WIA12" s="2"/>
      <c r="WIB12" s="2"/>
      <c r="WIC12" s="2"/>
      <c r="WID12" s="2"/>
      <c r="WIE12" s="2"/>
      <c r="WIF12" s="2"/>
      <c r="WIG12" s="2"/>
      <c r="WIH12" s="2"/>
      <c r="WII12" s="2"/>
      <c r="WIJ12" s="2"/>
      <c r="WIK12" s="2"/>
      <c r="WIL12" s="2"/>
      <c r="WIM12" s="2"/>
      <c r="WIN12" s="2"/>
      <c r="WIO12" s="2"/>
      <c r="WIP12" s="2"/>
      <c r="WIQ12" s="2"/>
      <c r="WIR12" s="2"/>
      <c r="WIS12" s="2"/>
      <c r="WIT12" s="2"/>
      <c r="WIU12" s="2"/>
      <c r="WIV12" s="2"/>
      <c r="WIW12" s="2"/>
      <c r="WIX12" s="2"/>
      <c r="WIY12" s="2"/>
      <c r="WIZ12" s="2"/>
      <c r="WJA12" s="2"/>
      <c r="WJB12" s="2"/>
      <c r="WJC12" s="2"/>
      <c r="WJD12" s="2"/>
      <c r="WJE12" s="2"/>
      <c r="WJF12" s="2"/>
      <c r="WJG12" s="2"/>
      <c r="WJH12" s="2"/>
      <c r="WJI12" s="2"/>
      <c r="WJJ12" s="2"/>
      <c r="WJK12" s="2"/>
      <c r="WJL12" s="2"/>
      <c r="WJM12" s="2"/>
      <c r="WJN12" s="2"/>
      <c r="WJO12" s="2"/>
      <c r="WJP12" s="2"/>
      <c r="WJQ12" s="2"/>
      <c r="WJR12" s="2"/>
      <c r="WJS12" s="2"/>
      <c r="WJT12" s="2"/>
      <c r="WJU12" s="2"/>
      <c r="WJV12" s="2"/>
      <c r="WJW12" s="2"/>
      <c r="WJX12" s="2"/>
      <c r="WJY12" s="2"/>
      <c r="WJZ12" s="2"/>
      <c r="WKA12" s="2"/>
      <c r="WKB12" s="2"/>
      <c r="WKC12" s="2"/>
      <c r="WKD12" s="2"/>
      <c r="WKE12" s="2"/>
      <c r="WKF12" s="2"/>
      <c r="WKG12" s="2"/>
      <c r="WKH12" s="2"/>
      <c r="WKI12" s="2"/>
      <c r="WKJ12" s="2"/>
      <c r="WKK12" s="2"/>
      <c r="WKL12" s="2"/>
      <c r="WKM12" s="2"/>
      <c r="WKN12" s="2"/>
      <c r="WKO12" s="2"/>
      <c r="WKP12" s="2"/>
      <c r="WKQ12" s="2"/>
      <c r="WKR12" s="2"/>
      <c r="WKS12" s="2"/>
      <c r="WKT12" s="2"/>
      <c r="WKU12" s="2"/>
      <c r="WKV12" s="2"/>
      <c r="WKW12" s="2"/>
      <c r="WKX12" s="2"/>
      <c r="WKY12" s="2"/>
      <c r="WKZ12" s="2"/>
      <c r="WLA12" s="2"/>
      <c r="WLB12" s="2"/>
      <c r="WLC12" s="2"/>
      <c r="WLD12" s="2"/>
      <c r="WLE12" s="2"/>
      <c r="WLF12" s="2"/>
      <c r="WLG12" s="2"/>
      <c r="WLH12" s="2"/>
      <c r="WLI12" s="2"/>
      <c r="WLJ12" s="2"/>
      <c r="WLK12" s="2"/>
      <c r="WLL12" s="2"/>
      <c r="WLM12" s="2"/>
      <c r="WLN12" s="2"/>
      <c r="WLO12" s="2"/>
      <c r="WLP12" s="2"/>
      <c r="WLQ12" s="2"/>
      <c r="WLR12" s="2"/>
      <c r="WLS12" s="2"/>
      <c r="WLT12" s="2"/>
      <c r="WLU12" s="2"/>
      <c r="WLV12" s="2"/>
      <c r="WLW12" s="2"/>
      <c r="WLX12" s="2"/>
      <c r="WLY12" s="2"/>
      <c r="WLZ12" s="2"/>
      <c r="WMA12" s="2"/>
      <c r="WMB12" s="2"/>
      <c r="WMC12" s="2"/>
      <c r="WMD12" s="2"/>
      <c r="WME12" s="2"/>
      <c r="WMF12" s="2"/>
      <c r="WMG12" s="2"/>
      <c r="WMH12" s="2"/>
      <c r="WMI12" s="2"/>
      <c r="WMJ12" s="2"/>
      <c r="WMK12" s="2"/>
      <c r="WML12" s="2"/>
      <c r="WMM12" s="2"/>
      <c r="WMN12" s="2"/>
      <c r="WMO12" s="2"/>
      <c r="WMP12" s="2"/>
      <c r="WMQ12" s="2"/>
      <c r="WMR12" s="2"/>
      <c r="WMS12" s="2"/>
      <c r="WMT12" s="2"/>
      <c r="WMU12" s="2"/>
      <c r="WMV12" s="2"/>
      <c r="WMW12" s="2"/>
      <c r="WMX12" s="2"/>
      <c r="WMY12" s="2"/>
      <c r="WMZ12" s="2"/>
      <c r="WNA12" s="2"/>
      <c r="WNB12" s="2"/>
      <c r="WNC12" s="2"/>
      <c r="WND12" s="2"/>
      <c r="WNE12" s="2"/>
      <c r="WNF12" s="2"/>
      <c r="WNG12" s="2"/>
      <c r="WNH12" s="2"/>
      <c r="WNI12" s="2"/>
      <c r="WNJ12" s="2"/>
      <c r="WNK12" s="2"/>
      <c r="WNL12" s="2"/>
      <c r="WNM12" s="2"/>
      <c r="WNN12" s="2"/>
      <c r="WNO12" s="2"/>
      <c r="WNP12" s="2"/>
      <c r="WNQ12" s="2"/>
      <c r="WNR12" s="2"/>
      <c r="WNS12" s="2"/>
      <c r="WNT12" s="2"/>
      <c r="WNU12" s="2"/>
      <c r="WNV12" s="2"/>
      <c r="WNW12" s="2"/>
      <c r="WNX12" s="2"/>
      <c r="WNY12" s="2"/>
      <c r="WNZ12" s="2"/>
      <c r="WOA12" s="2"/>
      <c r="WOB12" s="2"/>
      <c r="WOC12" s="2"/>
      <c r="WOD12" s="2"/>
      <c r="WOE12" s="2"/>
      <c r="WOF12" s="2"/>
      <c r="WOG12" s="2"/>
      <c r="WOH12" s="2"/>
      <c r="WOI12" s="2"/>
      <c r="WOJ12" s="2"/>
      <c r="WOK12" s="2"/>
      <c r="WOL12" s="2"/>
      <c r="WOM12" s="2"/>
      <c r="WON12" s="2"/>
      <c r="WOO12" s="2"/>
      <c r="WOP12" s="2"/>
      <c r="WOQ12" s="2"/>
      <c r="WOR12" s="2"/>
      <c r="WOS12" s="2"/>
      <c r="WOT12" s="2"/>
      <c r="WOU12" s="2"/>
      <c r="WOV12" s="2"/>
      <c r="WOW12" s="2"/>
      <c r="WOX12" s="2"/>
      <c r="WOY12" s="2"/>
      <c r="WOZ12" s="2"/>
      <c r="WPA12" s="2"/>
      <c r="WPB12" s="2"/>
      <c r="WPC12" s="2"/>
      <c r="WPD12" s="2"/>
      <c r="WPE12" s="2"/>
      <c r="WPF12" s="2"/>
      <c r="WPG12" s="2"/>
      <c r="WPH12" s="2"/>
      <c r="WPI12" s="2"/>
      <c r="WPJ12" s="2"/>
      <c r="WPK12" s="2"/>
      <c r="WPL12" s="2"/>
      <c r="WPM12" s="2"/>
      <c r="WPN12" s="2"/>
      <c r="WPO12" s="2"/>
      <c r="WPP12" s="2"/>
      <c r="WPQ12" s="2"/>
      <c r="WPR12" s="2"/>
      <c r="WPS12" s="2"/>
      <c r="WPT12" s="2"/>
      <c r="WPU12" s="2"/>
      <c r="WPV12" s="2"/>
      <c r="WPW12" s="2"/>
      <c r="WPX12" s="2"/>
      <c r="WPY12" s="2"/>
      <c r="WPZ12" s="2"/>
      <c r="WQA12" s="2"/>
      <c r="WQB12" s="2"/>
      <c r="WQC12" s="2"/>
      <c r="WQD12" s="2"/>
      <c r="WQE12" s="2"/>
      <c r="WQF12" s="2"/>
      <c r="WQG12" s="2"/>
      <c r="WQH12" s="2"/>
      <c r="WQI12" s="2"/>
      <c r="WQJ12" s="2"/>
      <c r="WQK12" s="2"/>
      <c r="WQL12" s="2"/>
      <c r="WQM12" s="2"/>
      <c r="WQN12" s="2"/>
      <c r="WQO12" s="2"/>
      <c r="WQP12" s="2"/>
      <c r="WQQ12" s="2"/>
      <c r="WQR12" s="2"/>
      <c r="WQS12" s="2"/>
      <c r="WQT12" s="2"/>
      <c r="WQU12" s="2"/>
      <c r="WQV12" s="2"/>
      <c r="WQW12" s="2"/>
      <c r="WQX12" s="2"/>
      <c r="WQY12" s="2"/>
      <c r="WQZ12" s="2"/>
      <c r="WRA12" s="2"/>
      <c r="WRB12" s="2"/>
      <c r="WRC12" s="2"/>
      <c r="WRD12" s="2"/>
      <c r="WRE12" s="2"/>
      <c r="WRF12" s="2"/>
      <c r="WRG12" s="2"/>
      <c r="WRH12" s="2"/>
      <c r="WRI12" s="2"/>
      <c r="WRJ12" s="2"/>
      <c r="WRK12" s="2"/>
      <c r="WRL12" s="2"/>
      <c r="WRM12" s="2"/>
      <c r="WRN12" s="2"/>
      <c r="WRO12" s="2"/>
      <c r="WRP12" s="2"/>
      <c r="WRQ12" s="2"/>
      <c r="WRR12" s="2"/>
      <c r="WRS12" s="2"/>
      <c r="WRT12" s="2"/>
      <c r="WRU12" s="2"/>
      <c r="WRV12" s="2"/>
      <c r="WRW12" s="2"/>
      <c r="WRX12" s="2"/>
      <c r="WRY12" s="2"/>
      <c r="WRZ12" s="2"/>
      <c r="WSA12" s="2"/>
      <c r="WSB12" s="2"/>
      <c r="WSC12" s="2"/>
      <c r="WSD12" s="2"/>
      <c r="WSE12" s="2"/>
      <c r="WSF12" s="2"/>
      <c r="WSG12" s="2"/>
      <c r="WSH12" s="2"/>
      <c r="WSI12" s="2"/>
      <c r="WSJ12" s="2"/>
      <c r="WSK12" s="2"/>
      <c r="WSL12" s="2"/>
      <c r="WSM12" s="2"/>
      <c r="WSN12" s="2"/>
      <c r="WSO12" s="2"/>
      <c r="WSP12" s="2"/>
      <c r="WSQ12" s="2"/>
      <c r="WSR12" s="2"/>
      <c r="WSS12" s="2"/>
      <c r="WST12" s="2"/>
      <c r="WSU12" s="2"/>
      <c r="WSV12" s="2"/>
      <c r="WSW12" s="2"/>
      <c r="WSX12" s="2"/>
      <c r="WSY12" s="2"/>
      <c r="WSZ12" s="2"/>
      <c r="WTA12" s="2"/>
      <c r="WTB12" s="2"/>
      <c r="WTC12" s="2"/>
      <c r="WTD12" s="2"/>
      <c r="WTE12" s="2"/>
      <c r="WTF12" s="2"/>
      <c r="WTG12" s="2"/>
      <c r="WTH12" s="2"/>
      <c r="WTI12" s="2"/>
      <c r="WTJ12" s="2"/>
      <c r="WTK12" s="2"/>
      <c r="WTL12" s="2"/>
      <c r="WTM12" s="2"/>
      <c r="WTN12" s="2"/>
      <c r="WTO12" s="2"/>
      <c r="WTP12" s="2"/>
      <c r="WTQ12" s="2"/>
      <c r="WTR12" s="2"/>
      <c r="WTS12" s="2"/>
      <c r="WTT12" s="2"/>
      <c r="WTU12" s="2"/>
      <c r="WTV12" s="2"/>
      <c r="WTW12" s="2"/>
      <c r="WTX12" s="2"/>
      <c r="WTY12" s="2"/>
      <c r="WTZ12" s="2"/>
      <c r="WUA12" s="2"/>
      <c r="WUB12" s="2"/>
      <c r="WUC12" s="2"/>
      <c r="WUD12" s="2"/>
      <c r="WUE12" s="2"/>
      <c r="WUF12" s="2"/>
      <c r="WUG12" s="2"/>
      <c r="WUH12" s="2"/>
      <c r="WUI12" s="2"/>
      <c r="WUJ12" s="2"/>
      <c r="WUK12" s="2"/>
      <c r="WUL12" s="2"/>
      <c r="WUM12" s="2"/>
      <c r="WUN12" s="2"/>
      <c r="WUO12" s="2"/>
      <c r="WUP12" s="2"/>
      <c r="WUQ12" s="2"/>
      <c r="WUR12" s="2"/>
      <c r="WUS12" s="2"/>
      <c r="WUT12" s="2"/>
      <c r="WUU12" s="2"/>
      <c r="WUV12" s="2"/>
      <c r="WUW12" s="2"/>
      <c r="WUX12" s="2"/>
      <c r="WUY12" s="2"/>
      <c r="WUZ12" s="2"/>
      <c r="WVA12" s="2"/>
      <c r="WVB12" s="2"/>
      <c r="WVC12" s="2"/>
      <c r="WVD12" s="2"/>
      <c r="WVE12" s="2"/>
      <c r="WVF12" s="2"/>
      <c r="WVG12" s="2"/>
      <c r="WVH12" s="2"/>
      <c r="WVI12" s="2"/>
      <c r="WVJ12" s="2"/>
      <c r="WVK12" s="2"/>
      <c r="WVL12" s="2"/>
      <c r="WVM12" s="2"/>
      <c r="WVN12" s="2"/>
      <c r="WVO12" s="2"/>
      <c r="WVP12" s="2"/>
      <c r="WVQ12" s="2"/>
      <c r="WVR12" s="2"/>
      <c r="WVS12" s="2"/>
      <c r="WVT12" s="2"/>
      <c r="WVU12" s="2"/>
      <c r="WVV12" s="2"/>
      <c r="WVW12" s="2"/>
      <c r="WVX12" s="2"/>
      <c r="WVY12" s="2"/>
      <c r="WVZ12" s="2"/>
      <c r="WWA12" s="2"/>
      <c r="WWB12" s="2"/>
      <c r="WWC12" s="2"/>
      <c r="WWD12" s="2"/>
      <c r="WWE12" s="2"/>
      <c r="WWF12" s="2"/>
      <c r="WWG12" s="2"/>
      <c r="WWH12" s="2"/>
      <c r="WWI12" s="2"/>
      <c r="WWJ12" s="2"/>
      <c r="WWK12" s="2"/>
      <c r="WWL12" s="2"/>
      <c r="WWM12" s="2"/>
      <c r="WWN12" s="2"/>
      <c r="WWO12" s="2"/>
      <c r="WWP12" s="2"/>
      <c r="WWQ12" s="2"/>
      <c r="WWR12" s="2"/>
      <c r="WWS12" s="2"/>
      <c r="WWT12" s="2"/>
      <c r="WWU12" s="2"/>
      <c r="WWV12" s="2"/>
      <c r="WWW12" s="2"/>
      <c r="WWX12" s="2"/>
      <c r="WWY12" s="2"/>
      <c r="WWZ12" s="2"/>
      <c r="WXA12" s="2"/>
      <c r="WXB12" s="2"/>
      <c r="WXC12" s="2"/>
      <c r="WXD12" s="2"/>
      <c r="WXE12" s="2"/>
      <c r="WXF12" s="2"/>
      <c r="WXG12" s="2"/>
      <c r="WXH12" s="2"/>
      <c r="WXI12" s="2"/>
      <c r="WXJ12" s="2"/>
      <c r="WXK12" s="2"/>
      <c r="WXL12" s="2"/>
      <c r="WXM12" s="2"/>
      <c r="WXN12" s="2"/>
      <c r="WXO12" s="2"/>
      <c r="WXP12" s="2"/>
      <c r="WXQ12" s="2"/>
      <c r="WXR12" s="2"/>
      <c r="WXS12" s="2"/>
      <c r="WXT12" s="2"/>
      <c r="WXU12" s="2"/>
      <c r="WXV12" s="2"/>
      <c r="WXW12" s="2"/>
      <c r="WXX12" s="2"/>
      <c r="WXY12" s="2"/>
      <c r="WXZ12" s="2"/>
      <c r="WYA12" s="2"/>
      <c r="WYB12" s="2"/>
      <c r="WYC12" s="2"/>
      <c r="WYD12" s="2"/>
      <c r="WYE12" s="2"/>
      <c r="WYF12" s="2"/>
      <c r="WYG12" s="2"/>
      <c r="WYH12" s="2"/>
      <c r="WYI12" s="2"/>
      <c r="WYJ12" s="2"/>
      <c r="WYK12" s="2"/>
      <c r="WYL12" s="2"/>
      <c r="WYM12" s="2"/>
      <c r="WYN12" s="2"/>
      <c r="WYO12" s="2"/>
      <c r="WYP12" s="2"/>
      <c r="WYQ12" s="2"/>
      <c r="WYR12" s="2"/>
      <c r="WYS12" s="2"/>
      <c r="WYT12" s="2"/>
      <c r="WYU12" s="2"/>
      <c r="WYV12" s="2"/>
      <c r="WYW12" s="2"/>
      <c r="WYX12" s="2"/>
      <c r="WYY12" s="2"/>
      <c r="WYZ12" s="2"/>
      <c r="WZA12" s="2"/>
      <c r="WZB12" s="2"/>
      <c r="WZC12" s="2"/>
      <c r="WZD12" s="2"/>
      <c r="WZE12" s="2"/>
      <c r="WZF12" s="2"/>
      <c r="WZG12" s="2"/>
      <c r="WZH12" s="2"/>
      <c r="WZI12" s="2"/>
      <c r="WZJ12" s="2"/>
      <c r="WZK12" s="2"/>
      <c r="WZL12" s="2"/>
      <c r="WZM12" s="2"/>
      <c r="WZN12" s="2"/>
      <c r="WZO12" s="2"/>
      <c r="WZP12" s="2"/>
      <c r="WZQ12" s="2"/>
      <c r="WZR12" s="2"/>
      <c r="WZS12" s="2"/>
      <c r="WZT12" s="2"/>
      <c r="WZU12" s="2"/>
      <c r="WZV12" s="2"/>
      <c r="WZW12" s="2"/>
      <c r="WZX12" s="2"/>
      <c r="WZY12" s="2"/>
      <c r="WZZ12" s="2"/>
      <c r="XAA12" s="2"/>
      <c r="XAB12" s="2"/>
      <c r="XAC12" s="2"/>
      <c r="XAD12" s="2"/>
      <c r="XAE12" s="2"/>
      <c r="XAF12" s="2"/>
      <c r="XAG12" s="2"/>
      <c r="XAH12" s="2"/>
      <c r="XAI12" s="2"/>
      <c r="XAJ12" s="2"/>
      <c r="XAK12" s="2"/>
      <c r="XAL12" s="2"/>
      <c r="XAM12" s="2"/>
      <c r="XAN12" s="2"/>
      <c r="XAO12" s="2"/>
      <c r="XAP12" s="2"/>
      <c r="XAQ12" s="2"/>
      <c r="XAR12" s="2"/>
      <c r="XAS12" s="2"/>
      <c r="XAT12" s="2"/>
      <c r="XAU12" s="2"/>
      <c r="XAV12" s="2"/>
      <c r="XAW12" s="2"/>
      <c r="XAX12" s="2"/>
      <c r="XAY12" s="2"/>
      <c r="XAZ12" s="2"/>
      <c r="XBA12" s="2"/>
      <c r="XBB12" s="2"/>
      <c r="XBC12" s="2"/>
      <c r="XBD12" s="2"/>
      <c r="XBE12" s="2"/>
      <c r="XBF12" s="2"/>
      <c r="XBG12" s="2"/>
      <c r="XBH12" s="2"/>
      <c r="XBI12" s="2"/>
      <c r="XBJ12" s="2"/>
      <c r="XBK12" s="2"/>
      <c r="XBL12" s="2"/>
      <c r="XBM12" s="2"/>
      <c r="XBN12" s="2"/>
      <c r="XBO12" s="2"/>
      <c r="XBP12" s="2"/>
      <c r="XBQ12" s="2"/>
      <c r="XBR12" s="2"/>
      <c r="XBS12" s="2"/>
      <c r="XBT12" s="2"/>
      <c r="XBU12" s="2"/>
      <c r="XBV12" s="2"/>
      <c r="XBW12" s="2"/>
      <c r="XBX12" s="2"/>
      <c r="XBY12" s="2"/>
      <c r="XBZ12" s="2"/>
      <c r="XCA12" s="2"/>
      <c r="XCB12" s="2"/>
      <c r="XCC12" s="2"/>
      <c r="XCD12" s="2"/>
      <c r="XCE12" s="2"/>
      <c r="XCF12" s="2"/>
      <c r="XCG12" s="2"/>
      <c r="XCH12" s="2"/>
      <c r="XCI12" s="2"/>
      <c r="XCJ12" s="2"/>
      <c r="XCK12" s="2"/>
      <c r="XCL12" s="2"/>
      <c r="XCM12" s="2"/>
      <c r="XCN12" s="2"/>
      <c r="XCO12" s="2"/>
      <c r="XCP12" s="2"/>
      <c r="XCQ12" s="2"/>
      <c r="XCR12" s="2"/>
      <c r="XCS12" s="2"/>
      <c r="XCT12" s="2"/>
      <c r="XCU12" s="2"/>
      <c r="XCV12" s="2"/>
      <c r="XCW12" s="2"/>
      <c r="XCX12" s="2"/>
      <c r="XCY12" s="2"/>
      <c r="XCZ12" s="2"/>
      <c r="XDA12" s="2"/>
      <c r="XDB12" s="2"/>
      <c r="XDC12" s="2"/>
      <c r="XDD12" s="2"/>
      <c r="XDE12" s="2"/>
      <c r="XDF12" s="2"/>
      <c r="XDG12" s="2"/>
      <c r="XDH12" s="2"/>
      <c r="XDI12" s="2"/>
      <c r="XDJ12" s="2"/>
      <c r="XDK12" s="2"/>
      <c r="XDL12" s="2"/>
      <c r="XDM12" s="2"/>
      <c r="XDN12" s="2"/>
      <c r="XDO12" s="2"/>
      <c r="XDP12" s="2"/>
      <c r="XDQ12" s="2"/>
      <c r="XDR12" s="2"/>
      <c r="XDS12" s="2"/>
      <c r="XDT12" s="2"/>
      <c r="XDU12" s="2"/>
      <c r="XDV12" s="2"/>
      <c r="XDW12" s="2"/>
      <c r="XDX12" s="2"/>
      <c r="XDY12" s="2"/>
      <c r="XDZ12" s="2"/>
      <c r="XEA12" s="2"/>
      <c r="XEB12" s="2"/>
      <c r="XEC12" s="2"/>
    </row>
    <row r="13" spans="1:16384" customFormat="1" ht="15.95" customHeight="1" x14ac:dyDescent="0.25">
      <c r="A13" s="19" t="s">
        <v>498</v>
      </c>
      <c r="B13" s="19" t="s">
        <v>535</v>
      </c>
      <c r="C13" s="33">
        <v>2</v>
      </c>
      <c r="D13" s="33">
        <v>2</v>
      </c>
      <c r="E13" s="33">
        <v>2</v>
      </c>
      <c r="F13" s="33">
        <v>26</v>
      </c>
      <c r="G13" s="33">
        <f>IF(Настройки!$B$3="Goliath ALPS",1,0)</f>
        <v>0</v>
      </c>
      <c r="H13" s="33" cm="1">
        <f t="array" ref="H13">G13*_xlfn.IFS(Настройки!$B$2="M",'Печатные изд.'!C13,Настройки!$B$2="L",'Печатные изд.'!D13,Настройки!$B$2="XL",'Печатные изд.'!E13)</f>
        <v>0</v>
      </c>
      <c r="I13" s="41">
        <f t="shared" si="0"/>
        <v>0</v>
      </c>
      <c r="J13" s="33" t="s">
        <v>509</v>
      </c>
      <c r="K13" s="41" cm="1">
        <f t="array" ref="K13">_xlfn.IFS(J13="Высоконагруженная",Настройки!$B$6,J13="Средне-нагруженная",Настройки!$B$7,J13="Ненагруженная",Настройки!$B$8,J13="Гибкая",Настройки!$B$9)</f>
        <v>1.21</v>
      </c>
      <c r="L13" s="41" cm="1">
        <f t="array" ref="L13">_xlfn.IFS(J13="Высоконагруженная",Настройки!$C$6,J13="Средне-нагруженная",Настройки!$C$7,J13="Ненагруженная",Настройки!$C$8,J13="Гибкая",Настройки!$C$9)/1000</f>
        <v>5</v>
      </c>
      <c r="M13" s="51">
        <f t="shared" si="1"/>
        <v>0</v>
      </c>
      <c r="N13" s="51">
        <f t="shared" si="2"/>
        <v>0</v>
      </c>
      <c r="O13" s="51">
        <f t="shared" si="3"/>
        <v>0</v>
      </c>
      <c r="P13" s="51">
        <f t="shared" si="4"/>
        <v>0</v>
      </c>
      <c r="Q13" s="52">
        <f t="shared" si="5"/>
        <v>0</v>
      </c>
      <c r="R13" s="43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</row>
    <row r="14" spans="1:16384" customFormat="1" ht="15.95" customHeight="1" x14ac:dyDescent="0.25">
      <c r="A14" s="19" t="s">
        <v>165</v>
      </c>
      <c r="B14" s="19" t="s">
        <v>166</v>
      </c>
      <c r="C14" s="33">
        <v>1</v>
      </c>
      <c r="D14" s="33">
        <v>1</v>
      </c>
      <c r="E14" s="33">
        <v>1</v>
      </c>
      <c r="F14" s="33">
        <v>46</v>
      </c>
      <c r="G14" s="33">
        <v>1</v>
      </c>
      <c r="H14" s="33" cm="1">
        <f t="array" ref="H14">G14*_xlfn.IFS(Настройки!$B$2="M",'Печатные изд.'!C14,Настройки!$B$2="L",'Печатные изд.'!D14,Настройки!$B$2="XL",'Печатные изд.'!E14)</f>
        <v>1</v>
      </c>
      <c r="I14" s="41">
        <f t="shared" si="0"/>
        <v>46</v>
      </c>
      <c r="J14" s="33" t="s">
        <v>509</v>
      </c>
      <c r="K14" s="41" cm="1">
        <f t="array" ref="K14">_xlfn.IFS(J14="Высоконагруженная",Настройки!$B$6,J14="Средне-нагруженная",Настройки!$B$7,J14="Ненагруженная",Настройки!$B$8,J14="Гибкая",Настройки!$B$9)</f>
        <v>1.21</v>
      </c>
      <c r="L14" s="41" cm="1">
        <f t="array" ref="L14">_xlfn.IFS(J14="Высоконагруженная",Настройки!$C$6,J14="Средне-нагруженная",Настройки!$C$7,J14="Ненагруженная",Настройки!$C$8,J14="Гибкая",Настройки!$C$9)/1000</f>
        <v>5</v>
      </c>
      <c r="M14" s="51">
        <f t="shared" si="1"/>
        <v>55.66</v>
      </c>
      <c r="N14" s="51">
        <f t="shared" si="2"/>
        <v>0</v>
      </c>
      <c r="O14" s="51">
        <f t="shared" si="3"/>
        <v>0</v>
      </c>
      <c r="P14" s="51">
        <f t="shared" si="4"/>
        <v>0</v>
      </c>
      <c r="Q14" s="52">
        <f t="shared" si="5"/>
        <v>278.29999999999995</v>
      </c>
      <c r="R14" s="43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</row>
    <row r="15" spans="1:16384" customFormat="1" ht="15.95" customHeight="1" x14ac:dyDescent="0.25">
      <c r="A15" s="19" t="s">
        <v>167</v>
      </c>
      <c r="B15" s="19" t="s">
        <v>166</v>
      </c>
      <c r="C15" s="33">
        <v>1</v>
      </c>
      <c r="D15" s="33">
        <v>1</v>
      </c>
      <c r="E15" s="33">
        <v>1</v>
      </c>
      <c r="F15" s="33">
        <v>46</v>
      </c>
      <c r="G15" s="33">
        <v>1</v>
      </c>
      <c r="H15" s="33" cm="1">
        <f t="array" ref="H15">G15*_xlfn.IFS(Настройки!$B$2="M",'Печатные изд.'!C15,Настройки!$B$2="L",'Печатные изд.'!D15,Настройки!$B$2="XL",'Печатные изд.'!E15)</f>
        <v>1</v>
      </c>
      <c r="I15" s="41">
        <f t="shared" si="0"/>
        <v>46</v>
      </c>
      <c r="J15" s="33" t="s">
        <v>509</v>
      </c>
      <c r="K15" s="41" cm="1">
        <f t="array" ref="K15">_xlfn.IFS(J15="Высоконагруженная",Настройки!$B$6,J15="Средне-нагруженная",Настройки!$B$7,J15="Ненагруженная",Настройки!$B$8,J15="Гибкая",Настройки!$B$9)</f>
        <v>1.21</v>
      </c>
      <c r="L15" s="41" cm="1">
        <f t="array" ref="L15">_xlfn.IFS(J15="Высоконагруженная",Настройки!$C$6,J15="Средне-нагруженная",Настройки!$C$7,J15="Ненагруженная",Настройки!$C$8,J15="Гибкая",Настройки!$C$9)/1000</f>
        <v>5</v>
      </c>
      <c r="M15" s="51">
        <f t="shared" si="1"/>
        <v>55.66</v>
      </c>
      <c r="N15" s="51">
        <f t="shared" si="2"/>
        <v>0</v>
      </c>
      <c r="O15" s="51">
        <f t="shared" si="3"/>
        <v>0</v>
      </c>
      <c r="P15" s="51">
        <f t="shared" si="4"/>
        <v>0</v>
      </c>
      <c r="Q15" s="52">
        <f t="shared" si="5"/>
        <v>278.29999999999995</v>
      </c>
      <c r="R15" s="43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</row>
    <row r="16" spans="1:16384" customFormat="1" ht="15.95" customHeight="1" x14ac:dyDescent="0.25">
      <c r="A16" s="19" t="s">
        <v>168</v>
      </c>
      <c r="B16" s="19" t="s">
        <v>169</v>
      </c>
      <c r="C16" s="33">
        <v>2</v>
      </c>
      <c r="D16" s="33">
        <v>2</v>
      </c>
      <c r="E16" s="33">
        <v>2</v>
      </c>
      <c r="F16" s="33">
        <v>6</v>
      </c>
      <c r="G16" s="33">
        <v>1</v>
      </c>
      <c r="H16" s="33" cm="1">
        <f t="array" ref="H16">G16*_xlfn.IFS(Настройки!$B$2="M",'Печатные изд.'!C16,Настройки!$B$2="L",'Печатные изд.'!D16,Настройки!$B$2="XL",'Печатные изд.'!E16)</f>
        <v>2</v>
      </c>
      <c r="I16" s="41">
        <f t="shared" si="0"/>
        <v>12</v>
      </c>
      <c r="J16" s="33" t="s">
        <v>515</v>
      </c>
      <c r="K16" s="41" cm="1">
        <f t="array" ref="K16">_xlfn.IFS(J16="Высоконагруженная",Настройки!$B$6,J16="Средне-нагруженная",Настройки!$B$7,J16="Ненагруженная",Настройки!$B$8,J16="Гибкая",Настройки!$B$9)</f>
        <v>1.1499999999999999</v>
      </c>
      <c r="L16" s="41" cm="1">
        <f t="array" ref="L16">_xlfn.IFS(J16="Высоконагруженная",Настройки!$C$6,J16="Средне-нагруженная",Настройки!$C$7,J16="Ненагруженная",Настройки!$C$8,J16="Гибкая",Настройки!$C$9)/1000</f>
        <v>2</v>
      </c>
      <c r="M16" s="51">
        <f t="shared" si="1"/>
        <v>0</v>
      </c>
      <c r="N16" s="51">
        <f t="shared" si="2"/>
        <v>13.799999999999999</v>
      </c>
      <c r="O16" s="51">
        <f t="shared" si="3"/>
        <v>0</v>
      </c>
      <c r="P16" s="51">
        <f t="shared" si="4"/>
        <v>0</v>
      </c>
      <c r="Q16" s="52">
        <f t="shared" si="5"/>
        <v>27.599999999999998</v>
      </c>
      <c r="R16" s="43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  <c r="CEP16" s="2"/>
      <c r="CEQ16" s="2"/>
      <c r="CER16" s="2"/>
      <c r="CES16" s="2"/>
      <c r="CET16" s="2"/>
      <c r="CEU16" s="2"/>
      <c r="CEV16" s="2"/>
      <c r="CEW16" s="2"/>
      <c r="CEX16" s="2"/>
      <c r="CEY16" s="2"/>
      <c r="CEZ16" s="2"/>
      <c r="CFA16" s="2"/>
      <c r="CFB16" s="2"/>
      <c r="CFC16" s="2"/>
      <c r="CFD16" s="2"/>
      <c r="CFE16" s="2"/>
      <c r="CFF16" s="2"/>
      <c r="CFG16" s="2"/>
      <c r="CFH16" s="2"/>
      <c r="CFI16" s="2"/>
      <c r="CFJ16" s="2"/>
      <c r="CFK16" s="2"/>
      <c r="CFL16" s="2"/>
      <c r="CFM16" s="2"/>
      <c r="CFN16" s="2"/>
      <c r="CFO16" s="2"/>
      <c r="CFP16" s="2"/>
      <c r="CFQ16" s="2"/>
      <c r="CFR16" s="2"/>
      <c r="CFS16" s="2"/>
      <c r="CFT16" s="2"/>
      <c r="CFU16" s="2"/>
      <c r="CFV16" s="2"/>
      <c r="CFW16" s="2"/>
      <c r="CFX16" s="2"/>
      <c r="CFY16" s="2"/>
      <c r="CFZ16" s="2"/>
      <c r="CGA16" s="2"/>
      <c r="CGB16" s="2"/>
      <c r="CGC16" s="2"/>
      <c r="CGD16" s="2"/>
      <c r="CGE16" s="2"/>
      <c r="CGF16" s="2"/>
      <c r="CGG16" s="2"/>
      <c r="CGH16" s="2"/>
      <c r="CGI16" s="2"/>
      <c r="CGJ16" s="2"/>
      <c r="CGK16" s="2"/>
      <c r="CGL16" s="2"/>
      <c r="CGM16" s="2"/>
      <c r="CGN16" s="2"/>
      <c r="CGO16" s="2"/>
      <c r="CGP16" s="2"/>
      <c r="CGQ16" s="2"/>
      <c r="CGR16" s="2"/>
      <c r="CGS16" s="2"/>
      <c r="CGT16" s="2"/>
      <c r="CGU16" s="2"/>
      <c r="CGV16" s="2"/>
      <c r="CGW16" s="2"/>
      <c r="CGX16" s="2"/>
      <c r="CGY16" s="2"/>
      <c r="CGZ16" s="2"/>
      <c r="CHA16" s="2"/>
      <c r="CHB16" s="2"/>
      <c r="CHC16" s="2"/>
      <c r="CHD16" s="2"/>
      <c r="CHE16" s="2"/>
      <c r="CHF16" s="2"/>
      <c r="CHG16" s="2"/>
      <c r="CHH16" s="2"/>
      <c r="CHI16" s="2"/>
      <c r="CHJ16" s="2"/>
      <c r="CHK16" s="2"/>
      <c r="CHL16" s="2"/>
      <c r="CHM16" s="2"/>
      <c r="CHN16" s="2"/>
      <c r="CHO16" s="2"/>
      <c r="CHP16" s="2"/>
      <c r="CHQ16" s="2"/>
      <c r="CHR16" s="2"/>
      <c r="CHS16" s="2"/>
      <c r="CHT16" s="2"/>
      <c r="CHU16" s="2"/>
      <c r="CHV16" s="2"/>
      <c r="CHW16" s="2"/>
      <c r="CHX16" s="2"/>
      <c r="CHY16" s="2"/>
      <c r="CHZ16" s="2"/>
      <c r="CIA16" s="2"/>
      <c r="CIB16" s="2"/>
      <c r="CIC16" s="2"/>
      <c r="CID16" s="2"/>
      <c r="CIE16" s="2"/>
      <c r="CIF16" s="2"/>
      <c r="CIG16" s="2"/>
      <c r="CIH16" s="2"/>
      <c r="CII16" s="2"/>
      <c r="CIJ16" s="2"/>
      <c r="CIK16" s="2"/>
      <c r="CIL16" s="2"/>
      <c r="CIM16" s="2"/>
      <c r="CIN16" s="2"/>
      <c r="CIO16" s="2"/>
      <c r="CIP16" s="2"/>
      <c r="CIQ16" s="2"/>
      <c r="CIR16" s="2"/>
      <c r="CIS16" s="2"/>
      <c r="CIT16" s="2"/>
      <c r="CIU16" s="2"/>
      <c r="CIV16" s="2"/>
      <c r="CIW16" s="2"/>
      <c r="CIX16" s="2"/>
      <c r="CIY16" s="2"/>
      <c r="CIZ16" s="2"/>
      <c r="CJA16" s="2"/>
      <c r="CJB16" s="2"/>
      <c r="CJC16" s="2"/>
      <c r="CJD16" s="2"/>
      <c r="CJE16" s="2"/>
      <c r="CJF16" s="2"/>
      <c r="CJG16" s="2"/>
      <c r="CJH16" s="2"/>
      <c r="CJI16" s="2"/>
      <c r="CJJ16" s="2"/>
      <c r="CJK16" s="2"/>
      <c r="CJL16" s="2"/>
      <c r="CJM16" s="2"/>
      <c r="CJN16" s="2"/>
      <c r="CJO16" s="2"/>
      <c r="CJP16" s="2"/>
      <c r="CJQ16" s="2"/>
      <c r="CJR16" s="2"/>
      <c r="CJS16" s="2"/>
      <c r="CJT16" s="2"/>
      <c r="CJU16" s="2"/>
      <c r="CJV16" s="2"/>
      <c r="CJW16" s="2"/>
      <c r="CJX16" s="2"/>
      <c r="CJY16" s="2"/>
      <c r="CJZ16" s="2"/>
      <c r="CKA16" s="2"/>
      <c r="CKB16" s="2"/>
      <c r="CKC16" s="2"/>
      <c r="CKD16" s="2"/>
      <c r="CKE16" s="2"/>
      <c r="CKF16" s="2"/>
      <c r="CKG16" s="2"/>
      <c r="CKH16" s="2"/>
      <c r="CKI16" s="2"/>
      <c r="CKJ16" s="2"/>
      <c r="CKK16" s="2"/>
      <c r="CKL16" s="2"/>
      <c r="CKM16" s="2"/>
      <c r="CKN16" s="2"/>
      <c r="CKO16" s="2"/>
      <c r="CKP16" s="2"/>
      <c r="CKQ16" s="2"/>
      <c r="CKR16" s="2"/>
      <c r="CKS16" s="2"/>
      <c r="CKT16" s="2"/>
      <c r="CKU16" s="2"/>
      <c r="CKV16" s="2"/>
      <c r="CKW16" s="2"/>
      <c r="CKX16" s="2"/>
      <c r="CKY16" s="2"/>
      <c r="CKZ16" s="2"/>
      <c r="CLA16" s="2"/>
      <c r="CLB16" s="2"/>
      <c r="CLC16" s="2"/>
      <c r="CLD16" s="2"/>
      <c r="CLE16" s="2"/>
      <c r="CLF16" s="2"/>
      <c r="CLG16" s="2"/>
      <c r="CLH16" s="2"/>
      <c r="CLI16" s="2"/>
      <c r="CLJ16" s="2"/>
      <c r="CLK16" s="2"/>
      <c r="CLL16" s="2"/>
      <c r="CLM16" s="2"/>
      <c r="CLN16" s="2"/>
      <c r="CLO16" s="2"/>
      <c r="CLP16" s="2"/>
      <c r="CLQ16" s="2"/>
      <c r="CLR16" s="2"/>
      <c r="CLS16" s="2"/>
      <c r="CLT16" s="2"/>
      <c r="CLU16" s="2"/>
      <c r="CLV16" s="2"/>
      <c r="CLW16" s="2"/>
      <c r="CLX16" s="2"/>
      <c r="CLY16" s="2"/>
      <c r="CLZ16" s="2"/>
      <c r="CMA16" s="2"/>
      <c r="CMB16" s="2"/>
      <c r="CMC16" s="2"/>
      <c r="CMD16" s="2"/>
      <c r="CME16" s="2"/>
      <c r="CMF16" s="2"/>
      <c r="CMG16" s="2"/>
      <c r="CMH16" s="2"/>
      <c r="CMI16" s="2"/>
      <c r="CMJ16" s="2"/>
      <c r="CMK16" s="2"/>
      <c r="CML16" s="2"/>
      <c r="CMM16" s="2"/>
      <c r="CMN16" s="2"/>
      <c r="CMO16" s="2"/>
      <c r="CMP16" s="2"/>
      <c r="CMQ16" s="2"/>
      <c r="CMR16" s="2"/>
      <c r="CMS16" s="2"/>
      <c r="CMT16" s="2"/>
      <c r="CMU16" s="2"/>
      <c r="CMV16" s="2"/>
      <c r="CMW16" s="2"/>
      <c r="CMX16" s="2"/>
      <c r="CMY16" s="2"/>
      <c r="CMZ16" s="2"/>
      <c r="CNA16" s="2"/>
      <c r="CNB16" s="2"/>
      <c r="CNC16" s="2"/>
      <c r="CND16" s="2"/>
      <c r="CNE16" s="2"/>
      <c r="CNF16" s="2"/>
      <c r="CNG16" s="2"/>
      <c r="CNH16" s="2"/>
      <c r="CNI16" s="2"/>
      <c r="CNJ16" s="2"/>
      <c r="CNK16" s="2"/>
      <c r="CNL16" s="2"/>
      <c r="CNM16" s="2"/>
      <c r="CNN16" s="2"/>
      <c r="CNO16" s="2"/>
      <c r="CNP16" s="2"/>
      <c r="CNQ16" s="2"/>
      <c r="CNR16" s="2"/>
      <c r="CNS16" s="2"/>
      <c r="CNT16" s="2"/>
      <c r="CNU16" s="2"/>
      <c r="CNV16" s="2"/>
      <c r="CNW16" s="2"/>
      <c r="CNX16" s="2"/>
      <c r="CNY16" s="2"/>
      <c r="CNZ16" s="2"/>
      <c r="COA16" s="2"/>
      <c r="COB16" s="2"/>
      <c r="COC16" s="2"/>
      <c r="COD16" s="2"/>
      <c r="COE16" s="2"/>
      <c r="COF16" s="2"/>
      <c r="COG16" s="2"/>
      <c r="COH16" s="2"/>
      <c r="COI16" s="2"/>
      <c r="COJ16" s="2"/>
      <c r="COK16" s="2"/>
      <c r="COL16" s="2"/>
      <c r="COM16" s="2"/>
      <c r="CON16" s="2"/>
      <c r="COO16" s="2"/>
      <c r="COP16" s="2"/>
      <c r="COQ16" s="2"/>
      <c r="COR16" s="2"/>
      <c r="COS16" s="2"/>
      <c r="COT16" s="2"/>
      <c r="COU16" s="2"/>
      <c r="COV16" s="2"/>
      <c r="COW16" s="2"/>
      <c r="COX16" s="2"/>
      <c r="COY16" s="2"/>
      <c r="COZ16" s="2"/>
      <c r="CPA16" s="2"/>
      <c r="CPB16" s="2"/>
      <c r="CPC16" s="2"/>
      <c r="CPD16" s="2"/>
      <c r="CPE16" s="2"/>
      <c r="CPF16" s="2"/>
      <c r="CPG16" s="2"/>
      <c r="CPH16" s="2"/>
      <c r="CPI16" s="2"/>
      <c r="CPJ16" s="2"/>
      <c r="CPK16" s="2"/>
      <c r="CPL16" s="2"/>
      <c r="CPM16" s="2"/>
      <c r="CPN16" s="2"/>
      <c r="CPO16" s="2"/>
      <c r="CPP16" s="2"/>
      <c r="CPQ16" s="2"/>
      <c r="CPR16" s="2"/>
      <c r="CPS16" s="2"/>
      <c r="CPT16" s="2"/>
      <c r="CPU16" s="2"/>
      <c r="CPV16" s="2"/>
      <c r="CPW16" s="2"/>
      <c r="CPX16" s="2"/>
      <c r="CPY16" s="2"/>
      <c r="CPZ16" s="2"/>
      <c r="CQA16" s="2"/>
      <c r="CQB16" s="2"/>
      <c r="CQC16" s="2"/>
      <c r="CQD16" s="2"/>
      <c r="CQE16" s="2"/>
      <c r="CQF16" s="2"/>
      <c r="CQG16" s="2"/>
      <c r="CQH16" s="2"/>
      <c r="CQI16" s="2"/>
      <c r="CQJ16" s="2"/>
      <c r="CQK16" s="2"/>
      <c r="CQL16" s="2"/>
      <c r="CQM16" s="2"/>
      <c r="CQN16" s="2"/>
      <c r="CQO16" s="2"/>
      <c r="CQP16" s="2"/>
      <c r="CQQ16" s="2"/>
      <c r="CQR16" s="2"/>
      <c r="CQS16" s="2"/>
      <c r="CQT16" s="2"/>
      <c r="CQU16" s="2"/>
      <c r="CQV16" s="2"/>
      <c r="CQW16" s="2"/>
      <c r="CQX16" s="2"/>
      <c r="CQY16" s="2"/>
      <c r="CQZ16" s="2"/>
      <c r="CRA16" s="2"/>
      <c r="CRB16" s="2"/>
      <c r="CRC16" s="2"/>
      <c r="CRD16" s="2"/>
      <c r="CRE16" s="2"/>
      <c r="CRF16" s="2"/>
      <c r="CRG16" s="2"/>
      <c r="CRH16" s="2"/>
      <c r="CRI16" s="2"/>
      <c r="CRJ16" s="2"/>
      <c r="CRK16" s="2"/>
      <c r="CRL16" s="2"/>
      <c r="CRM16" s="2"/>
      <c r="CRN16" s="2"/>
      <c r="CRO16" s="2"/>
      <c r="CRP16" s="2"/>
      <c r="CRQ16" s="2"/>
      <c r="CRR16" s="2"/>
      <c r="CRS16" s="2"/>
      <c r="CRT16" s="2"/>
      <c r="CRU16" s="2"/>
      <c r="CRV16" s="2"/>
      <c r="CRW16" s="2"/>
      <c r="CRX16" s="2"/>
      <c r="CRY16" s="2"/>
      <c r="CRZ16" s="2"/>
      <c r="CSA16" s="2"/>
      <c r="CSB16" s="2"/>
      <c r="CSC16" s="2"/>
      <c r="CSD16" s="2"/>
      <c r="CSE16" s="2"/>
      <c r="CSF16" s="2"/>
      <c r="CSG16" s="2"/>
      <c r="CSH16" s="2"/>
      <c r="CSI16" s="2"/>
      <c r="CSJ16" s="2"/>
      <c r="CSK16" s="2"/>
      <c r="CSL16" s="2"/>
      <c r="CSM16" s="2"/>
      <c r="CSN16" s="2"/>
      <c r="CSO16" s="2"/>
      <c r="CSP16" s="2"/>
      <c r="CSQ16" s="2"/>
      <c r="CSR16" s="2"/>
      <c r="CSS16" s="2"/>
      <c r="CST16" s="2"/>
      <c r="CSU16" s="2"/>
      <c r="CSV16" s="2"/>
      <c r="CSW16" s="2"/>
      <c r="CSX16" s="2"/>
      <c r="CSY16" s="2"/>
      <c r="CSZ16" s="2"/>
      <c r="CTA16" s="2"/>
      <c r="CTB16" s="2"/>
      <c r="CTC16" s="2"/>
      <c r="CTD16" s="2"/>
      <c r="CTE16" s="2"/>
      <c r="CTF16" s="2"/>
      <c r="CTG16" s="2"/>
      <c r="CTH16" s="2"/>
      <c r="CTI16" s="2"/>
      <c r="CTJ16" s="2"/>
      <c r="CTK16" s="2"/>
      <c r="CTL16" s="2"/>
      <c r="CTM16" s="2"/>
      <c r="CTN16" s="2"/>
      <c r="CTO16" s="2"/>
      <c r="CTP16" s="2"/>
      <c r="CTQ16" s="2"/>
      <c r="CTR16" s="2"/>
      <c r="CTS16" s="2"/>
      <c r="CTT16" s="2"/>
      <c r="CTU16" s="2"/>
      <c r="CTV16" s="2"/>
      <c r="CTW16" s="2"/>
      <c r="CTX16" s="2"/>
      <c r="CTY16" s="2"/>
      <c r="CTZ16" s="2"/>
      <c r="CUA16" s="2"/>
      <c r="CUB16" s="2"/>
      <c r="CUC16" s="2"/>
      <c r="CUD16" s="2"/>
      <c r="CUE16" s="2"/>
      <c r="CUF16" s="2"/>
      <c r="CUG16" s="2"/>
      <c r="CUH16" s="2"/>
      <c r="CUI16" s="2"/>
      <c r="CUJ16" s="2"/>
      <c r="CUK16" s="2"/>
      <c r="CUL16" s="2"/>
      <c r="CUM16" s="2"/>
      <c r="CUN16" s="2"/>
      <c r="CUO16" s="2"/>
      <c r="CUP16" s="2"/>
      <c r="CUQ16" s="2"/>
      <c r="CUR16" s="2"/>
      <c r="CUS16" s="2"/>
      <c r="CUT16" s="2"/>
      <c r="CUU16" s="2"/>
      <c r="CUV16" s="2"/>
      <c r="CUW16" s="2"/>
      <c r="CUX16" s="2"/>
      <c r="CUY16" s="2"/>
      <c r="CUZ16" s="2"/>
      <c r="CVA16" s="2"/>
      <c r="CVB16" s="2"/>
      <c r="CVC16" s="2"/>
      <c r="CVD16" s="2"/>
      <c r="CVE16" s="2"/>
      <c r="CVF16" s="2"/>
      <c r="CVG16" s="2"/>
      <c r="CVH16" s="2"/>
      <c r="CVI16" s="2"/>
      <c r="CVJ16" s="2"/>
      <c r="CVK16" s="2"/>
      <c r="CVL16" s="2"/>
      <c r="CVM16" s="2"/>
      <c r="CVN16" s="2"/>
      <c r="CVO16" s="2"/>
      <c r="CVP16" s="2"/>
      <c r="CVQ16" s="2"/>
      <c r="CVR16" s="2"/>
      <c r="CVS16" s="2"/>
      <c r="CVT16" s="2"/>
      <c r="CVU16" s="2"/>
      <c r="CVV16" s="2"/>
      <c r="CVW16" s="2"/>
      <c r="CVX16" s="2"/>
      <c r="CVY16" s="2"/>
      <c r="CVZ16" s="2"/>
      <c r="CWA16" s="2"/>
      <c r="CWB16" s="2"/>
      <c r="CWC16" s="2"/>
      <c r="CWD16" s="2"/>
      <c r="CWE16" s="2"/>
      <c r="CWF16" s="2"/>
      <c r="CWG16" s="2"/>
      <c r="CWH16" s="2"/>
      <c r="CWI16" s="2"/>
      <c r="CWJ16" s="2"/>
      <c r="CWK16" s="2"/>
      <c r="CWL16" s="2"/>
      <c r="CWM16" s="2"/>
      <c r="CWN16" s="2"/>
      <c r="CWO16" s="2"/>
      <c r="CWP16" s="2"/>
      <c r="CWQ16" s="2"/>
      <c r="CWR16" s="2"/>
      <c r="CWS16" s="2"/>
      <c r="CWT16" s="2"/>
      <c r="CWU16" s="2"/>
      <c r="CWV16" s="2"/>
      <c r="CWW16" s="2"/>
      <c r="CWX16" s="2"/>
      <c r="CWY16" s="2"/>
      <c r="CWZ16" s="2"/>
      <c r="CXA16" s="2"/>
      <c r="CXB16" s="2"/>
      <c r="CXC16" s="2"/>
      <c r="CXD16" s="2"/>
      <c r="CXE16" s="2"/>
      <c r="CXF16" s="2"/>
      <c r="CXG16" s="2"/>
      <c r="CXH16" s="2"/>
      <c r="CXI16" s="2"/>
      <c r="CXJ16" s="2"/>
      <c r="CXK16" s="2"/>
      <c r="CXL16" s="2"/>
      <c r="CXM16" s="2"/>
      <c r="CXN16" s="2"/>
      <c r="CXO16" s="2"/>
      <c r="CXP16" s="2"/>
      <c r="CXQ16" s="2"/>
      <c r="CXR16" s="2"/>
      <c r="CXS16" s="2"/>
      <c r="CXT16" s="2"/>
      <c r="CXU16" s="2"/>
      <c r="CXV16" s="2"/>
      <c r="CXW16" s="2"/>
      <c r="CXX16" s="2"/>
      <c r="CXY16" s="2"/>
      <c r="CXZ16" s="2"/>
      <c r="CYA16" s="2"/>
      <c r="CYB16" s="2"/>
      <c r="CYC16" s="2"/>
      <c r="CYD16" s="2"/>
      <c r="CYE16" s="2"/>
      <c r="CYF16" s="2"/>
      <c r="CYG16" s="2"/>
      <c r="CYH16" s="2"/>
      <c r="CYI16" s="2"/>
      <c r="CYJ16" s="2"/>
      <c r="CYK16" s="2"/>
      <c r="CYL16" s="2"/>
      <c r="CYM16" s="2"/>
      <c r="CYN16" s="2"/>
      <c r="CYO16" s="2"/>
      <c r="CYP16" s="2"/>
      <c r="CYQ16" s="2"/>
      <c r="CYR16" s="2"/>
      <c r="CYS16" s="2"/>
      <c r="CYT16" s="2"/>
      <c r="CYU16" s="2"/>
      <c r="CYV16" s="2"/>
      <c r="CYW16" s="2"/>
      <c r="CYX16" s="2"/>
      <c r="CYY16" s="2"/>
      <c r="CYZ16" s="2"/>
      <c r="CZA16" s="2"/>
      <c r="CZB16" s="2"/>
      <c r="CZC16" s="2"/>
      <c r="CZD16" s="2"/>
      <c r="CZE16" s="2"/>
      <c r="CZF16" s="2"/>
      <c r="CZG16" s="2"/>
      <c r="CZH16" s="2"/>
      <c r="CZI16" s="2"/>
      <c r="CZJ16" s="2"/>
      <c r="CZK16" s="2"/>
      <c r="CZL16" s="2"/>
      <c r="CZM16" s="2"/>
      <c r="CZN16" s="2"/>
      <c r="CZO16" s="2"/>
      <c r="CZP16" s="2"/>
      <c r="CZQ16" s="2"/>
      <c r="CZR16" s="2"/>
      <c r="CZS16" s="2"/>
      <c r="CZT16" s="2"/>
      <c r="CZU16" s="2"/>
      <c r="CZV16" s="2"/>
      <c r="CZW16" s="2"/>
      <c r="CZX16" s="2"/>
      <c r="CZY16" s="2"/>
      <c r="CZZ16" s="2"/>
      <c r="DAA16" s="2"/>
      <c r="DAB16" s="2"/>
      <c r="DAC16" s="2"/>
      <c r="DAD16" s="2"/>
      <c r="DAE16" s="2"/>
      <c r="DAF16" s="2"/>
      <c r="DAG16" s="2"/>
      <c r="DAH16" s="2"/>
      <c r="DAI16" s="2"/>
      <c r="DAJ16" s="2"/>
      <c r="DAK16" s="2"/>
      <c r="DAL16" s="2"/>
      <c r="DAM16" s="2"/>
      <c r="DAN16" s="2"/>
      <c r="DAO16" s="2"/>
      <c r="DAP16" s="2"/>
      <c r="DAQ16" s="2"/>
      <c r="DAR16" s="2"/>
      <c r="DAS16" s="2"/>
      <c r="DAT16" s="2"/>
      <c r="DAU16" s="2"/>
      <c r="DAV16" s="2"/>
      <c r="DAW16" s="2"/>
      <c r="DAX16" s="2"/>
      <c r="DAY16" s="2"/>
      <c r="DAZ16" s="2"/>
      <c r="DBA16" s="2"/>
      <c r="DBB16" s="2"/>
      <c r="DBC16" s="2"/>
      <c r="DBD16" s="2"/>
      <c r="DBE16" s="2"/>
      <c r="DBF16" s="2"/>
      <c r="DBG16" s="2"/>
      <c r="DBH16" s="2"/>
      <c r="DBI16" s="2"/>
      <c r="DBJ16" s="2"/>
      <c r="DBK16" s="2"/>
      <c r="DBL16" s="2"/>
      <c r="DBM16" s="2"/>
      <c r="DBN16" s="2"/>
      <c r="DBO16" s="2"/>
      <c r="DBP16" s="2"/>
      <c r="DBQ16" s="2"/>
      <c r="DBR16" s="2"/>
      <c r="DBS16" s="2"/>
      <c r="DBT16" s="2"/>
      <c r="DBU16" s="2"/>
      <c r="DBV16" s="2"/>
      <c r="DBW16" s="2"/>
      <c r="DBX16" s="2"/>
      <c r="DBY16" s="2"/>
      <c r="DBZ16" s="2"/>
      <c r="DCA16" s="2"/>
      <c r="DCB16" s="2"/>
      <c r="DCC16" s="2"/>
      <c r="DCD16" s="2"/>
      <c r="DCE16" s="2"/>
      <c r="DCF16" s="2"/>
      <c r="DCG16" s="2"/>
      <c r="DCH16" s="2"/>
      <c r="DCI16" s="2"/>
      <c r="DCJ16" s="2"/>
      <c r="DCK16" s="2"/>
      <c r="DCL16" s="2"/>
      <c r="DCM16" s="2"/>
      <c r="DCN16" s="2"/>
      <c r="DCO16" s="2"/>
      <c r="DCP16" s="2"/>
      <c r="DCQ16" s="2"/>
      <c r="DCR16" s="2"/>
      <c r="DCS16" s="2"/>
      <c r="DCT16" s="2"/>
      <c r="DCU16" s="2"/>
      <c r="DCV16" s="2"/>
      <c r="DCW16" s="2"/>
      <c r="DCX16" s="2"/>
      <c r="DCY16" s="2"/>
      <c r="DCZ16" s="2"/>
      <c r="DDA16" s="2"/>
      <c r="DDB16" s="2"/>
      <c r="DDC16" s="2"/>
      <c r="DDD16" s="2"/>
      <c r="DDE16" s="2"/>
      <c r="DDF16" s="2"/>
      <c r="DDG16" s="2"/>
      <c r="DDH16" s="2"/>
      <c r="DDI16" s="2"/>
      <c r="DDJ16" s="2"/>
      <c r="DDK16" s="2"/>
      <c r="DDL16" s="2"/>
      <c r="DDM16" s="2"/>
      <c r="DDN16" s="2"/>
      <c r="DDO16" s="2"/>
      <c r="DDP16" s="2"/>
      <c r="DDQ16" s="2"/>
      <c r="DDR16" s="2"/>
      <c r="DDS16" s="2"/>
      <c r="DDT16" s="2"/>
      <c r="DDU16" s="2"/>
      <c r="DDV16" s="2"/>
      <c r="DDW16" s="2"/>
      <c r="DDX16" s="2"/>
      <c r="DDY16" s="2"/>
      <c r="DDZ16" s="2"/>
      <c r="DEA16" s="2"/>
      <c r="DEB16" s="2"/>
      <c r="DEC16" s="2"/>
      <c r="DED16" s="2"/>
      <c r="DEE16" s="2"/>
      <c r="DEF16" s="2"/>
      <c r="DEG16" s="2"/>
      <c r="DEH16" s="2"/>
      <c r="DEI16" s="2"/>
      <c r="DEJ16" s="2"/>
      <c r="DEK16" s="2"/>
      <c r="DEL16" s="2"/>
      <c r="DEM16" s="2"/>
      <c r="DEN16" s="2"/>
      <c r="DEO16" s="2"/>
      <c r="DEP16" s="2"/>
      <c r="DEQ16" s="2"/>
      <c r="DER16" s="2"/>
      <c r="DES16" s="2"/>
      <c r="DET16" s="2"/>
      <c r="DEU16" s="2"/>
      <c r="DEV16" s="2"/>
      <c r="DEW16" s="2"/>
      <c r="DEX16" s="2"/>
      <c r="DEY16" s="2"/>
      <c r="DEZ16" s="2"/>
      <c r="DFA16" s="2"/>
      <c r="DFB16" s="2"/>
      <c r="DFC16" s="2"/>
      <c r="DFD16" s="2"/>
      <c r="DFE16" s="2"/>
      <c r="DFF16" s="2"/>
      <c r="DFG16" s="2"/>
      <c r="DFH16" s="2"/>
      <c r="DFI16" s="2"/>
      <c r="DFJ16" s="2"/>
      <c r="DFK16" s="2"/>
      <c r="DFL16" s="2"/>
      <c r="DFM16" s="2"/>
      <c r="DFN16" s="2"/>
      <c r="DFO16" s="2"/>
      <c r="DFP16" s="2"/>
      <c r="DFQ16" s="2"/>
      <c r="DFR16" s="2"/>
      <c r="DFS16" s="2"/>
      <c r="DFT16" s="2"/>
      <c r="DFU16" s="2"/>
      <c r="DFV16" s="2"/>
      <c r="DFW16" s="2"/>
      <c r="DFX16" s="2"/>
      <c r="DFY16" s="2"/>
      <c r="DFZ16" s="2"/>
      <c r="DGA16" s="2"/>
      <c r="DGB16" s="2"/>
      <c r="DGC16" s="2"/>
      <c r="DGD16" s="2"/>
      <c r="DGE16" s="2"/>
      <c r="DGF16" s="2"/>
      <c r="DGG16" s="2"/>
      <c r="DGH16" s="2"/>
      <c r="DGI16" s="2"/>
      <c r="DGJ16" s="2"/>
      <c r="DGK16" s="2"/>
      <c r="DGL16" s="2"/>
      <c r="DGM16" s="2"/>
      <c r="DGN16" s="2"/>
      <c r="DGO16" s="2"/>
      <c r="DGP16" s="2"/>
      <c r="DGQ16" s="2"/>
      <c r="DGR16" s="2"/>
      <c r="DGS16" s="2"/>
      <c r="DGT16" s="2"/>
      <c r="DGU16" s="2"/>
      <c r="DGV16" s="2"/>
      <c r="DGW16" s="2"/>
      <c r="DGX16" s="2"/>
      <c r="DGY16" s="2"/>
      <c r="DGZ16" s="2"/>
      <c r="DHA16" s="2"/>
      <c r="DHB16" s="2"/>
      <c r="DHC16" s="2"/>
      <c r="DHD16" s="2"/>
      <c r="DHE16" s="2"/>
      <c r="DHF16" s="2"/>
      <c r="DHG16" s="2"/>
      <c r="DHH16" s="2"/>
      <c r="DHI16" s="2"/>
      <c r="DHJ16" s="2"/>
      <c r="DHK16" s="2"/>
      <c r="DHL16" s="2"/>
      <c r="DHM16" s="2"/>
      <c r="DHN16" s="2"/>
      <c r="DHO16" s="2"/>
      <c r="DHP16" s="2"/>
      <c r="DHQ16" s="2"/>
      <c r="DHR16" s="2"/>
      <c r="DHS16" s="2"/>
      <c r="DHT16" s="2"/>
      <c r="DHU16" s="2"/>
      <c r="DHV16" s="2"/>
      <c r="DHW16" s="2"/>
      <c r="DHX16" s="2"/>
      <c r="DHY16" s="2"/>
      <c r="DHZ16" s="2"/>
      <c r="DIA16" s="2"/>
      <c r="DIB16" s="2"/>
      <c r="DIC16" s="2"/>
      <c r="DID16" s="2"/>
      <c r="DIE16" s="2"/>
      <c r="DIF16" s="2"/>
      <c r="DIG16" s="2"/>
      <c r="DIH16" s="2"/>
      <c r="DII16" s="2"/>
      <c r="DIJ16" s="2"/>
      <c r="DIK16" s="2"/>
      <c r="DIL16" s="2"/>
      <c r="DIM16" s="2"/>
      <c r="DIN16" s="2"/>
      <c r="DIO16" s="2"/>
      <c r="DIP16" s="2"/>
      <c r="DIQ16" s="2"/>
      <c r="DIR16" s="2"/>
      <c r="DIS16" s="2"/>
      <c r="DIT16" s="2"/>
      <c r="DIU16" s="2"/>
      <c r="DIV16" s="2"/>
      <c r="DIW16" s="2"/>
      <c r="DIX16" s="2"/>
      <c r="DIY16" s="2"/>
      <c r="DIZ16" s="2"/>
      <c r="DJA16" s="2"/>
      <c r="DJB16" s="2"/>
      <c r="DJC16" s="2"/>
      <c r="DJD16" s="2"/>
      <c r="DJE16" s="2"/>
      <c r="DJF16" s="2"/>
      <c r="DJG16" s="2"/>
      <c r="DJH16" s="2"/>
      <c r="DJI16" s="2"/>
      <c r="DJJ16" s="2"/>
      <c r="DJK16" s="2"/>
      <c r="DJL16" s="2"/>
      <c r="DJM16" s="2"/>
      <c r="DJN16" s="2"/>
      <c r="DJO16" s="2"/>
      <c r="DJP16" s="2"/>
      <c r="DJQ16" s="2"/>
      <c r="DJR16" s="2"/>
      <c r="DJS16" s="2"/>
      <c r="DJT16" s="2"/>
      <c r="DJU16" s="2"/>
      <c r="DJV16" s="2"/>
      <c r="DJW16" s="2"/>
      <c r="DJX16" s="2"/>
      <c r="DJY16" s="2"/>
      <c r="DJZ16" s="2"/>
      <c r="DKA16" s="2"/>
      <c r="DKB16" s="2"/>
      <c r="DKC16" s="2"/>
      <c r="DKD16" s="2"/>
      <c r="DKE16" s="2"/>
      <c r="DKF16" s="2"/>
      <c r="DKG16" s="2"/>
      <c r="DKH16" s="2"/>
      <c r="DKI16" s="2"/>
      <c r="DKJ16" s="2"/>
      <c r="DKK16" s="2"/>
      <c r="DKL16" s="2"/>
      <c r="DKM16" s="2"/>
      <c r="DKN16" s="2"/>
      <c r="DKO16" s="2"/>
      <c r="DKP16" s="2"/>
      <c r="DKQ16" s="2"/>
      <c r="DKR16" s="2"/>
      <c r="DKS16" s="2"/>
      <c r="DKT16" s="2"/>
      <c r="DKU16" s="2"/>
      <c r="DKV16" s="2"/>
      <c r="DKW16" s="2"/>
      <c r="DKX16" s="2"/>
      <c r="DKY16" s="2"/>
      <c r="DKZ16" s="2"/>
      <c r="DLA16" s="2"/>
      <c r="DLB16" s="2"/>
      <c r="DLC16" s="2"/>
      <c r="DLD16" s="2"/>
      <c r="DLE16" s="2"/>
      <c r="DLF16" s="2"/>
      <c r="DLG16" s="2"/>
      <c r="DLH16" s="2"/>
      <c r="DLI16" s="2"/>
      <c r="DLJ16" s="2"/>
      <c r="DLK16" s="2"/>
      <c r="DLL16" s="2"/>
      <c r="DLM16" s="2"/>
      <c r="DLN16" s="2"/>
      <c r="DLO16" s="2"/>
      <c r="DLP16" s="2"/>
      <c r="DLQ16" s="2"/>
      <c r="DLR16" s="2"/>
      <c r="DLS16" s="2"/>
      <c r="DLT16" s="2"/>
      <c r="DLU16" s="2"/>
      <c r="DLV16" s="2"/>
      <c r="DLW16" s="2"/>
      <c r="DLX16" s="2"/>
      <c r="DLY16" s="2"/>
      <c r="DLZ16" s="2"/>
      <c r="DMA16" s="2"/>
      <c r="DMB16" s="2"/>
      <c r="DMC16" s="2"/>
      <c r="DMD16" s="2"/>
      <c r="DME16" s="2"/>
      <c r="DMF16" s="2"/>
      <c r="DMG16" s="2"/>
      <c r="DMH16" s="2"/>
      <c r="DMI16" s="2"/>
      <c r="DMJ16" s="2"/>
      <c r="DMK16" s="2"/>
      <c r="DML16" s="2"/>
      <c r="DMM16" s="2"/>
      <c r="DMN16" s="2"/>
      <c r="DMO16" s="2"/>
      <c r="DMP16" s="2"/>
      <c r="DMQ16" s="2"/>
      <c r="DMR16" s="2"/>
      <c r="DMS16" s="2"/>
      <c r="DMT16" s="2"/>
      <c r="DMU16" s="2"/>
      <c r="DMV16" s="2"/>
      <c r="DMW16" s="2"/>
      <c r="DMX16" s="2"/>
      <c r="DMY16" s="2"/>
      <c r="DMZ16" s="2"/>
      <c r="DNA16" s="2"/>
      <c r="DNB16" s="2"/>
      <c r="DNC16" s="2"/>
      <c r="DND16" s="2"/>
      <c r="DNE16" s="2"/>
      <c r="DNF16" s="2"/>
      <c r="DNG16" s="2"/>
      <c r="DNH16" s="2"/>
      <c r="DNI16" s="2"/>
      <c r="DNJ16" s="2"/>
      <c r="DNK16" s="2"/>
      <c r="DNL16" s="2"/>
      <c r="DNM16" s="2"/>
      <c r="DNN16" s="2"/>
      <c r="DNO16" s="2"/>
      <c r="DNP16" s="2"/>
      <c r="DNQ16" s="2"/>
      <c r="DNR16" s="2"/>
      <c r="DNS16" s="2"/>
      <c r="DNT16" s="2"/>
      <c r="DNU16" s="2"/>
      <c r="DNV16" s="2"/>
      <c r="DNW16" s="2"/>
      <c r="DNX16" s="2"/>
      <c r="DNY16" s="2"/>
      <c r="DNZ16" s="2"/>
      <c r="DOA16" s="2"/>
      <c r="DOB16" s="2"/>
      <c r="DOC16" s="2"/>
      <c r="DOD16" s="2"/>
      <c r="DOE16" s="2"/>
      <c r="DOF16" s="2"/>
      <c r="DOG16" s="2"/>
      <c r="DOH16" s="2"/>
      <c r="DOI16" s="2"/>
      <c r="DOJ16" s="2"/>
      <c r="DOK16" s="2"/>
      <c r="DOL16" s="2"/>
      <c r="DOM16" s="2"/>
      <c r="DON16" s="2"/>
      <c r="DOO16" s="2"/>
      <c r="DOP16" s="2"/>
      <c r="DOQ16" s="2"/>
      <c r="DOR16" s="2"/>
      <c r="DOS16" s="2"/>
      <c r="DOT16" s="2"/>
      <c r="DOU16" s="2"/>
      <c r="DOV16" s="2"/>
      <c r="DOW16" s="2"/>
      <c r="DOX16" s="2"/>
      <c r="DOY16" s="2"/>
      <c r="DOZ16" s="2"/>
      <c r="DPA16" s="2"/>
      <c r="DPB16" s="2"/>
      <c r="DPC16" s="2"/>
      <c r="DPD16" s="2"/>
      <c r="DPE16" s="2"/>
      <c r="DPF16" s="2"/>
      <c r="DPG16" s="2"/>
      <c r="DPH16" s="2"/>
      <c r="DPI16" s="2"/>
      <c r="DPJ16" s="2"/>
      <c r="DPK16" s="2"/>
      <c r="DPL16" s="2"/>
      <c r="DPM16" s="2"/>
      <c r="DPN16" s="2"/>
      <c r="DPO16" s="2"/>
      <c r="DPP16" s="2"/>
      <c r="DPQ16" s="2"/>
      <c r="DPR16" s="2"/>
      <c r="DPS16" s="2"/>
      <c r="DPT16" s="2"/>
      <c r="DPU16" s="2"/>
      <c r="DPV16" s="2"/>
      <c r="DPW16" s="2"/>
      <c r="DPX16" s="2"/>
      <c r="DPY16" s="2"/>
      <c r="DPZ16" s="2"/>
      <c r="DQA16" s="2"/>
      <c r="DQB16" s="2"/>
      <c r="DQC16" s="2"/>
      <c r="DQD16" s="2"/>
      <c r="DQE16" s="2"/>
      <c r="DQF16" s="2"/>
      <c r="DQG16" s="2"/>
      <c r="DQH16" s="2"/>
      <c r="DQI16" s="2"/>
      <c r="DQJ16" s="2"/>
      <c r="DQK16" s="2"/>
      <c r="DQL16" s="2"/>
      <c r="DQM16" s="2"/>
      <c r="DQN16" s="2"/>
      <c r="DQO16" s="2"/>
      <c r="DQP16" s="2"/>
      <c r="DQQ16" s="2"/>
      <c r="DQR16" s="2"/>
      <c r="DQS16" s="2"/>
      <c r="DQT16" s="2"/>
      <c r="DQU16" s="2"/>
      <c r="DQV16" s="2"/>
      <c r="DQW16" s="2"/>
      <c r="DQX16" s="2"/>
      <c r="DQY16" s="2"/>
      <c r="DQZ16" s="2"/>
      <c r="DRA16" s="2"/>
      <c r="DRB16" s="2"/>
      <c r="DRC16" s="2"/>
      <c r="DRD16" s="2"/>
      <c r="DRE16" s="2"/>
      <c r="DRF16" s="2"/>
      <c r="DRG16" s="2"/>
      <c r="DRH16" s="2"/>
      <c r="DRI16" s="2"/>
      <c r="DRJ16" s="2"/>
      <c r="DRK16" s="2"/>
      <c r="DRL16" s="2"/>
      <c r="DRM16" s="2"/>
      <c r="DRN16" s="2"/>
      <c r="DRO16" s="2"/>
      <c r="DRP16" s="2"/>
      <c r="DRQ16" s="2"/>
      <c r="DRR16" s="2"/>
      <c r="DRS16" s="2"/>
      <c r="DRT16" s="2"/>
      <c r="DRU16" s="2"/>
      <c r="DRV16" s="2"/>
      <c r="DRW16" s="2"/>
      <c r="DRX16" s="2"/>
      <c r="DRY16" s="2"/>
      <c r="DRZ16" s="2"/>
      <c r="DSA16" s="2"/>
      <c r="DSB16" s="2"/>
      <c r="DSC16" s="2"/>
      <c r="DSD16" s="2"/>
      <c r="DSE16" s="2"/>
      <c r="DSF16" s="2"/>
      <c r="DSG16" s="2"/>
      <c r="DSH16" s="2"/>
      <c r="DSI16" s="2"/>
      <c r="DSJ16" s="2"/>
      <c r="DSK16" s="2"/>
      <c r="DSL16" s="2"/>
      <c r="DSM16" s="2"/>
      <c r="DSN16" s="2"/>
      <c r="DSO16" s="2"/>
      <c r="DSP16" s="2"/>
      <c r="DSQ16" s="2"/>
      <c r="DSR16" s="2"/>
      <c r="DSS16" s="2"/>
      <c r="DST16" s="2"/>
      <c r="DSU16" s="2"/>
      <c r="DSV16" s="2"/>
      <c r="DSW16" s="2"/>
      <c r="DSX16" s="2"/>
      <c r="DSY16" s="2"/>
      <c r="DSZ16" s="2"/>
      <c r="DTA16" s="2"/>
      <c r="DTB16" s="2"/>
      <c r="DTC16" s="2"/>
      <c r="DTD16" s="2"/>
      <c r="DTE16" s="2"/>
      <c r="DTF16" s="2"/>
      <c r="DTG16" s="2"/>
      <c r="DTH16" s="2"/>
      <c r="DTI16" s="2"/>
      <c r="DTJ16" s="2"/>
      <c r="DTK16" s="2"/>
      <c r="DTL16" s="2"/>
      <c r="DTM16" s="2"/>
      <c r="DTN16" s="2"/>
      <c r="DTO16" s="2"/>
      <c r="DTP16" s="2"/>
      <c r="DTQ16" s="2"/>
      <c r="DTR16" s="2"/>
      <c r="DTS16" s="2"/>
      <c r="DTT16" s="2"/>
      <c r="DTU16" s="2"/>
      <c r="DTV16" s="2"/>
      <c r="DTW16" s="2"/>
      <c r="DTX16" s="2"/>
      <c r="DTY16" s="2"/>
      <c r="DTZ16" s="2"/>
      <c r="DUA16" s="2"/>
      <c r="DUB16" s="2"/>
      <c r="DUC16" s="2"/>
      <c r="DUD16" s="2"/>
      <c r="DUE16" s="2"/>
      <c r="DUF16" s="2"/>
      <c r="DUG16" s="2"/>
      <c r="DUH16" s="2"/>
      <c r="DUI16" s="2"/>
      <c r="DUJ16" s="2"/>
      <c r="DUK16" s="2"/>
      <c r="DUL16" s="2"/>
      <c r="DUM16" s="2"/>
      <c r="DUN16" s="2"/>
      <c r="DUO16" s="2"/>
      <c r="DUP16" s="2"/>
      <c r="DUQ16" s="2"/>
      <c r="DUR16" s="2"/>
      <c r="DUS16" s="2"/>
      <c r="DUT16" s="2"/>
      <c r="DUU16" s="2"/>
      <c r="DUV16" s="2"/>
      <c r="DUW16" s="2"/>
      <c r="DUX16" s="2"/>
      <c r="DUY16" s="2"/>
      <c r="DUZ16" s="2"/>
      <c r="DVA16" s="2"/>
      <c r="DVB16" s="2"/>
      <c r="DVC16" s="2"/>
      <c r="DVD16" s="2"/>
      <c r="DVE16" s="2"/>
      <c r="DVF16" s="2"/>
      <c r="DVG16" s="2"/>
      <c r="DVH16" s="2"/>
      <c r="DVI16" s="2"/>
      <c r="DVJ16" s="2"/>
      <c r="DVK16" s="2"/>
      <c r="DVL16" s="2"/>
      <c r="DVM16" s="2"/>
      <c r="DVN16" s="2"/>
      <c r="DVO16" s="2"/>
      <c r="DVP16" s="2"/>
      <c r="DVQ16" s="2"/>
      <c r="DVR16" s="2"/>
      <c r="DVS16" s="2"/>
      <c r="DVT16" s="2"/>
      <c r="DVU16" s="2"/>
      <c r="DVV16" s="2"/>
      <c r="DVW16" s="2"/>
      <c r="DVX16" s="2"/>
      <c r="DVY16" s="2"/>
      <c r="DVZ16" s="2"/>
      <c r="DWA16" s="2"/>
      <c r="DWB16" s="2"/>
      <c r="DWC16" s="2"/>
      <c r="DWD16" s="2"/>
      <c r="DWE16" s="2"/>
      <c r="DWF16" s="2"/>
      <c r="DWG16" s="2"/>
      <c r="DWH16" s="2"/>
      <c r="DWI16" s="2"/>
      <c r="DWJ16" s="2"/>
      <c r="DWK16" s="2"/>
      <c r="DWL16" s="2"/>
      <c r="DWM16" s="2"/>
      <c r="DWN16" s="2"/>
      <c r="DWO16" s="2"/>
      <c r="DWP16" s="2"/>
      <c r="DWQ16" s="2"/>
      <c r="DWR16" s="2"/>
      <c r="DWS16" s="2"/>
      <c r="DWT16" s="2"/>
      <c r="DWU16" s="2"/>
      <c r="DWV16" s="2"/>
      <c r="DWW16" s="2"/>
      <c r="DWX16" s="2"/>
      <c r="DWY16" s="2"/>
      <c r="DWZ16" s="2"/>
      <c r="DXA16" s="2"/>
      <c r="DXB16" s="2"/>
      <c r="DXC16" s="2"/>
      <c r="DXD16" s="2"/>
      <c r="DXE16" s="2"/>
      <c r="DXF16" s="2"/>
      <c r="DXG16" s="2"/>
      <c r="DXH16" s="2"/>
      <c r="DXI16" s="2"/>
      <c r="DXJ16" s="2"/>
      <c r="DXK16" s="2"/>
      <c r="DXL16" s="2"/>
      <c r="DXM16" s="2"/>
      <c r="DXN16" s="2"/>
      <c r="DXO16" s="2"/>
      <c r="DXP16" s="2"/>
      <c r="DXQ16" s="2"/>
      <c r="DXR16" s="2"/>
      <c r="DXS16" s="2"/>
      <c r="DXT16" s="2"/>
      <c r="DXU16" s="2"/>
      <c r="DXV16" s="2"/>
      <c r="DXW16" s="2"/>
      <c r="DXX16" s="2"/>
      <c r="DXY16" s="2"/>
      <c r="DXZ16" s="2"/>
      <c r="DYA16" s="2"/>
      <c r="DYB16" s="2"/>
      <c r="DYC16" s="2"/>
      <c r="DYD16" s="2"/>
      <c r="DYE16" s="2"/>
      <c r="DYF16" s="2"/>
      <c r="DYG16" s="2"/>
      <c r="DYH16" s="2"/>
      <c r="DYI16" s="2"/>
      <c r="DYJ16" s="2"/>
      <c r="DYK16" s="2"/>
      <c r="DYL16" s="2"/>
      <c r="DYM16" s="2"/>
      <c r="DYN16" s="2"/>
      <c r="DYO16" s="2"/>
      <c r="DYP16" s="2"/>
      <c r="DYQ16" s="2"/>
      <c r="DYR16" s="2"/>
      <c r="DYS16" s="2"/>
      <c r="DYT16" s="2"/>
      <c r="DYU16" s="2"/>
      <c r="DYV16" s="2"/>
      <c r="DYW16" s="2"/>
      <c r="DYX16" s="2"/>
      <c r="DYY16" s="2"/>
      <c r="DYZ16" s="2"/>
      <c r="DZA16" s="2"/>
      <c r="DZB16" s="2"/>
      <c r="DZC16" s="2"/>
      <c r="DZD16" s="2"/>
      <c r="DZE16" s="2"/>
      <c r="DZF16" s="2"/>
      <c r="DZG16" s="2"/>
      <c r="DZH16" s="2"/>
      <c r="DZI16" s="2"/>
      <c r="DZJ16" s="2"/>
      <c r="DZK16" s="2"/>
      <c r="DZL16" s="2"/>
      <c r="DZM16" s="2"/>
      <c r="DZN16" s="2"/>
      <c r="DZO16" s="2"/>
      <c r="DZP16" s="2"/>
      <c r="DZQ16" s="2"/>
      <c r="DZR16" s="2"/>
      <c r="DZS16" s="2"/>
      <c r="DZT16" s="2"/>
      <c r="DZU16" s="2"/>
      <c r="DZV16" s="2"/>
      <c r="DZW16" s="2"/>
      <c r="DZX16" s="2"/>
      <c r="DZY16" s="2"/>
      <c r="DZZ16" s="2"/>
      <c r="EAA16" s="2"/>
      <c r="EAB16" s="2"/>
      <c r="EAC16" s="2"/>
      <c r="EAD16" s="2"/>
      <c r="EAE16" s="2"/>
      <c r="EAF16" s="2"/>
      <c r="EAG16" s="2"/>
      <c r="EAH16" s="2"/>
      <c r="EAI16" s="2"/>
      <c r="EAJ16" s="2"/>
      <c r="EAK16" s="2"/>
      <c r="EAL16" s="2"/>
      <c r="EAM16" s="2"/>
      <c r="EAN16" s="2"/>
      <c r="EAO16" s="2"/>
      <c r="EAP16" s="2"/>
      <c r="EAQ16" s="2"/>
      <c r="EAR16" s="2"/>
      <c r="EAS16" s="2"/>
      <c r="EAT16" s="2"/>
      <c r="EAU16" s="2"/>
      <c r="EAV16" s="2"/>
      <c r="EAW16" s="2"/>
      <c r="EAX16" s="2"/>
      <c r="EAY16" s="2"/>
      <c r="EAZ16" s="2"/>
      <c r="EBA16" s="2"/>
      <c r="EBB16" s="2"/>
      <c r="EBC16" s="2"/>
      <c r="EBD16" s="2"/>
      <c r="EBE16" s="2"/>
      <c r="EBF16" s="2"/>
      <c r="EBG16" s="2"/>
      <c r="EBH16" s="2"/>
      <c r="EBI16" s="2"/>
      <c r="EBJ16" s="2"/>
      <c r="EBK16" s="2"/>
      <c r="EBL16" s="2"/>
      <c r="EBM16" s="2"/>
      <c r="EBN16" s="2"/>
      <c r="EBO16" s="2"/>
      <c r="EBP16" s="2"/>
      <c r="EBQ16" s="2"/>
      <c r="EBR16" s="2"/>
      <c r="EBS16" s="2"/>
      <c r="EBT16" s="2"/>
      <c r="EBU16" s="2"/>
      <c r="EBV16" s="2"/>
      <c r="EBW16" s="2"/>
      <c r="EBX16" s="2"/>
      <c r="EBY16" s="2"/>
      <c r="EBZ16" s="2"/>
      <c r="ECA16" s="2"/>
      <c r="ECB16" s="2"/>
      <c r="ECC16" s="2"/>
      <c r="ECD16" s="2"/>
      <c r="ECE16" s="2"/>
      <c r="ECF16" s="2"/>
      <c r="ECG16" s="2"/>
      <c r="ECH16" s="2"/>
      <c r="ECI16" s="2"/>
      <c r="ECJ16" s="2"/>
      <c r="ECK16" s="2"/>
      <c r="ECL16" s="2"/>
      <c r="ECM16" s="2"/>
      <c r="ECN16" s="2"/>
      <c r="ECO16" s="2"/>
      <c r="ECP16" s="2"/>
      <c r="ECQ16" s="2"/>
      <c r="ECR16" s="2"/>
      <c r="ECS16" s="2"/>
      <c r="ECT16" s="2"/>
      <c r="ECU16" s="2"/>
      <c r="ECV16" s="2"/>
      <c r="ECW16" s="2"/>
      <c r="ECX16" s="2"/>
      <c r="ECY16" s="2"/>
      <c r="ECZ16" s="2"/>
      <c r="EDA16" s="2"/>
      <c r="EDB16" s="2"/>
      <c r="EDC16" s="2"/>
      <c r="EDD16" s="2"/>
      <c r="EDE16" s="2"/>
      <c r="EDF16" s="2"/>
      <c r="EDG16" s="2"/>
      <c r="EDH16" s="2"/>
      <c r="EDI16" s="2"/>
      <c r="EDJ16" s="2"/>
      <c r="EDK16" s="2"/>
      <c r="EDL16" s="2"/>
      <c r="EDM16" s="2"/>
      <c r="EDN16" s="2"/>
      <c r="EDO16" s="2"/>
      <c r="EDP16" s="2"/>
      <c r="EDQ16" s="2"/>
      <c r="EDR16" s="2"/>
      <c r="EDS16" s="2"/>
      <c r="EDT16" s="2"/>
      <c r="EDU16" s="2"/>
      <c r="EDV16" s="2"/>
      <c r="EDW16" s="2"/>
      <c r="EDX16" s="2"/>
      <c r="EDY16" s="2"/>
      <c r="EDZ16" s="2"/>
      <c r="EEA16" s="2"/>
      <c r="EEB16" s="2"/>
      <c r="EEC16" s="2"/>
      <c r="EED16" s="2"/>
      <c r="EEE16" s="2"/>
      <c r="EEF16" s="2"/>
      <c r="EEG16" s="2"/>
      <c r="EEH16" s="2"/>
      <c r="EEI16" s="2"/>
      <c r="EEJ16" s="2"/>
      <c r="EEK16" s="2"/>
      <c r="EEL16" s="2"/>
      <c r="EEM16" s="2"/>
      <c r="EEN16" s="2"/>
      <c r="EEO16" s="2"/>
      <c r="EEP16" s="2"/>
      <c r="EEQ16" s="2"/>
      <c r="EER16" s="2"/>
      <c r="EES16" s="2"/>
      <c r="EET16" s="2"/>
      <c r="EEU16" s="2"/>
      <c r="EEV16" s="2"/>
      <c r="EEW16" s="2"/>
      <c r="EEX16" s="2"/>
      <c r="EEY16" s="2"/>
      <c r="EEZ16" s="2"/>
      <c r="EFA16" s="2"/>
      <c r="EFB16" s="2"/>
      <c r="EFC16" s="2"/>
      <c r="EFD16" s="2"/>
      <c r="EFE16" s="2"/>
      <c r="EFF16" s="2"/>
      <c r="EFG16" s="2"/>
      <c r="EFH16" s="2"/>
      <c r="EFI16" s="2"/>
      <c r="EFJ16" s="2"/>
      <c r="EFK16" s="2"/>
      <c r="EFL16" s="2"/>
      <c r="EFM16" s="2"/>
      <c r="EFN16" s="2"/>
      <c r="EFO16" s="2"/>
      <c r="EFP16" s="2"/>
      <c r="EFQ16" s="2"/>
      <c r="EFR16" s="2"/>
      <c r="EFS16" s="2"/>
      <c r="EFT16" s="2"/>
      <c r="EFU16" s="2"/>
      <c r="EFV16" s="2"/>
      <c r="EFW16" s="2"/>
      <c r="EFX16" s="2"/>
      <c r="EFY16" s="2"/>
      <c r="EFZ16" s="2"/>
      <c r="EGA16" s="2"/>
      <c r="EGB16" s="2"/>
      <c r="EGC16" s="2"/>
      <c r="EGD16" s="2"/>
      <c r="EGE16" s="2"/>
      <c r="EGF16" s="2"/>
      <c r="EGG16" s="2"/>
      <c r="EGH16" s="2"/>
      <c r="EGI16" s="2"/>
      <c r="EGJ16" s="2"/>
      <c r="EGK16" s="2"/>
      <c r="EGL16" s="2"/>
      <c r="EGM16" s="2"/>
      <c r="EGN16" s="2"/>
      <c r="EGO16" s="2"/>
      <c r="EGP16" s="2"/>
      <c r="EGQ16" s="2"/>
      <c r="EGR16" s="2"/>
      <c r="EGS16" s="2"/>
      <c r="EGT16" s="2"/>
      <c r="EGU16" s="2"/>
      <c r="EGV16" s="2"/>
      <c r="EGW16" s="2"/>
      <c r="EGX16" s="2"/>
      <c r="EGY16" s="2"/>
      <c r="EGZ16" s="2"/>
      <c r="EHA16" s="2"/>
      <c r="EHB16" s="2"/>
      <c r="EHC16" s="2"/>
      <c r="EHD16" s="2"/>
      <c r="EHE16" s="2"/>
      <c r="EHF16" s="2"/>
      <c r="EHG16" s="2"/>
      <c r="EHH16" s="2"/>
      <c r="EHI16" s="2"/>
      <c r="EHJ16" s="2"/>
      <c r="EHK16" s="2"/>
      <c r="EHL16" s="2"/>
      <c r="EHM16" s="2"/>
      <c r="EHN16" s="2"/>
      <c r="EHO16" s="2"/>
      <c r="EHP16" s="2"/>
      <c r="EHQ16" s="2"/>
      <c r="EHR16" s="2"/>
      <c r="EHS16" s="2"/>
      <c r="EHT16" s="2"/>
      <c r="EHU16" s="2"/>
      <c r="EHV16" s="2"/>
      <c r="EHW16" s="2"/>
      <c r="EHX16" s="2"/>
      <c r="EHY16" s="2"/>
      <c r="EHZ16" s="2"/>
      <c r="EIA16" s="2"/>
      <c r="EIB16" s="2"/>
      <c r="EIC16" s="2"/>
      <c r="EID16" s="2"/>
      <c r="EIE16" s="2"/>
      <c r="EIF16" s="2"/>
      <c r="EIG16" s="2"/>
      <c r="EIH16" s="2"/>
      <c r="EII16" s="2"/>
      <c r="EIJ16" s="2"/>
      <c r="EIK16" s="2"/>
      <c r="EIL16" s="2"/>
      <c r="EIM16" s="2"/>
      <c r="EIN16" s="2"/>
      <c r="EIO16" s="2"/>
      <c r="EIP16" s="2"/>
      <c r="EIQ16" s="2"/>
      <c r="EIR16" s="2"/>
      <c r="EIS16" s="2"/>
      <c r="EIT16" s="2"/>
      <c r="EIU16" s="2"/>
      <c r="EIV16" s="2"/>
      <c r="EIW16" s="2"/>
      <c r="EIX16" s="2"/>
      <c r="EIY16" s="2"/>
      <c r="EIZ16" s="2"/>
      <c r="EJA16" s="2"/>
      <c r="EJB16" s="2"/>
      <c r="EJC16" s="2"/>
      <c r="EJD16" s="2"/>
      <c r="EJE16" s="2"/>
      <c r="EJF16" s="2"/>
      <c r="EJG16" s="2"/>
      <c r="EJH16" s="2"/>
      <c r="EJI16" s="2"/>
      <c r="EJJ16" s="2"/>
      <c r="EJK16" s="2"/>
      <c r="EJL16" s="2"/>
      <c r="EJM16" s="2"/>
      <c r="EJN16" s="2"/>
      <c r="EJO16" s="2"/>
      <c r="EJP16" s="2"/>
      <c r="EJQ16" s="2"/>
      <c r="EJR16" s="2"/>
      <c r="EJS16" s="2"/>
      <c r="EJT16" s="2"/>
      <c r="EJU16" s="2"/>
      <c r="EJV16" s="2"/>
      <c r="EJW16" s="2"/>
      <c r="EJX16" s="2"/>
      <c r="EJY16" s="2"/>
      <c r="EJZ16" s="2"/>
      <c r="EKA16" s="2"/>
      <c r="EKB16" s="2"/>
      <c r="EKC16" s="2"/>
      <c r="EKD16" s="2"/>
      <c r="EKE16" s="2"/>
      <c r="EKF16" s="2"/>
      <c r="EKG16" s="2"/>
      <c r="EKH16" s="2"/>
      <c r="EKI16" s="2"/>
      <c r="EKJ16" s="2"/>
      <c r="EKK16" s="2"/>
      <c r="EKL16" s="2"/>
      <c r="EKM16" s="2"/>
      <c r="EKN16" s="2"/>
      <c r="EKO16" s="2"/>
      <c r="EKP16" s="2"/>
      <c r="EKQ16" s="2"/>
      <c r="EKR16" s="2"/>
      <c r="EKS16" s="2"/>
      <c r="EKT16" s="2"/>
      <c r="EKU16" s="2"/>
      <c r="EKV16" s="2"/>
      <c r="EKW16" s="2"/>
      <c r="EKX16" s="2"/>
      <c r="EKY16" s="2"/>
      <c r="EKZ16" s="2"/>
      <c r="ELA16" s="2"/>
      <c r="ELB16" s="2"/>
      <c r="ELC16" s="2"/>
      <c r="ELD16" s="2"/>
      <c r="ELE16" s="2"/>
      <c r="ELF16" s="2"/>
      <c r="ELG16" s="2"/>
      <c r="ELH16" s="2"/>
      <c r="ELI16" s="2"/>
      <c r="ELJ16" s="2"/>
      <c r="ELK16" s="2"/>
      <c r="ELL16" s="2"/>
      <c r="ELM16" s="2"/>
      <c r="ELN16" s="2"/>
      <c r="ELO16" s="2"/>
      <c r="ELP16" s="2"/>
      <c r="ELQ16" s="2"/>
      <c r="ELR16" s="2"/>
      <c r="ELS16" s="2"/>
      <c r="ELT16" s="2"/>
      <c r="ELU16" s="2"/>
      <c r="ELV16" s="2"/>
      <c r="ELW16" s="2"/>
      <c r="ELX16" s="2"/>
      <c r="ELY16" s="2"/>
      <c r="ELZ16" s="2"/>
      <c r="EMA16" s="2"/>
      <c r="EMB16" s="2"/>
      <c r="EMC16" s="2"/>
      <c r="EMD16" s="2"/>
      <c r="EME16" s="2"/>
      <c r="EMF16" s="2"/>
      <c r="EMG16" s="2"/>
      <c r="EMH16" s="2"/>
      <c r="EMI16" s="2"/>
      <c r="EMJ16" s="2"/>
      <c r="EMK16" s="2"/>
      <c r="EML16" s="2"/>
      <c r="EMM16" s="2"/>
      <c r="EMN16" s="2"/>
      <c r="EMO16" s="2"/>
      <c r="EMP16" s="2"/>
      <c r="EMQ16" s="2"/>
      <c r="EMR16" s="2"/>
      <c r="EMS16" s="2"/>
      <c r="EMT16" s="2"/>
      <c r="EMU16" s="2"/>
      <c r="EMV16" s="2"/>
      <c r="EMW16" s="2"/>
      <c r="EMX16" s="2"/>
      <c r="EMY16" s="2"/>
      <c r="EMZ16" s="2"/>
      <c r="ENA16" s="2"/>
      <c r="ENB16" s="2"/>
      <c r="ENC16" s="2"/>
      <c r="END16" s="2"/>
      <c r="ENE16" s="2"/>
      <c r="ENF16" s="2"/>
      <c r="ENG16" s="2"/>
      <c r="ENH16" s="2"/>
      <c r="ENI16" s="2"/>
      <c r="ENJ16" s="2"/>
      <c r="ENK16" s="2"/>
      <c r="ENL16" s="2"/>
      <c r="ENM16" s="2"/>
      <c r="ENN16" s="2"/>
      <c r="ENO16" s="2"/>
      <c r="ENP16" s="2"/>
      <c r="ENQ16" s="2"/>
      <c r="ENR16" s="2"/>
      <c r="ENS16" s="2"/>
      <c r="ENT16" s="2"/>
      <c r="ENU16" s="2"/>
      <c r="ENV16" s="2"/>
      <c r="ENW16" s="2"/>
      <c r="ENX16" s="2"/>
      <c r="ENY16" s="2"/>
      <c r="ENZ16" s="2"/>
      <c r="EOA16" s="2"/>
      <c r="EOB16" s="2"/>
      <c r="EOC16" s="2"/>
      <c r="EOD16" s="2"/>
      <c r="EOE16" s="2"/>
      <c r="EOF16" s="2"/>
      <c r="EOG16" s="2"/>
      <c r="EOH16" s="2"/>
      <c r="EOI16" s="2"/>
      <c r="EOJ16" s="2"/>
      <c r="EOK16" s="2"/>
      <c r="EOL16" s="2"/>
      <c r="EOM16" s="2"/>
      <c r="EON16" s="2"/>
      <c r="EOO16" s="2"/>
      <c r="EOP16" s="2"/>
      <c r="EOQ16" s="2"/>
      <c r="EOR16" s="2"/>
      <c r="EOS16" s="2"/>
      <c r="EOT16" s="2"/>
      <c r="EOU16" s="2"/>
      <c r="EOV16" s="2"/>
      <c r="EOW16" s="2"/>
      <c r="EOX16" s="2"/>
      <c r="EOY16" s="2"/>
      <c r="EOZ16" s="2"/>
      <c r="EPA16" s="2"/>
      <c r="EPB16" s="2"/>
      <c r="EPC16" s="2"/>
      <c r="EPD16" s="2"/>
      <c r="EPE16" s="2"/>
      <c r="EPF16" s="2"/>
      <c r="EPG16" s="2"/>
      <c r="EPH16" s="2"/>
      <c r="EPI16" s="2"/>
      <c r="EPJ16" s="2"/>
      <c r="EPK16" s="2"/>
      <c r="EPL16" s="2"/>
      <c r="EPM16" s="2"/>
      <c r="EPN16" s="2"/>
      <c r="EPO16" s="2"/>
      <c r="EPP16" s="2"/>
      <c r="EPQ16" s="2"/>
      <c r="EPR16" s="2"/>
      <c r="EPS16" s="2"/>
      <c r="EPT16" s="2"/>
      <c r="EPU16" s="2"/>
      <c r="EPV16" s="2"/>
      <c r="EPW16" s="2"/>
      <c r="EPX16" s="2"/>
      <c r="EPY16" s="2"/>
      <c r="EPZ16" s="2"/>
      <c r="EQA16" s="2"/>
      <c r="EQB16" s="2"/>
      <c r="EQC16" s="2"/>
      <c r="EQD16" s="2"/>
      <c r="EQE16" s="2"/>
      <c r="EQF16" s="2"/>
      <c r="EQG16" s="2"/>
      <c r="EQH16" s="2"/>
      <c r="EQI16" s="2"/>
      <c r="EQJ16" s="2"/>
      <c r="EQK16" s="2"/>
      <c r="EQL16" s="2"/>
      <c r="EQM16" s="2"/>
      <c r="EQN16" s="2"/>
      <c r="EQO16" s="2"/>
      <c r="EQP16" s="2"/>
      <c r="EQQ16" s="2"/>
      <c r="EQR16" s="2"/>
      <c r="EQS16" s="2"/>
      <c r="EQT16" s="2"/>
      <c r="EQU16" s="2"/>
      <c r="EQV16" s="2"/>
      <c r="EQW16" s="2"/>
      <c r="EQX16" s="2"/>
      <c r="EQY16" s="2"/>
      <c r="EQZ16" s="2"/>
      <c r="ERA16" s="2"/>
      <c r="ERB16" s="2"/>
      <c r="ERC16" s="2"/>
      <c r="ERD16" s="2"/>
      <c r="ERE16" s="2"/>
      <c r="ERF16" s="2"/>
      <c r="ERG16" s="2"/>
      <c r="ERH16" s="2"/>
      <c r="ERI16" s="2"/>
      <c r="ERJ16" s="2"/>
      <c r="ERK16" s="2"/>
      <c r="ERL16" s="2"/>
      <c r="ERM16" s="2"/>
      <c r="ERN16" s="2"/>
      <c r="ERO16" s="2"/>
      <c r="ERP16" s="2"/>
      <c r="ERQ16" s="2"/>
      <c r="ERR16" s="2"/>
      <c r="ERS16" s="2"/>
      <c r="ERT16" s="2"/>
      <c r="ERU16" s="2"/>
      <c r="ERV16" s="2"/>
      <c r="ERW16" s="2"/>
      <c r="ERX16" s="2"/>
      <c r="ERY16" s="2"/>
      <c r="ERZ16" s="2"/>
      <c r="ESA16" s="2"/>
      <c r="ESB16" s="2"/>
      <c r="ESC16" s="2"/>
      <c r="ESD16" s="2"/>
      <c r="ESE16" s="2"/>
      <c r="ESF16" s="2"/>
      <c r="ESG16" s="2"/>
      <c r="ESH16" s="2"/>
      <c r="ESI16" s="2"/>
      <c r="ESJ16" s="2"/>
      <c r="ESK16" s="2"/>
      <c r="ESL16" s="2"/>
      <c r="ESM16" s="2"/>
      <c r="ESN16" s="2"/>
      <c r="ESO16" s="2"/>
      <c r="ESP16" s="2"/>
      <c r="ESQ16" s="2"/>
      <c r="ESR16" s="2"/>
      <c r="ESS16" s="2"/>
      <c r="EST16" s="2"/>
      <c r="ESU16" s="2"/>
      <c r="ESV16" s="2"/>
      <c r="ESW16" s="2"/>
      <c r="ESX16" s="2"/>
      <c r="ESY16" s="2"/>
      <c r="ESZ16" s="2"/>
      <c r="ETA16" s="2"/>
      <c r="ETB16" s="2"/>
      <c r="ETC16" s="2"/>
      <c r="ETD16" s="2"/>
      <c r="ETE16" s="2"/>
      <c r="ETF16" s="2"/>
      <c r="ETG16" s="2"/>
      <c r="ETH16" s="2"/>
      <c r="ETI16" s="2"/>
      <c r="ETJ16" s="2"/>
      <c r="ETK16" s="2"/>
      <c r="ETL16" s="2"/>
      <c r="ETM16" s="2"/>
      <c r="ETN16" s="2"/>
      <c r="ETO16" s="2"/>
      <c r="ETP16" s="2"/>
      <c r="ETQ16" s="2"/>
      <c r="ETR16" s="2"/>
      <c r="ETS16" s="2"/>
      <c r="ETT16" s="2"/>
      <c r="ETU16" s="2"/>
      <c r="ETV16" s="2"/>
      <c r="ETW16" s="2"/>
      <c r="ETX16" s="2"/>
      <c r="ETY16" s="2"/>
      <c r="ETZ16" s="2"/>
      <c r="EUA16" s="2"/>
      <c r="EUB16" s="2"/>
      <c r="EUC16" s="2"/>
      <c r="EUD16" s="2"/>
      <c r="EUE16" s="2"/>
      <c r="EUF16" s="2"/>
      <c r="EUG16" s="2"/>
      <c r="EUH16" s="2"/>
      <c r="EUI16" s="2"/>
      <c r="EUJ16" s="2"/>
      <c r="EUK16" s="2"/>
      <c r="EUL16" s="2"/>
      <c r="EUM16" s="2"/>
      <c r="EUN16" s="2"/>
      <c r="EUO16" s="2"/>
      <c r="EUP16" s="2"/>
      <c r="EUQ16" s="2"/>
      <c r="EUR16" s="2"/>
      <c r="EUS16" s="2"/>
      <c r="EUT16" s="2"/>
      <c r="EUU16" s="2"/>
      <c r="EUV16" s="2"/>
      <c r="EUW16" s="2"/>
      <c r="EUX16" s="2"/>
      <c r="EUY16" s="2"/>
      <c r="EUZ16" s="2"/>
      <c r="EVA16" s="2"/>
      <c r="EVB16" s="2"/>
      <c r="EVC16" s="2"/>
      <c r="EVD16" s="2"/>
      <c r="EVE16" s="2"/>
      <c r="EVF16" s="2"/>
      <c r="EVG16" s="2"/>
      <c r="EVH16" s="2"/>
      <c r="EVI16" s="2"/>
      <c r="EVJ16" s="2"/>
      <c r="EVK16" s="2"/>
      <c r="EVL16" s="2"/>
      <c r="EVM16" s="2"/>
      <c r="EVN16" s="2"/>
      <c r="EVO16" s="2"/>
      <c r="EVP16" s="2"/>
      <c r="EVQ16" s="2"/>
      <c r="EVR16" s="2"/>
      <c r="EVS16" s="2"/>
      <c r="EVT16" s="2"/>
      <c r="EVU16" s="2"/>
      <c r="EVV16" s="2"/>
      <c r="EVW16" s="2"/>
      <c r="EVX16" s="2"/>
      <c r="EVY16" s="2"/>
      <c r="EVZ16" s="2"/>
      <c r="EWA16" s="2"/>
      <c r="EWB16" s="2"/>
      <c r="EWC16" s="2"/>
      <c r="EWD16" s="2"/>
      <c r="EWE16" s="2"/>
      <c r="EWF16" s="2"/>
      <c r="EWG16" s="2"/>
      <c r="EWH16" s="2"/>
      <c r="EWI16" s="2"/>
      <c r="EWJ16" s="2"/>
      <c r="EWK16" s="2"/>
      <c r="EWL16" s="2"/>
      <c r="EWM16" s="2"/>
      <c r="EWN16" s="2"/>
      <c r="EWO16" s="2"/>
      <c r="EWP16" s="2"/>
      <c r="EWQ16" s="2"/>
      <c r="EWR16" s="2"/>
      <c r="EWS16" s="2"/>
      <c r="EWT16" s="2"/>
      <c r="EWU16" s="2"/>
      <c r="EWV16" s="2"/>
      <c r="EWW16" s="2"/>
      <c r="EWX16" s="2"/>
      <c r="EWY16" s="2"/>
      <c r="EWZ16" s="2"/>
      <c r="EXA16" s="2"/>
      <c r="EXB16" s="2"/>
      <c r="EXC16" s="2"/>
      <c r="EXD16" s="2"/>
      <c r="EXE16" s="2"/>
      <c r="EXF16" s="2"/>
      <c r="EXG16" s="2"/>
      <c r="EXH16" s="2"/>
      <c r="EXI16" s="2"/>
      <c r="EXJ16" s="2"/>
      <c r="EXK16" s="2"/>
      <c r="EXL16" s="2"/>
      <c r="EXM16" s="2"/>
      <c r="EXN16" s="2"/>
      <c r="EXO16" s="2"/>
      <c r="EXP16" s="2"/>
      <c r="EXQ16" s="2"/>
      <c r="EXR16" s="2"/>
      <c r="EXS16" s="2"/>
      <c r="EXT16" s="2"/>
      <c r="EXU16" s="2"/>
      <c r="EXV16" s="2"/>
      <c r="EXW16" s="2"/>
      <c r="EXX16" s="2"/>
      <c r="EXY16" s="2"/>
      <c r="EXZ16" s="2"/>
      <c r="EYA16" s="2"/>
      <c r="EYB16" s="2"/>
      <c r="EYC16" s="2"/>
      <c r="EYD16" s="2"/>
      <c r="EYE16" s="2"/>
      <c r="EYF16" s="2"/>
      <c r="EYG16" s="2"/>
      <c r="EYH16" s="2"/>
      <c r="EYI16" s="2"/>
      <c r="EYJ16" s="2"/>
      <c r="EYK16" s="2"/>
      <c r="EYL16" s="2"/>
      <c r="EYM16" s="2"/>
      <c r="EYN16" s="2"/>
      <c r="EYO16" s="2"/>
      <c r="EYP16" s="2"/>
      <c r="EYQ16" s="2"/>
      <c r="EYR16" s="2"/>
      <c r="EYS16" s="2"/>
      <c r="EYT16" s="2"/>
      <c r="EYU16" s="2"/>
      <c r="EYV16" s="2"/>
      <c r="EYW16" s="2"/>
      <c r="EYX16" s="2"/>
      <c r="EYY16" s="2"/>
      <c r="EYZ16" s="2"/>
      <c r="EZA16" s="2"/>
      <c r="EZB16" s="2"/>
      <c r="EZC16" s="2"/>
      <c r="EZD16" s="2"/>
      <c r="EZE16" s="2"/>
      <c r="EZF16" s="2"/>
      <c r="EZG16" s="2"/>
      <c r="EZH16" s="2"/>
      <c r="EZI16" s="2"/>
      <c r="EZJ16" s="2"/>
      <c r="EZK16" s="2"/>
      <c r="EZL16" s="2"/>
      <c r="EZM16" s="2"/>
      <c r="EZN16" s="2"/>
      <c r="EZO16" s="2"/>
      <c r="EZP16" s="2"/>
      <c r="EZQ16" s="2"/>
      <c r="EZR16" s="2"/>
      <c r="EZS16" s="2"/>
      <c r="EZT16" s="2"/>
      <c r="EZU16" s="2"/>
      <c r="EZV16" s="2"/>
      <c r="EZW16" s="2"/>
      <c r="EZX16" s="2"/>
      <c r="EZY16" s="2"/>
      <c r="EZZ16" s="2"/>
      <c r="FAA16" s="2"/>
      <c r="FAB16" s="2"/>
      <c r="FAC16" s="2"/>
      <c r="FAD16" s="2"/>
      <c r="FAE16" s="2"/>
      <c r="FAF16" s="2"/>
      <c r="FAG16" s="2"/>
      <c r="FAH16" s="2"/>
      <c r="FAI16" s="2"/>
      <c r="FAJ16" s="2"/>
      <c r="FAK16" s="2"/>
      <c r="FAL16" s="2"/>
      <c r="FAM16" s="2"/>
      <c r="FAN16" s="2"/>
      <c r="FAO16" s="2"/>
      <c r="FAP16" s="2"/>
      <c r="FAQ16" s="2"/>
      <c r="FAR16" s="2"/>
      <c r="FAS16" s="2"/>
      <c r="FAT16" s="2"/>
      <c r="FAU16" s="2"/>
      <c r="FAV16" s="2"/>
      <c r="FAW16" s="2"/>
      <c r="FAX16" s="2"/>
      <c r="FAY16" s="2"/>
      <c r="FAZ16" s="2"/>
      <c r="FBA16" s="2"/>
      <c r="FBB16" s="2"/>
      <c r="FBC16" s="2"/>
      <c r="FBD16" s="2"/>
      <c r="FBE16" s="2"/>
      <c r="FBF16" s="2"/>
      <c r="FBG16" s="2"/>
      <c r="FBH16" s="2"/>
      <c r="FBI16" s="2"/>
      <c r="FBJ16" s="2"/>
      <c r="FBK16" s="2"/>
      <c r="FBL16" s="2"/>
      <c r="FBM16" s="2"/>
      <c r="FBN16" s="2"/>
      <c r="FBO16" s="2"/>
      <c r="FBP16" s="2"/>
      <c r="FBQ16" s="2"/>
      <c r="FBR16" s="2"/>
      <c r="FBS16" s="2"/>
      <c r="FBT16" s="2"/>
      <c r="FBU16" s="2"/>
      <c r="FBV16" s="2"/>
      <c r="FBW16" s="2"/>
      <c r="FBX16" s="2"/>
      <c r="FBY16" s="2"/>
      <c r="FBZ16" s="2"/>
      <c r="FCA16" s="2"/>
      <c r="FCB16" s="2"/>
      <c r="FCC16" s="2"/>
      <c r="FCD16" s="2"/>
      <c r="FCE16" s="2"/>
      <c r="FCF16" s="2"/>
      <c r="FCG16" s="2"/>
      <c r="FCH16" s="2"/>
      <c r="FCI16" s="2"/>
      <c r="FCJ16" s="2"/>
      <c r="FCK16" s="2"/>
      <c r="FCL16" s="2"/>
      <c r="FCM16" s="2"/>
      <c r="FCN16" s="2"/>
      <c r="FCO16" s="2"/>
      <c r="FCP16" s="2"/>
      <c r="FCQ16" s="2"/>
      <c r="FCR16" s="2"/>
      <c r="FCS16" s="2"/>
      <c r="FCT16" s="2"/>
      <c r="FCU16" s="2"/>
      <c r="FCV16" s="2"/>
      <c r="FCW16" s="2"/>
      <c r="FCX16" s="2"/>
      <c r="FCY16" s="2"/>
      <c r="FCZ16" s="2"/>
      <c r="FDA16" s="2"/>
      <c r="FDB16" s="2"/>
      <c r="FDC16" s="2"/>
      <c r="FDD16" s="2"/>
      <c r="FDE16" s="2"/>
      <c r="FDF16" s="2"/>
      <c r="FDG16" s="2"/>
      <c r="FDH16" s="2"/>
      <c r="FDI16" s="2"/>
      <c r="FDJ16" s="2"/>
      <c r="FDK16" s="2"/>
      <c r="FDL16" s="2"/>
      <c r="FDM16" s="2"/>
      <c r="FDN16" s="2"/>
      <c r="FDO16" s="2"/>
      <c r="FDP16" s="2"/>
      <c r="FDQ16" s="2"/>
      <c r="FDR16" s="2"/>
      <c r="FDS16" s="2"/>
      <c r="FDT16" s="2"/>
      <c r="FDU16" s="2"/>
      <c r="FDV16" s="2"/>
      <c r="FDW16" s="2"/>
      <c r="FDX16" s="2"/>
      <c r="FDY16" s="2"/>
      <c r="FDZ16" s="2"/>
      <c r="FEA16" s="2"/>
      <c r="FEB16" s="2"/>
      <c r="FEC16" s="2"/>
      <c r="FED16" s="2"/>
      <c r="FEE16" s="2"/>
      <c r="FEF16" s="2"/>
      <c r="FEG16" s="2"/>
      <c r="FEH16" s="2"/>
      <c r="FEI16" s="2"/>
      <c r="FEJ16" s="2"/>
      <c r="FEK16" s="2"/>
      <c r="FEL16" s="2"/>
      <c r="FEM16" s="2"/>
      <c r="FEN16" s="2"/>
      <c r="FEO16" s="2"/>
      <c r="FEP16" s="2"/>
      <c r="FEQ16" s="2"/>
      <c r="FER16" s="2"/>
      <c r="FES16" s="2"/>
      <c r="FET16" s="2"/>
      <c r="FEU16" s="2"/>
      <c r="FEV16" s="2"/>
      <c r="FEW16" s="2"/>
      <c r="FEX16" s="2"/>
      <c r="FEY16" s="2"/>
      <c r="FEZ16" s="2"/>
      <c r="FFA16" s="2"/>
      <c r="FFB16" s="2"/>
      <c r="FFC16" s="2"/>
      <c r="FFD16" s="2"/>
      <c r="FFE16" s="2"/>
      <c r="FFF16" s="2"/>
      <c r="FFG16" s="2"/>
      <c r="FFH16" s="2"/>
      <c r="FFI16" s="2"/>
      <c r="FFJ16" s="2"/>
      <c r="FFK16" s="2"/>
      <c r="FFL16" s="2"/>
      <c r="FFM16" s="2"/>
      <c r="FFN16" s="2"/>
      <c r="FFO16" s="2"/>
      <c r="FFP16" s="2"/>
      <c r="FFQ16" s="2"/>
      <c r="FFR16" s="2"/>
      <c r="FFS16" s="2"/>
      <c r="FFT16" s="2"/>
      <c r="FFU16" s="2"/>
      <c r="FFV16" s="2"/>
      <c r="FFW16" s="2"/>
      <c r="FFX16" s="2"/>
      <c r="FFY16" s="2"/>
      <c r="FFZ16" s="2"/>
      <c r="FGA16" s="2"/>
      <c r="FGB16" s="2"/>
      <c r="FGC16" s="2"/>
      <c r="FGD16" s="2"/>
      <c r="FGE16" s="2"/>
      <c r="FGF16" s="2"/>
      <c r="FGG16" s="2"/>
      <c r="FGH16" s="2"/>
      <c r="FGI16" s="2"/>
      <c r="FGJ16" s="2"/>
      <c r="FGK16" s="2"/>
      <c r="FGL16" s="2"/>
      <c r="FGM16" s="2"/>
      <c r="FGN16" s="2"/>
      <c r="FGO16" s="2"/>
      <c r="FGP16" s="2"/>
      <c r="FGQ16" s="2"/>
      <c r="FGR16" s="2"/>
      <c r="FGS16" s="2"/>
      <c r="FGT16" s="2"/>
      <c r="FGU16" s="2"/>
      <c r="FGV16" s="2"/>
      <c r="FGW16" s="2"/>
      <c r="FGX16" s="2"/>
      <c r="FGY16" s="2"/>
      <c r="FGZ16" s="2"/>
      <c r="FHA16" s="2"/>
      <c r="FHB16" s="2"/>
      <c r="FHC16" s="2"/>
      <c r="FHD16" s="2"/>
      <c r="FHE16" s="2"/>
      <c r="FHF16" s="2"/>
      <c r="FHG16" s="2"/>
      <c r="FHH16" s="2"/>
      <c r="FHI16" s="2"/>
      <c r="FHJ16" s="2"/>
      <c r="FHK16" s="2"/>
      <c r="FHL16" s="2"/>
      <c r="FHM16" s="2"/>
      <c r="FHN16" s="2"/>
      <c r="FHO16" s="2"/>
      <c r="FHP16" s="2"/>
      <c r="FHQ16" s="2"/>
      <c r="FHR16" s="2"/>
      <c r="FHS16" s="2"/>
      <c r="FHT16" s="2"/>
      <c r="FHU16" s="2"/>
      <c r="FHV16" s="2"/>
      <c r="FHW16" s="2"/>
      <c r="FHX16" s="2"/>
      <c r="FHY16" s="2"/>
      <c r="FHZ16" s="2"/>
      <c r="FIA16" s="2"/>
      <c r="FIB16" s="2"/>
      <c r="FIC16" s="2"/>
      <c r="FID16" s="2"/>
      <c r="FIE16" s="2"/>
      <c r="FIF16" s="2"/>
      <c r="FIG16" s="2"/>
      <c r="FIH16" s="2"/>
      <c r="FII16" s="2"/>
      <c r="FIJ16" s="2"/>
      <c r="FIK16" s="2"/>
      <c r="FIL16" s="2"/>
      <c r="FIM16" s="2"/>
      <c r="FIN16" s="2"/>
      <c r="FIO16" s="2"/>
      <c r="FIP16" s="2"/>
      <c r="FIQ16" s="2"/>
      <c r="FIR16" s="2"/>
      <c r="FIS16" s="2"/>
      <c r="FIT16" s="2"/>
      <c r="FIU16" s="2"/>
      <c r="FIV16" s="2"/>
      <c r="FIW16" s="2"/>
      <c r="FIX16" s="2"/>
      <c r="FIY16" s="2"/>
      <c r="FIZ16" s="2"/>
      <c r="FJA16" s="2"/>
      <c r="FJB16" s="2"/>
      <c r="FJC16" s="2"/>
      <c r="FJD16" s="2"/>
      <c r="FJE16" s="2"/>
      <c r="FJF16" s="2"/>
      <c r="FJG16" s="2"/>
      <c r="FJH16" s="2"/>
      <c r="FJI16" s="2"/>
      <c r="FJJ16" s="2"/>
      <c r="FJK16" s="2"/>
      <c r="FJL16" s="2"/>
      <c r="FJM16" s="2"/>
      <c r="FJN16" s="2"/>
      <c r="FJO16" s="2"/>
      <c r="FJP16" s="2"/>
      <c r="FJQ16" s="2"/>
      <c r="FJR16" s="2"/>
      <c r="FJS16" s="2"/>
      <c r="FJT16" s="2"/>
      <c r="FJU16" s="2"/>
      <c r="FJV16" s="2"/>
      <c r="FJW16" s="2"/>
      <c r="FJX16" s="2"/>
      <c r="FJY16" s="2"/>
      <c r="FJZ16" s="2"/>
      <c r="FKA16" s="2"/>
      <c r="FKB16" s="2"/>
      <c r="FKC16" s="2"/>
      <c r="FKD16" s="2"/>
      <c r="FKE16" s="2"/>
      <c r="FKF16" s="2"/>
      <c r="FKG16" s="2"/>
      <c r="FKH16" s="2"/>
      <c r="FKI16" s="2"/>
      <c r="FKJ16" s="2"/>
      <c r="FKK16" s="2"/>
      <c r="FKL16" s="2"/>
      <c r="FKM16" s="2"/>
      <c r="FKN16" s="2"/>
      <c r="FKO16" s="2"/>
      <c r="FKP16" s="2"/>
      <c r="FKQ16" s="2"/>
      <c r="FKR16" s="2"/>
      <c r="FKS16" s="2"/>
      <c r="FKT16" s="2"/>
      <c r="FKU16" s="2"/>
      <c r="FKV16" s="2"/>
      <c r="FKW16" s="2"/>
      <c r="FKX16" s="2"/>
      <c r="FKY16" s="2"/>
      <c r="FKZ16" s="2"/>
      <c r="FLA16" s="2"/>
      <c r="FLB16" s="2"/>
      <c r="FLC16" s="2"/>
      <c r="FLD16" s="2"/>
      <c r="FLE16" s="2"/>
      <c r="FLF16" s="2"/>
      <c r="FLG16" s="2"/>
      <c r="FLH16" s="2"/>
      <c r="FLI16" s="2"/>
      <c r="FLJ16" s="2"/>
      <c r="FLK16" s="2"/>
      <c r="FLL16" s="2"/>
      <c r="FLM16" s="2"/>
      <c r="FLN16" s="2"/>
      <c r="FLO16" s="2"/>
      <c r="FLP16" s="2"/>
      <c r="FLQ16" s="2"/>
      <c r="FLR16" s="2"/>
      <c r="FLS16" s="2"/>
      <c r="FLT16" s="2"/>
      <c r="FLU16" s="2"/>
      <c r="FLV16" s="2"/>
      <c r="FLW16" s="2"/>
      <c r="FLX16" s="2"/>
      <c r="FLY16" s="2"/>
      <c r="FLZ16" s="2"/>
      <c r="FMA16" s="2"/>
      <c r="FMB16" s="2"/>
      <c r="FMC16" s="2"/>
      <c r="FMD16" s="2"/>
      <c r="FME16" s="2"/>
      <c r="FMF16" s="2"/>
      <c r="FMG16" s="2"/>
      <c r="FMH16" s="2"/>
      <c r="FMI16" s="2"/>
      <c r="FMJ16" s="2"/>
      <c r="FMK16" s="2"/>
      <c r="FML16" s="2"/>
      <c r="FMM16" s="2"/>
      <c r="FMN16" s="2"/>
      <c r="FMO16" s="2"/>
      <c r="FMP16" s="2"/>
      <c r="FMQ16" s="2"/>
      <c r="FMR16" s="2"/>
      <c r="FMS16" s="2"/>
      <c r="FMT16" s="2"/>
      <c r="FMU16" s="2"/>
      <c r="FMV16" s="2"/>
      <c r="FMW16" s="2"/>
      <c r="FMX16" s="2"/>
      <c r="FMY16" s="2"/>
      <c r="FMZ16" s="2"/>
      <c r="FNA16" s="2"/>
      <c r="FNB16" s="2"/>
      <c r="FNC16" s="2"/>
      <c r="FND16" s="2"/>
      <c r="FNE16" s="2"/>
      <c r="FNF16" s="2"/>
      <c r="FNG16" s="2"/>
      <c r="FNH16" s="2"/>
      <c r="FNI16" s="2"/>
      <c r="FNJ16" s="2"/>
      <c r="FNK16" s="2"/>
      <c r="FNL16" s="2"/>
      <c r="FNM16" s="2"/>
      <c r="FNN16" s="2"/>
      <c r="FNO16" s="2"/>
      <c r="FNP16" s="2"/>
      <c r="FNQ16" s="2"/>
      <c r="FNR16" s="2"/>
      <c r="FNS16" s="2"/>
      <c r="FNT16" s="2"/>
      <c r="FNU16" s="2"/>
      <c r="FNV16" s="2"/>
      <c r="FNW16" s="2"/>
      <c r="FNX16" s="2"/>
      <c r="FNY16" s="2"/>
      <c r="FNZ16" s="2"/>
      <c r="FOA16" s="2"/>
      <c r="FOB16" s="2"/>
      <c r="FOC16" s="2"/>
      <c r="FOD16" s="2"/>
      <c r="FOE16" s="2"/>
      <c r="FOF16" s="2"/>
      <c r="FOG16" s="2"/>
      <c r="FOH16" s="2"/>
      <c r="FOI16" s="2"/>
      <c r="FOJ16" s="2"/>
      <c r="FOK16" s="2"/>
      <c r="FOL16" s="2"/>
      <c r="FOM16" s="2"/>
      <c r="FON16" s="2"/>
      <c r="FOO16" s="2"/>
      <c r="FOP16" s="2"/>
      <c r="FOQ16" s="2"/>
      <c r="FOR16" s="2"/>
      <c r="FOS16" s="2"/>
      <c r="FOT16" s="2"/>
      <c r="FOU16" s="2"/>
      <c r="FOV16" s="2"/>
      <c r="FOW16" s="2"/>
      <c r="FOX16" s="2"/>
      <c r="FOY16" s="2"/>
      <c r="FOZ16" s="2"/>
      <c r="FPA16" s="2"/>
      <c r="FPB16" s="2"/>
      <c r="FPC16" s="2"/>
      <c r="FPD16" s="2"/>
      <c r="FPE16" s="2"/>
      <c r="FPF16" s="2"/>
      <c r="FPG16" s="2"/>
      <c r="FPH16" s="2"/>
      <c r="FPI16" s="2"/>
      <c r="FPJ16" s="2"/>
      <c r="FPK16" s="2"/>
      <c r="FPL16" s="2"/>
      <c r="FPM16" s="2"/>
      <c r="FPN16" s="2"/>
      <c r="FPO16" s="2"/>
      <c r="FPP16" s="2"/>
      <c r="FPQ16" s="2"/>
      <c r="FPR16" s="2"/>
      <c r="FPS16" s="2"/>
      <c r="FPT16" s="2"/>
      <c r="FPU16" s="2"/>
      <c r="FPV16" s="2"/>
      <c r="FPW16" s="2"/>
      <c r="FPX16" s="2"/>
      <c r="FPY16" s="2"/>
      <c r="FPZ16" s="2"/>
      <c r="FQA16" s="2"/>
      <c r="FQB16" s="2"/>
      <c r="FQC16" s="2"/>
      <c r="FQD16" s="2"/>
      <c r="FQE16" s="2"/>
      <c r="FQF16" s="2"/>
      <c r="FQG16" s="2"/>
      <c r="FQH16" s="2"/>
      <c r="FQI16" s="2"/>
      <c r="FQJ16" s="2"/>
      <c r="FQK16" s="2"/>
      <c r="FQL16" s="2"/>
      <c r="FQM16" s="2"/>
      <c r="FQN16" s="2"/>
      <c r="FQO16" s="2"/>
      <c r="FQP16" s="2"/>
      <c r="FQQ16" s="2"/>
      <c r="FQR16" s="2"/>
      <c r="FQS16" s="2"/>
      <c r="FQT16" s="2"/>
      <c r="FQU16" s="2"/>
      <c r="FQV16" s="2"/>
      <c r="FQW16" s="2"/>
      <c r="FQX16" s="2"/>
      <c r="FQY16" s="2"/>
      <c r="FQZ16" s="2"/>
      <c r="FRA16" s="2"/>
      <c r="FRB16" s="2"/>
      <c r="FRC16" s="2"/>
      <c r="FRD16" s="2"/>
      <c r="FRE16" s="2"/>
      <c r="FRF16" s="2"/>
      <c r="FRG16" s="2"/>
      <c r="FRH16" s="2"/>
      <c r="FRI16" s="2"/>
      <c r="FRJ16" s="2"/>
      <c r="FRK16" s="2"/>
      <c r="FRL16" s="2"/>
      <c r="FRM16" s="2"/>
      <c r="FRN16" s="2"/>
      <c r="FRO16" s="2"/>
      <c r="FRP16" s="2"/>
      <c r="FRQ16" s="2"/>
      <c r="FRR16" s="2"/>
      <c r="FRS16" s="2"/>
      <c r="FRT16" s="2"/>
      <c r="FRU16" s="2"/>
      <c r="FRV16" s="2"/>
      <c r="FRW16" s="2"/>
      <c r="FRX16" s="2"/>
      <c r="FRY16" s="2"/>
      <c r="FRZ16" s="2"/>
      <c r="FSA16" s="2"/>
      <c r="FSB16" s="2"/>
      <c r="FSC16" s="2"/>
      <c r="FSD16" s="2"/>
      <c r="FSE16" s="2"/>
      <c r="FSF16" s="2"/>
      <c r="FSG16" s="2"/>
      <c r="FSH16" s="2"/>
      <c r="FSI16" s="2"/>
      <c r="FSJ16" s="2"/>
      <c r="FSK16" s="2"/>
      <c r="FSL16" s="2"/>
      <c r="FSM16" s="2"/>
      <c r="FSN16" s="2"/>
      <c r="FSO16" s="2"/>
      <c r="FSP16" s="2"/>
      <c r="FSQ16" s="2"/>
      <c r="FSR16" s="2"/>
      <c r="FSS16" s="2"/>
      <c r="FST16" s="2"/>
      <c r="FSU16" s="2"/>
      <c r="FSV16" s="2"/>
      <c r="FSW16" s="2"/>
      <c r="FSX16" s="2"/>
      <c r="FSY16" s="2"/>
      <c r="FSZ16" s="2"/>
      <c r="FTA16" s="2"/>
      <c r="FTB16" s="2"/>
      <c r="FTC16" s="2"/>
      <c r="FTD16" s="2"/>
      <c r="FTE16" s="2"/>
      <c r="FTF16" s="2"/>
      <c r="FTG16" s="2"/>
      <c r="FTH16" s="2"/>
      <c r="FTI16" s="2"/>
      <c r="FTJ16" s="2"/>
      <c r="FTK16" s="2"/>
      <c r="FTL16" s="2"/>
      <c r="FTM16" s="2"/>
      <c r="FTN16" s="2"/>
      <c r="FTO16" s="2"/>
      <c r="FTP16" s="2"/>
      <c r="FTQ16" s="2"/>
      <c r="FTR16" s="2"/>
      <c r="FTS16" s="2"/>
      <c r="FTT16" s="2"/>
      <c r="FTU16" s="2"/>
      <c r="FTV16" s="2"/>
      <c r="FTW16" s="2"/>
      <c r="FTX16" s="2"/>
      <c r="FTY16" s="2"/>
      <c r="FTZ16" s="2"/>
      <c r="FUA16" s="2"/>
      <c r="FUB16" s="2"/>
      <c r="FUC16" s="2"/>
      <c r="FUD16" s="2"/>
      <c r="FUE16" s="2"/>
      <c r="FUF16" s="2"/>
      <c r="FUG16" s="2"/>
      <c r="FUH16" s="2"/>
      <c r="FUI16" s="2"/>
      <c r="FUJ16" s="2"/>
      <c r="FUK16" s="2"/>
      <c r="FUL16" s="2"/>
      <c r="FUM16" s="2"/>
      <c r="FUN16" s="2"/>
      <c r="FUO16" s="2"/>
      <c r="FUP16" s="2"/>
      <c r="FUQ16" s="2"/>
      <c r="FUR16" s="2"/>
      <c r="FUS16" s="2"/>
      <c r="FUT16" s="2"/>
      <c r="FUU16" s="2"/>
      <c r="FUV16" s="2"/>
      <c r="FUW16" s="2"/>
      <c r="FUX16" s="2"/>
      <c r="FUY16" s="2"/>
      <c r="FUZ16" s="2"/>
      <c r="FVA16" s="2"/>
      <c r="FVB16" s="2"/>
      <c r="FVC16" s="2"/>
      <c r="FVD16" s="2"/>
      <c r="FVE16" s="2"/>
      <c r="FVF16" s="2"/>
      <c r="FVG16" s="2"/>
      <c r="FVH16" s="2"/>
      <c r="FVI16" s="2"/>
      <c r="FVJ16" s="2"/>
      <c r="FVK16" s="2"/>
      <c r="FVL16" s="2"/>
      <c r="FVM16" s="2"/>
      <c r="FVN16" s="2"/>
      <c r="FVO16" s="2"/>
      <c r="FVP16" s="2"/>
      <c r="FVQ16" s="2"/>
      <c r="FVR16" s="2"/>
      <c r="FVS16" s="2"/>
      <c r="FVT16" s="2"/>
      <c r="FVU16" s="2"/>
      <c r="FVV16" s="2"/>
      <c r="FVW16" s="2"/>
      <c r="FVX16" s="2"/>
      <c r="FVY16" s="2"/>
      <c r="FVZ16" s="2"/>
      <c r="FWA16" s="2"/>
      <c r="FWB16" s="2"/>
      <c r="FWC16" s="2"/>
      <c r="FWD16" s="2"/>
      <c r="FWE16" s="2"/>
      <c r="FWF16" s="2"/>
      <c r="FWG16" s="2"/>
      <c r="FWH16" s="2"/>
      <c r="FWI16" s="2"/>
      <c r="FWJ16" s="2"/>
      <c r="FWK16" s="2"/>
      <c r="FWL16" s="2"/>
      <c r="FWM16" s="2"/>
      <c r="FWN16" s="2"/>
      <c r="FWO16" s="2"/>
      <c r="FWP16" s="2"/>
      <c r="FWQ16" s="2"/>
      <c r="FWR16" s="2"/>
      <c r="FWS16" s="2"/>
      <c r="FWT16" s="2"/>
      <c r="FWU16" s="2"/>
      <c r="FWV16" s="2"/>
      <c r="FWW16" s="2"/>
      <c r="FWX16" s="2"/>
      <c r="FWY16" s="2"/>
      <c r="FWZ16" s="2"/>
      <c r="FXA16" s="2"/>
      <c r="FXB16" s="2"/>
      <c r="FXC16" s="2"/>
      <c r="FXD16" s="2"/>
      <c r="FXE16" s="2"/>
      <c r="FXF16" s="2"/>
      <c r="FXG16" s="2"/>
      <c r="FXH16" s="2"/>
      <c r="FXI16" s="2"/>
      <c r="FXJ16" s="2"/>
      <c r="FXK16" s="2"/>
      <c r="FXL16" s="2"/>
      <c r="FXM16" s="2"/>
      <c r="FXN16" s="2"/>
      <c r="FXO16" s="2"/>
      <c r="FXP16" s="2"/>
      <c r="FXQ16" s="2"/>
      <c r="FXR16" s="2"/>
      <c r="FXS16" s="2"/>
      <c r="FXT16" s="2"/>
      <c r="FXU16" s="2"/>
      <c r="FXV16" s="2"/>
      <c r="FXW16" s="2"/>
      <c r="FXX16" s="2"/>
      <c r="FXY16" s="2"/>
      <c r="FXZ16" s="2"/>
      <c r="FYA16" s="2"/>
      <c r="FYB16" s="2"/>
      <c r="FYC16" s="2"/>
      <c r="FYD16" s="2"/>
      <c r="FYE16" s="2"/>
      <c r="FYF16" s="2"/>
      <c r="FYG16" s="2"/>
      <c r="FYH16" s="2"/>
      <c r="FYI16" s="2"/>
      <c r="FYJ16" s="2"/>
      <c r="FYK16" s="2"/>
      <c r="FYL16" s="2"/>
      <c r="FYM16" s="2"/>
      <c r="FYN16" s="2"/>
      <c r="FYO16" s="2"/>
      <c r="FYP16" s="2"/>
      <c r="FYQ16" s="2"/>
      <c r="FYR16" s="2"/>
      <c r="FYS16" s="2"/>
      <c r="FYT16" s="2"/>
      <c r="FYU16" s="2"/>
      <c r="FYV16" s="2"/>
      <c r="FYW16" s="2"/>
      <c r="FYX16" s="2"/>
      <c r="FYY16" s="2"/>
      <c r="FYZ16" s="2"/>
      <c r="FZA16" s="2"/>
      <c r="FZB16" s="2"/>
      <c r="FZC16" s="2"/>
      <c r="FZD16" s="2"/>
      <c r="FZE16" s="2"/>
      <c r="FZF16" s="2"/>
      <c r="FZG16" s="2"/>
      <c r="FZH16" s="2"/>
      <c r="FZI16" s="2"/>
      <c r="FZJ16" s="2"/>
      <c r="FZK16" s="2"/>
      <c r="FZL16" s="2"/>
      <c r="FZM16" s="2"/>
      <c r="FZN16" s="2"/>
      <c r="FZO16" s="2"/>
      <c r="FZP16" s="2"/>
      <c r="FZQ16" s="2"/>
      <c r="FZR16" s="2"/>
      <c r="FZS16" s="2"/>
      <c r="FZT16" s="2"/>
      <c r="FZU16" s="2"/>
      <c r="FZV16" s="2"/>
      <c r="FZW16" s="2"/>
      <c r="FZX16" s="2"/>
      <c r="FZY16" s="2"/>
      <c r="FZZ16" s="2"/>
      <c r="GAA16" s="2"/>
      <c r="GAB16" s="2"/>
      <c r="GAC16" s="2"/>
      <c r="GAD16" s="2"/>
      <c r="GAE16" s="2"/>
      <c r="GAF16" s="2"/>
      <c r="GAG16" s="2"/>
      <c r="GAH16" s="2"/>
      <c r="GAI16" s="2"/>
      <c r="GAJ16" s="2"/>
      <c r="GAK16" s="2"/>
      <c r="GAL16" s="2"/>
      <c r="GAM16" s="2"/>
      <c r="GAN16" s="2"/>
      <c r="GAO16" s="2"/>
      <c r="GAP16" s="2"/>
      <c r="GAQ16" s="2"/>
      <c r="GAR16" s="2"/>
      <c r="GAS16" s="2"/>
      <c r="GAT16" s="2"/>
      <c r="GAU16" s="2"/>
      <c r="GAV16" s="2"/>
      <c r="GAW16" s="2"/>
      <c r="GAX16" s="2"/>
      <c r="GAY16" s="2"/>
      <c r="GAZ16" s="2"/>
      <c r="GBA16" s="2"/>
      <c r="GBB16" s="2"/>
      <c r="GBC16" s="2"/>
      <c r="GBD16" s="2"/>
      <c r="GBE16" s="2"/>
      <c r="GBF16" s="2"/>
      <c r="GBG16" s="2"/>
      <c r="GBH16" s="2"/>
      <c r="GBI16" s="2"/>
      <c r="GBJ16" s="2"/>
      <c r="GBK16" s="2"/>
      <c r="GBL16" s="2"/>
      <c r="GBM16" s="2"/>
      <c r="GBN16" s="2"/>
      <c r="GBO16" s="2"/>
      <c r="GBP16" s="2"/>
      <c r="GBQ16" s="2"/>
      <c r="GBR16" s="2"/>
      <c r="GBS16" s="2"/>
      <c r="GBT16" s="2"/>
      <c r="GBU16" s="2"/>
      <c r="GBV16" s="2"/>
      <c r="GBW16" s="2"/>
      <c r="GBX16" s="2"/>
      <c r="GBY16" s="2"/>
      <c r="GBZ16" s="2"/>
      <c r="GCA16" s="2"/>
      <c r="GCB16" s="2"/>
      <c r="GCC16" s="2"/>
      <c r="GCD16" s="2"/>
      <c r="GCE16" s="2"/>
      <c r="GCF16" s="2"/>
      <c r="GCG16" s="2"/>
      <c r="GCH16" s="2"/>
      <c r="GCI16" s="2"/>
      <c r="GCJ16" s="2"/>
      <c r="GCK16" s="2"/>
      <c r="GCL16" s="2"/>
      <c r="GCM16" s="2"/>
      <c r="GCN16" s="2"/>
      <c r="GCO16" s="2"/>
      <c r="GCP16" s="2"/>
      <c r="GCQ16" s="2"/>
      <c r="GCR16" s="2"/>
      <c r="GCS16" s="2"/>
      <c r="GCT16" s="2"/>
      <c r="GCU16" s="2"/>
      <c r="GCV16" s="2"/>
      <c r="GCW16" s="2"/>
      <c r="GCX16" s="2"/>
      <c r="GCY16" s="2"/>
      <c r="GCZ16" s="2"/>
      <c r="GDA16" s="2"/>
      <c r="GDB16" s="2"/>
      <c r="GDC16" s="2"/>
      <c r="GDD16" s="2"/>
      <c r="GDE16" s="2"/>
      <c r="GDF16" s="2"/>
      <c r="GDG16" s="2"/>
      <c r="GDH16" s="2"/>
      <c r="GDI16" s="2"/>
      <c r="GDJ16" s="2"/>
      <c r="GDK16" s="2"/>
      <c r="GDL16" s="2"/>
      <c r="GDM16" s="2"/>
      <c r="GDN16" s="2"/>
      <c r="GDO16" s="2"/>
      <c r="GDP16" s="2"/>
      <c r="GDQ16" s="2"/>
      <c r="GDR16" s="2"/>
      <c r="GDS16" s="2"/>
      <c r="GDT16" s="2"/>
      <c r="GDU16" s="2"/>
      <c r="GDV16" s="2"/>
      <c r="GDW16" s="2"/>
      <c r="GDX16" s="2"/>
      <c r="GDY16" s="2"/>
      <c r="GDZ16" s="2"/>
      <c r="GEA16" s="2"/>
      <c r="GEB16" s="2"/>
      <c r="GEC16" s="2"/>
      <c r="GED16" s="2"/>
      <c r="GEE16" s="2"/>
      <c r="GEF16" s="2"/>
      <c r="GEG16" s="2"/>
      <c r="GEH16" s="2"/>
      <c r="GEI16" s="2"/>
      <c r="GEJ16" s="2"/>
      <c r="GEK16" s="2"/>
      <c r="GEL16" s="2"/>
      <c r="GEM16" s="2"/>
      <c r="GEN16" s="2"/>
      <c r="GEO16" s="2"/>
      <c r="GEP16" s="2"/>
      <c r="GEQ16" s="2"/>
      <c r="GER16" s="2"/>
      <c r="GES16" s="2"/>
      <c r="GET16" s="2"/>
      <c r="GEU16" s="2"/>
      <c r="GEV16" s="2"/>
      <c r="GEW16" s="2"/>
      <c r="GEX16" s="2"/>
      <c r="GEY16" s="2"/>
      <c r="GEZ16" s="2"/>
      <c r="GFA16" s="2"/>
      <c r="GFB16" s="2"/>
      <c r="GFC16" s="2"/>
      <c r="GFD16" s="2"/>
      <c r="GFE16" s="2"/>
      <c r="GFF16" s="2"/>
      <c r="GFG16" s="2"/>
      <c r="GFH16" s="2"/>
      <c r="GFI16" s="2"/>
      <c r="GFJ16" s="2"/>
      <c r="GFK16" s="2"/>
      <c r="GFL16" s="2"/>
      <c r="GFM16" s="2"/>
      <c r="GFN16" s="2"/>
      <c r="GFO16" s="2"/>
      <c r="GFP16" s="2"/>
      <c r="GFQ16" s="2"/>
      <c r="GFR16" s="2"/>
      <c r="GFS16" s="2"/>
      <c r="GFT16" s="2"/>
      <c r="GFU16" s="2"/>
      <c r="GFV16" s="2"/>
      <c r="GFW16" s="2"/>
      <c r="GFX16" s="2"/>
      <c r="GFY16" s="2"/>
      <c r="GFZ16" s="2"/>
      <c r="GGA16" s="2"/>
      <c r="GGB16" s="2"/>
      <c r="GGC16" s="2"/>
      <c r="GGD16" s="2"/>
      <c r="GGE16" s="2"/>
      <c r="GGF16" s="2"/>
      <c r="GGG16" s="2"/>
      <c r="GGH16" s="2"/>
      <c r="GGI16" s="2"/>
      <c r="GGJ16" s="2"/>
      <c r="GGK16" s="2"/>
      <c r="GGL16" s="2"/>
      <c r="GGM16" s="2"/>
      <c r="GGN16" s="2"/>
      <c r="GGO16" s="2"/>
      <c r="GGP16" s="2"/>
      <c r="GGQ16" s="2"/>
      <c r="GGR16" s="2"/>
      <c r="GGS16" s="2"/>
      <c r="GGT16" s="2"/>
      <c r="GGU16" s="2"/>
      <c r="GGV16" s="2"/>
      <c r="GGW16" s="2"/>
      <c r="GGX16" s="2"/>
      <c r="GGY16" s="2"/>
      <c r="GGZ16" s="2"/>
      <c r="GHA16" s="2"/>
      <c r="GHB16" s="2"/>
      <c r="GHC16" s="2"/>
      <c r="GHD16" s="2"/>
      <c r="GHE16" s="2"/>
      <c r="GHF16" s="2"/>
      <c r="GHG16" s="2"/>
      <c r="GHH16" s="2"/>
      <c r="GHI16" s="2"/>
      <c r="GHJ16" s="2"/>
      <c r="GHK16" s="2"/>
      <c r="GHL16" s="2"/>
      <c r="GHM16" s="2"/>
      <c r="GHN16" s="2"/>
      <c r="GHO16" s="2"/>
      <c r="GHP16" s="2"/>
      <c r="GHQ16" s="2"/>
      <c r="GHR16" s="2"/>
      <c r="GHS16" s="2"/>
      <c r="GHT16" s="2"/>
      <c r="GHU16" s="2"/>
      <c r="GHV16" s="2"/>
      <c r="GHW16" s="2"/>
      <c r="GHX16" s="2"/>
      <c r="GHY16" s="2"/>
      <c r="GHZ16" s="2"/>
      <c r="GIA16" s="2"/>
      <c r="GIB16" s="2"/>
      <c r="GIC16" s="2"/>
      <c r="GID16" s="2"/>
      <c r="GIE16" s="2"/>
      <c r="GIF16" s="2"/>
      <c r="GIG16" s="2"/>
      <c r="GIH16" s="2"/>
      <c r="GII16" s="2"/>
      <c r="GIJ16" s="2"/>
      <c r="GIK16" s="2"/>
      <c r="GIL16" s="2"/>
      <c r="GIM16" s="2"/>
      <c r="GIN16" s="2"/>
      <c r="GIO16" s="2"/>
      <c r="GIP16" s="2"/>
      <c r="GIQ16" s="2"/>
      <c r="GIR16" s="2"/>
      <c r="GIS16" s="2"/>
      <c r="GIT16" s="2"/>
      <c r="GIU16" s="2"/>
      <c r="GIV16" s="2"/>
      <c r="GIW16" s="2"/>
      <c r="GIX16" s="2"/>
      <c r="GIY16" s="2"/>
      <c r="GIZ16" s="2"/>
      <c r="GJA16" s="2"/>
      <c r="GJB16" s="2"/>
      <c r="GJC16" s="2"/>
      <c r="GJD16" s="2"/>
      <c r="GJE16" s="2"/>
      <c r="GJF16" s="2"/>
      <c r="GJG16" s="2"/>
      <c r="GJH16" s="2"/>
      <c r="GJI16" s="2"/>
      <c r="GJJ16" s="2"/>
      <c r="GJK16" s="2"/>
      <c r="GJL16" s="2"/>
      <c r="GJM16" s="2"/>
      <c r="GJN16" s="2"/>
      <c r="GJO16" s="2"/>
      <c r="GJP16" s="2"/>
      <c r="GJQ16" s="2"/>
      <c r="GJR16" s="2"/>
      <c r="GJS16" s="2"/>
      <c r="GJT16" s="2"/>
      <c r="GJU16" s="2"/>
      <c r="GJV16" s="2"/>
      <c r="GJW16" s="2"/>
      <c r="GJX16" s="2"/>
      <c r="GJY16" s="2"/>
      <c r="GJZ16" s="2"/>
      <c r="GKA16" s="2"/>
      <c r="GKB16" s="2"/>
      <c r="GKC16" s="2"/>
      <c r="GKD16" s="2"/>
      <c r="GKE16" s="2"/>
      <c r="GKF16" s="2"/>
      <c r="GKG16" s="2"/>
      <c r="GKH16" s="2"/>
      <c r="GKI16" s="2"/>
      <c r="GKJ16" s="2"/>
      <c r="GKK16" s="2"/>
      <c r="GKL16" s="2"/>
      <c r="GKM16" s="2"/>
      <c r="GKN16" s="2"/>
      <c r="GKO16" s="2"/>
      <c r="GKP16" s="2"/>
      <c r="GKQ16" s="2"/>
      <c r="GKR16" s="2"/>
      <c r="GKS16" s="2"/>
      <c r="GKT16" s="2"/>
      <c r="GKU16" s="2"/>
      <c r="GKV16" s="2"/>
      <c r="GKW16" s="2"/>
      <c r="GKX16" s="2"/>
      <c r="GKY16" s="2"/>
      <c r="GKZ16" s="2"/>
      <c r="GLA16" s="2"/>
      <c r="GLB16" s="2"/>
      <c r="GLC16" s="2"/>
      <c r="GLD16" s="2"/>
      <c r="GLE16" s="2"/>
      <c r="GLF16" s="2"/>
      <c r="GLG16" s="2"/>
      <c r="GLH16" s="2"/>
      <c r="GLI16" s="2"/>
      <c r="GLJ16" s="2"/>
      <c r="GLK16" s="2"/>
      <c r="GLL16" s="2"/>
      <c r="GLM16" s="2"/>
      <c r="GLN16" s="2"/>
      <c r="GLO16" s="2"/>
      <c r="GLP16" s="2"/>
      <c r="GLQ16" s="2"/>
      <c r="GLR16" s="2"/>
      <c r="GLS16" s="2"/>
      <c r="GLT16" s="2"/>
      <c r="GLU16" s="2"/>
      <c r="GLV16" s="2"/>
      <c r="GLW16" s="2"/>
      <c r="GLX16" s="2"/>
      <c r="GLY16" s="2"/>
      <c r="GLZ16" s="2"/>
      <c r="GMA16" s="2"/>
      <c r="GMB16" s="2"/>
      <c r="GMC16" s="2"/>
      <c r="GMD16" s="2"/>
      <c r="GME16" s="2"/>
      <c r="GMF16" s="2"/>
      <c r="GMG16" s="2"/>
      <c r="GMH16" s="2"/>
      <c r="GMI16" s="2"/>
      <c r="GMJ16" s="2"/>
      <c r="GMK16" s="2"/>
      <c r="GML16" s="2"/>
      <c r="GMM16" s="2"/>
      <c r="GMN16" s="2"/>
      <c r="GMO16" s="2"/>
      <c r="GMP16" s="2"/>
      <c r="GMQ16" s="2"/>
      <c r="GMR16" s="2"/>
      <c r="GMS16" s="2"/>
      <c r="GMT16" s="2"/>
      <c r="GMU16" s="2"/>
      <c r="GMV16" s="2"/>
      <c r="GMW16" s="2"/>
      <c r="GMX16" s="2"/>
      <c r="GMY16" s="2"/>
      <c r="GMZ16" s="2"/>
      <c r="GNA16" s="2"/>
      <c r="GNB16" s="2"/>
      <c r="GNC16" s="2"/>
      <c r="GND16" s="2"/>
      <c r="GNE16" s="2"/>
      <c r="GNF16" s="2"/>
      <c r="GNG16" s="2"/>
      <c r="GNH16" s="2"/>
      <c r="GNI16" s="2"/>
      <c r="GNJ16" s="2"/>
      <c r="GNK16" s="2"/>
      <c r="GNL16" s="2"/>
      <c r="GNM16" s="2"/>
      <c r="GNN16" s="2"/>
      <c r="GNO16" s="2"/>
      <c r="GNP16" s="2"/>
      <c r="GNQ16" s="2"/>
      <c r="GNR16" s="2"/>
      <c r="GNS16" s="2"/>
      <c r="GNT16" s="2"/>
      <c r="GNU16" s="2"/>
      <c r="GNV16" s="2"/>
      <c r="GNW16" s="2"/>
      <c r="GNX16" s="2"/>
      <c r="GNY16" s="2"/>
      <c r="GNZ16" s="2"/>
      <c r="GOA16" s="2"/>
      <c r="GOB16" s="2"/>
      <c r="GOC16" s="2"/>
      <c r="GOD16" s="2"/>
      <c r="GOE16" s="2"/>
      <c r="GOF16" s="2"/>
      <c r="GOG16" s="2"/>
      <c r="GOH16" s="2"/>
      <c r="GOI16" s="2"/>
      <c r="GOJ16" s="2"/>
      <c r="GOK16" s="2"/>
      <c r="GOL16" s="2"/>
      <c r="GOM16" s="2"/>
      <c r="GON16" s="2"/>
      <c r="GOO16" s="2"/>
      <c r="GOP16" s="2"/>
      <c r="GOQ16" s="2"/>
      <c r="GOR16" s="2"/>
      <c r="GOS16" s="2"/>
      <c r="GOT16" s="2"/>
      <c r="GOU16" s="2"/>
      <c r="GOV16" s="2"/>
      <c r="GOW16" s="2"/>
      <c r="GOX16" s="2"/>
      <c r="GOY16" s="2"/>
      <c r="GOZ16" s="2"/>
      <c r="GPA16" s="2"/>
      <c r="GPB16" s="2"/>
      <c r="GPC16" s="2"/>
      <c r="GPD16" s="2"/>
      <c r="GPE16" s="2"/>
      <c r="GPF16" s="2"/>
      <c r="GPG16" s="2"/>
      <c r="GPH16" s="2"/>
      <c r="GPI16" s="2"/>
      <c r="GPJ16" s="2"/>
      <c r="GPK16" s="2"/>
      <c r="GPL16" s="2"/>
      <c r="GPM16" s="2"/>
      <c r="GPN16" s="2"/>
      <c r="GPO16" s="2"/>
      <c r="GPP16" s="2"/>
      <c r="GPQ16" s="2"/>
      <c r="GPR16" s="2"/>
      <c r="GPS16" s="2"/>
      <c r="GPT16" s="2"/>
      <c r="GPU16" s="2"/>
      <c r="GPV16" s="2"/>
      <c r="GPW16" s="2"/>
      <c r="GPX16" s="2"/>
      <c r="GPY16" s="2"/>
      <c r="GPZ16" s="2"/>
      <c r="GQA16" s="2"/>
      <c r="GQB16" s="2"/>
      <c r="GQC16" s="2"/>
      <c r="GQD16" s="2"/>
      <c r="GQE16" s="2"/>
      <c r="GQF16" s="2"/>
      <c r="GQG16" s="2"/>
      <c r="GQH16" s="2"/>
      <c r="GQI16" s="2"/>
      <c r="GQJ16" s="2"/>
      <c r="GQK16" s="2"/>
      <c r="GQL16" s="2"/>
      <c r="GQM16" s="2"/>
      <c r="GQN16" s="2"/>
      <c r="GQO16" s="2"/>
      <c r="GQP16" s="2"/>
      <c r="GQQ16" s="2"/>
      <c r="GQR16" s="2"/>
      <c r="GQS16" s="2"/>
      <c r="GQT16" s="2"/>
      <c r="GQU16" s="2"/>
      <c r="GQV16" s="2"/>
      <c r="GQW16" s="2"/>
      <c r="GQX16" s="2"/>
      <c r="GQY16" s="2"/>
      <c r="GQZ16" s="2"/>
      <c r="GRA16" s="2"/>
      <c r="GRB16" s="2"/>
      <c r="GRC16" s="2"/>
      <c r="GRD16" s="2"/>
      <c r="GRE16" s="2"/>
      <c r="GRF16" s="2"/>
      <c r="GRG16" s="2"/>
      <c r="GRH16" s="2"/>
      <c r="GRI16" s="2"/>
      <c r="GRJ16" s="2"/>
      <c r="GRK16" s="2"/>
      <c r="GRL16" s="2"/>
      <c r="GRM16" s="2"/>
      <c r="GRN16" s="2"/>
      <c r="GRO16" s="2"/>
      <c r="GRP16" s="2"/>
      <c r="GRQ16" s="2"/>
      <c r="GRR16" s="2"/>
      <c r="GRS16" s="2"/>
      <c r="GRT16" s="2"/>
      <c r="GRU16" s="2"/>
      <c r="GRV16" s="2"/>
      <c r="GRW16" s="2"/>
      <c r="GRX16" s="2"/>
      <c r="GRY16" s="2"/>
      <c r="GRZ16" s="2"/>
      <c r="GSA16" s="2"/>
      <c r="GSB16" s="2"/>
      <c r="GSC16" s="2"/>
      <c r="GSD16" s="2"/>
      <c r="GSE16" s="2"/>
      <c r="GSF16" s="2"/>
      <c r="GSG16" s="2"/>
      <c r="GSH16" s="2"/>
      <c r="GSI16" s="2"/>
      <c r="GSJ16" s="2"/>
      <c r="GSK16" s="2"/>
      <c r="GSL16" s="2"/>
      <c r="GSM16" s="2"/>
      <c r="GSN16" s="2"/>
      <c r="GSO16" s="2"/>
      <c r="GSP16" s="2"/>
      <c r="GSQ16" s="2"/>
      <c r="GSR16" s="2"/>
      <c r="GSS16" s="2"/>
      <c r="GST16" s="2"/>
      <c r="GSU16" s="2"/>
      <c r="GSV16" s="2"/>
      <c r="GSW16" s="2"/>
      <c r="GSX16" s="2"/>
      <c r="GSY16" s="2"/>
      <c r="GSZ16" s="2"/>
      <c r="GTA16" s="2"/>
      <c r="GTB16" s="2"/>
      <c r="GTC16" s="2"/>
      <c r="GTD16" s="2"/>
      <c r="GTE16" s="2"/>
      <c r="GTF16" s="2"/>
      <c r="GTG16" s="2"/>
      <c r="GTH16" s="2"/>
      <c r="GTI16" s="2"/>
      <c r="GTJ16" s="2"/>
      <c r="GTK16" s="2"/>
      <c r="GTL16" s="2"/>
      <c r="GTM16" s="2"/>
      <c r="GTN16" s="2"/>
      <c r="GTO16" s="2"/>
      <c r="GTP16" s="2"/>
      <c r="GTQ16" s="2"/>
      <c r="GTR16" s="2"/>
      <c r="GTS16" s="2"/>
      <c r="GTT16" s="2"/>
      <c r="GTU16" s="2"/>
      <c r="GTV16" s="2"/>
      <c r="GTW16" s="2"/>
      <c r="GTX16" s="2"/>
      <c r="GTY16" s="2"/>
      <c r="GTZ16" s="2"/>
      <c r="GUA16" s="2"/>
      <c r="GUB16" s="2"/>
      <c r="GUC16" s="2"/>
      <c r="GUD16" s="2"/>
      <c r="GUE16" s="2"/>
      <c r="GUF16" s="2"/>
      <c r="GUG16" s="2"/>
      <c r="GUH16" s="2"/>
      <c r="GUI16" s="2"/>
      <c r="GUJ16" s="2"/>
      <c r="GUK16" s="2"/>
      <c r="GUL16" s="2"/>
      <c r="GUM16" s="2"/>
      <c r="GUN16" s="2"/>
      <c r="GUO16" s="2"/>
      <c r="GUP16" s="2"/>
      <c r="GUQ16" s="2"/>
      <c r="GUR16" s="2"/>
      <c r="GUS16" s="2"/>
      <c r="GUT16" s="2"/>
      <c r="GUU16" s="2"/>
      <c r="GUV16" s="2"/>
      <c r="GUW16" s="2"/>
      <c r="GUX16" s="2"/>
      <c r="GUY16" s="2"/>
      <c r="GUZ16" s="2"/>
      <c r="GVA16" s="2"/>
      <c r="GVB16" s="2"/>
      <c r="GVC16" s="2"/>
      <c r="GVD16" s="2"/>
      <c r="GVE16" s="2"/>
      <c r="GVF16" s="2"/>
      <c r="GVG16" s="2"/>
      <c r="GVH16" s="2"/>
      <c r="GVI16" s="2"/>
      <c r="GVJ16" s="2"/>
      <c r="GVK16" s="2"/>
      <c r="GVL16" s="2"/>
      <c r="GVM16" s="2"/>
      <c r="GVN16" s="2"/>
      <c r="GVO16" s="2"/>
      <c r="GVP16" s="2"/>
      <c r="GVQ16" s="2"/>
      <c r="GVR16" s="2"/>
      <c r="GVS16" s="2"/>
      <c r="GVT16" s="2"/>
      <c r="GVU16" s="2"/>
      <c r="GVV16" s="2"/>
      <c r="GVW16" s="2"/>
      <c r="GVX16" s="2"/>
      <c r="GVY16" s="2"/>
      <c r="GVZ16" s="2"/>
      <c r="GWA16" s="2"/>
      <c r="GWB16" s="2"/>
      <c r="GWC16" s="2"/>
      <c r="GWD16" s="2"/>
      <c r="GWE16" s="2"/>
      <c r="GWF16" s="2"/>
      <c r="GWG16" s="2"/>
      <c r="GWH16" s="2"/>
      <c r="GWI16" s="2"/>
      <c r="GWJ16" s="2"/>
      <c r="GWK16" s="2"/>
      <c r="GWL16" s="2"/>
      <c r="GWM16" s="2"/>
      <c r="GWN16" s="2"/>
      <c r="GWO16" s="2"/>
      <c r="GWP16" s="2"/>
      <c r="GWQ16" s="2"/>
      <c r="GWR16" s="2"/>
      <c r="GWS16" s="2"/>
      <c r="GWT16" s="2"/>
      <c r="GWU16" s="2"/>
      <c r="GWV16" s="2"/>
      <c r="GWW16" s="2"/>
      <c r="GWX16" s="2"/>
      <c r="GWY16" s="2"/>
      <c r="GWZ16" s="2"/>
      <c r="GXA16" s="2"/>
      <c r="GXB16" s="2"/>
      <c r="GXC16" s="2"/>
      <c r="GXD16" s="2"/>
      <c r="GXE16" s="2"/>
      <c r="GXF16" s="2"/>
      <c r="GXG16" s="2"/>
      <c r="GXH16" s="2"/>
      <c r="GXI16" s="2"/>
      <c r="GXJ16" s="2"/>
      <c r="GXK16" s="2"/>
      <c r="GXL16" s="2"/>
      <c r="GXM16" s="2"/>
      <c r="GXN16" s="2"/>
      <c r="GXO16" s="2"/>
      <c r="GXP16" s="2"/>
      <c r="GXQ16" s="2"/>
      <c r="GXR16" s="2"/>
      <c r="GXS16" s="2"/>
      <c r="GXT16" s="2"/>
      <c r="GXU16" s="2"/>
      <c r="GXV16" s="2"/>
      <c r="GXW16" s="2"/>
      <c r="GXX16" s="2"/>
      <c r="GXY16" s="2"/>
      <c r="GXZ16" s="2"/>
      <c r="GYA16" s="2"/>
      <c r="GYB16" s="2"/>
      <c r="GYC16" s="2"/>
      <c r="GYD16" s="2"/>
      <c r="GYE16" s="2"/>
      <c r="GYF16" s="2"/>
      <c r="GYG16" s="2"/>
      <c r="GYH16" s="2"/>
      <c r="GYI16" s="2"/>
      <c r="GYJ16" s="2"/>
      <c r="GYK16" s="2"/>
      <c r="GYL16" s="2"/>
      <c r="GYM16" s="2"/>
      <c r="GYN16" s="2"/>
      <c r="GYO16" s="2"/>
      <c r="GYP16" s="2"/>
      <c r="GYQ16" s="2"/>
      <c r="GYR16" s="2"/>
      <c r="GYS16" s="2"/>
      <c r="GYT16" s="2"/>
      <c r="GYU16" s="2"/>
      <c r="GYV16" s="2"/>
      <c r="GYW16" s="2"/>
      <c r="GYX16" s="2"/>
      <c r="GYY16" s="2"/>
      <c r="GYZ16" s="2"/>
      <c r="GZA16" s="2"/>
      <c r="GZB16" s="2"/>
      <c r="GZC16" s="2"/>
      <c r="GZD16" s="2"/>
      <c r="GZE16" s="2"/>
      <c r="GZF16" s="2"/>
      <c r="GZG16" s="2"/>
      <c r="GZH16" s="2"/>
      <c r="GZI16" s="2"/>
      <c r="GZJ16" s="2"/>
      <c r="GZK16" s="2"/>
      <c r="GZL16" s="2"/>
      <c r="GZM16" s="2"/>
      <c r="GZN16" s="2"/>
      <c r="GZO16" s="2"/>
      <c r="GZP16" s="2"/>
      <c r="GZQ16" s="2"/>
      <c r="GZR16" s="2"/>
      <c r="GZS16" s="2"/>
      <c r="GZT16" s="2"/>
      <c r="GZU16" s="2"/>
      <c r="GZV16" s="2"/>
      <c r="GZW16" s="2"/>
      <c r="GZX16" s="2"/>
      <c r="GZY16" s="2"/>
      <c r="GZZ16" s="2"/>
      <c r="HAA16" s="2"/>
      <c r="HAB16" s="2"/>
      <c r="HAC16" s="2"/>
      <c r="HAD16" s="2"/>
      <c r="HAE16" s="2"/>
      <c r="HAF16" s="2"/>
      <c r="HAG16" s="2"/>
      <c r="HAH16" s="2"/>
      <c r="HAI16" s="2"/>
      <c r="HAJ16" s="2"/>
      <c r="HAK16" s="2"/>
      <c r="HAL16" s="2"/>
      <c r="HAM16" s="2"/>
      <c r="HAN16" s="2"/>
      <c r="HAO16" s="2"/>
      <c r="HAP16" s="2"/>
      <c r="HAQ16" s="2"/>
      <c r="HAR16" s="2"/>
      <c r="HAS16" s="2"/>
      <c r="HAT16" s="2"/>
      <c r="HAU16" s="2"/>
      <c r="HAV16" s="2"/>
      <c r="HAW16" s="2"/>
      <c r="HAX16" s="2"/>
      <c r="HAY16" s="2"/>
      <c r="HAZ16" s="2"/>
      <c r="HBA16" s="2"/>
      <c r="HBB16" s="2"/>
      <c r="HBC16" s="2"/>
      <c r="HBD16" s="2"/>
      <c r="HBE16" s="2"/>
      <c r="HBF16" s="2"/>
      <c r="HBG16" s="2"/>
      <c r="HBH16" s="2"/>
      <c r="HBI16" s="2"/>
      <c r="HBJ16" s="2"/>
      <c r="HBK16" s="2"/>
      <c r="HBL16" s="2"/>
      <c r="HBM16" s="2"/>
      <c r="HBN16" s="2"/>
      <c r="HBO16" s="2"/>
      <c r="HBP16" s="2"/>
      <c r="HBQ16" s="2"/>
      <c r="HBR16" s="2"/>
      <c r="HBS16" s="2"/>
      <c r="HBT16" s="2"/>
      <c r="HBU16" s="2"/>
      <c r="HBV16" s="2"/>
      <c r="HBW16" s="2"/>
      <c r="HBX16" s="2"/>
      <c r="HBY16" s="2"/>
      <c r="HBZ16" s="2"/>
      <c r="HCA16" s="2"/>
      <c r="HCB16" s="2"/>
      <c r="HCC16" s="2"/>
      <c r="HCD16" s="2"/>
      <c r="HCE16" s="2"/>
      <c r="HCF16" s="2"/>
      <c r="HCG16" s="2"/>
      <c r="HCH16" s="2"/>
      <c r="HCI16" s="2"/>
      <c r="HCJ16" s="2"/>
      <c r="HCK16" s="2"/>
      <c r="HCL16" s="2"/>
      <c r="HCM16" s="2"/>
      <c r="HCN16" s="2"/>
      <c r="HCO16" s="2"/>
      <c r="HCP16" s="2"/>
      <c r="HCQ16" s="2"/>
      <c r="HCR16" s="2"/>
      <c r="HCS16" s="2"/>
      <c r="HCT16" s="2"/>
      <c r="HCU16" s="2"/>
      <c r="HCV16" s="2"/>
      <c r="HCW16" s="2"/>
      <c r="HCX16" s="2"/>
      <c r="HCY16" s="2"/>
      <c r="HCZ16" s="2"/>
      <c r="HDA16" s="2"/>
      <c r="HDB16" s="2"/>
      <c r="HDC16" s="2"/>
      <c r="HDD16" s="2"/>
      <c r="HDE16" s="2"/>
      <c r="HDF16" s="2"/>
      <c r="HDG16" s="2"/>
      <c r="HDH16" s="2"/>
      <c r="HDI16" s="2"/>
      <c r="HDJ16" s="2"/>
      <c r="HDK16" s="2"/>
      <c r="HDL16" s="2"/>
      <c r="HDM16" s="2"/>
      <c r="HDN16" s="2"/>
      <c r="HDO16" s="2"/>
      <c r="HDP16" s="2"/>
      <c r="HDQ16" s="2"/>
      <c r="HDR16" s="2"/>
      <c r="HDS16" s="2"/>
      <c r="HDT16" s="2"/>
      <c r="HDU16" s="2"/>
      <c r="HDV16" s="2"/>
      <c r="HDW16" s="2"/>
      <c r="HDX16" s="2"/>
      <c r="HDY16" s="2"/>
      <c r="HDZ16" s="2"/>
      <c r="HEA16" s="2"/>
      <c r="HEB16" s="2"/>
      <c r="HEC16" s="2"/>
      <c r="HED16" s="2"/>
      <c r="HEE16" s="2"/>
      <c r="HEF16" s="2"/>
      <c r="HEG16" s="2"/>
      <c r="HEH16" s="2"/>
      <c r="HEI16" s="2"/>
      <c r="HEJ16" s="2"/>
      <c r="HEK16" s="2"/>
      <c r="HEL16" s="2"/>
      <c r="HEM16" s="2"/>
      <c r="HEN16" s="2"/>
      <c r="HEO16" s="2"/>
      <c r="HEP16" s="2"/>
      <c r="HEQ16" s="2"/>
      <c r="HER16" s="2"/>
      <c r="HES16" s="2"/>
      <c r="HET16" s="2"/>
      <c r="HEU16" s="2"/>
      <c r="HEV16" s="2"/>
      <c r="HEW16" s="2"/>
      <c r="HEX16" s="2"/>
      <c r="HEY16" s="2"/>
      <c r="HEZ16" s="2"/>
      <c r="HFA16" s="2"/>
      <c r="HFB16" s="2"/>
      <c r="HFC16" s="2"/>
      <c r="HFD16" s="2"/>
      <c r="HFE16" s="2"/>
      <c r="HFF16" s="2"/>
      <c r="HFG16" s="2"/>
      <c r="HFH16" s="2"/>
      <c r="HFI16" s="2"/>
      <c r="HFJ16" s="2"/>
      <c r="HFK16" s="2"/>
      <c r="HFL16" s="2"/>
      <c r="HFM16" s="2"/>
      <c r="HFN16" s="2"/>
      <c r="HFO16" s="2"/>
      <c r="HFP16" s="2"/>
      <c r="HFQ16" s="2"/>
      <c r="HFR16" s="2"/>
      <c r="HFS16" s="2"/>
      <c r="HFT16" s="2"/>
      <c r="HFU16" s="2"/>
      <c r="HFV16" s="2"/>
      <c r="HFW16" s="2"/>
      <c r="HFX16" s="2"/>
      <c r="HFY16" s="2"/>
      <c r="HFZ16" s="2"/>
      <c r="HGA16" s="2"/>
      <c r="HGB16" s="2"/>
      <c r="HGC16" s="2"/>
      <c r="HGD16" s="2"/>
      <c r="HGE16" s="2"/>
      <c r="HGF16" s="2"/>
      <c r="HGG16" s="2"/>
      <c r="HGH16" s="2"/>
      <c r="HGI16" s="2"/>
      <c r="HGJ16" s="2"/>
      <c r="HGK16" s="2"/>
      <c r="HGL16" s="2"/>
      <c r="HGM16" s="2"/>
      <c r="HGN16" s="2"/>
      <c r="HGO16" s="2"/>
      <c r="HGP16" s="2"/>
      <c r="HGQ16" s="2"/>
      <c r="HGR16" s="2"/>
      <c r="HGS16" s="2"/>
      <c r="HGT16" s="2"/>
      <c r="HGU16" s="2"/>
      <c r="HGV16" s="2"/>
      <c r="HGW16" s="2"/>
      <c r="HGX16" s="2"/>
      <c r="HGY16" s="2"/>
      <c r="HGZ16" s="2"/>
      <c r="HHA16" s="2"/>
      <c r="HHB16" s="2"/>
      <c r="HHC16" s="2"/>
      <c r="HHD16" s="2"/>
      <c r="HHE16" s="2"/>
      <c r="HHF16" s="2"/>
      <c r="HHG16" s="2"/>
      <c r="HHH16" s="2"/>
      <c r="HHI16" s="2"/>
      <c r="HHJ16" s="2"/>
      <c r="HHK16" s="2"/>
      <c r="HHL16" s="2"/>
      <c r="HHM16" s="2"/>
      <c r="HHN16" s="2"/>
      <c r="HHO16" s="2"/>
      <c r="HHP16" s="2"/>
      <c r="HHQ16" s="2"/>
      <c r="HHR16" s="2"/>
      <c r="HHS16" s="2"/>
      <c r="HHT16" s="2"/>
      <c r="HHU16" s="2"/>
      <c r="HHV16" s="2"/>
      <c r="HHW16" s="2"/>
      <c r="HHX16" s="2"/>
      <c r="HHY16" s="2"/>
      <c r="HHZ16" s="2"/>
      <c r="HIA16" s="2"/>
      <c r="HIB16" s="2"/>
      <c r="HIC16" s="2"/>
      <c r="HID16" s="2"/>
      <c r="HIE16" s="2"/>
      <c r="HIF16" s="2"/>
      <c r="HIG16" s="2"/>
      <c r="HIH16" s="2"/>
      <c r="HII16" s="2"/>
      <c r="HIJ16" s="2"/>
      <c r="HIK16" s="2"/>
      <c r="HIL16" s="2"/>
      <c r="HIM16" s="2"/>
      <c r="HIN16" s="2"/>
      <c r="HIO16" s="2"/>
      <c r="HIP16" s="2"/>
      <c r="HIQ16" s="2"/>
      <c r="HIR16" s="2"/>
      <c r="HIS16" s="2"/>
      <c r="HIT16" s="2"/>
      <c r="HIU16" s="2"/>
      <c r="HIV16" s="2"/>
      <c r="HIW16" s="2"/>
      <c r="HIX16" s="2"/>
      <c r="HIY16" s="2"/>
      <c r="HIZ16" s="2"/>
      <c r="HJA16" s="2"/>
      <c r="HJB16" s="2"/>
      <c r="HJC16" s="2"/>
      <c r="HJD16" s="2"/>
      <c r="HJE16" s="2"/>
      <c r="HJF16" s="2"/>
      <c r="HJG16" s="2"/>
      <c r="HJH16" s="2"/>
      <c r="HJI16" s="2"/>
      <c r="HJJ16" s="2"/>
      <c r="HJK16" s="2"/>
      <c r="HJL16" s="2"/>
      <c r="HJM16" s="2"/>
      <c r="HJN16" s="2"/>
      <c r="HJO16" s="2"/>
      <c r="HJP16" s="2"/>
      <c r="HJQ16" s="2"/>
      <c r="HJR16" s="2"/>
      <c r="HJS16" s="2"/>
      <c r="HJT16" s="2"/>
      <c r="HJU16" s="2"/>
      <c r="HJV16" s="2"/>
      <c r="HJW16" s="2"/>
      <c r="HJX16" s="2"/>
      <c r="HJY16" s="2"/>
      <c r="HJZ16" s="2"/>
      <c r="HKA16" s="2"/>
      <c r="HKB16" s="2"/>
      <c r="HKC16" s="2"/>
      <c r="HKD16" s="2"/>
      <c r="HKE16" s="2"/>
      <c r="HKF16" s="2"/>
      <c r="HKG16" s="2"/>
      <c r="HKH16" s="2"/>
      <c r="HKI16" s="2"/>
      <c r="HKJ16" s="2"/>
      <c r="HKK16" s="2"/>
      <c r="HKL16" s="2"/>
      <c r="HKM16" s="2"/>
      <c r="HKN16" s="2"/>
      <c r="HKO16" s="2"/>
      <c r="HKP16" s="2"/>
      <c r="HKQ16" s="2"/>
      <c r="HKR16" s="2"/>
      <c r="HKS16" s="2"/>
      <c r="HKT16" s="2"/>
      <c r="HKU16" s="2"/>
      <c r="HKV16" s="2"/>
      <c r="HKW16" s="2"/>
      <c r="HKX16" s="2"/>
      <c r="HKY16" s="2"/>
      <c r="HKZ16" s="2"/>
      <c r="HLA16" s="2"/>
      <c r="HLB16" s="2"/>
      <c r="HLC16" s="2"/>
      <c r="HLD16" s="2"/>
      <c r="HLE16" s="2"/>
      <c r="HLF16" s="2"/>
      <c r="HLG16" s="2"/>
      <c r="HLH16" s="2"/>
      <c r="HLI16" s="2"/>
      <c r="HLJ16" s="2"/>
      <c r="HLK16" s="2"/>
      <c r="HLL16" s="2"/>
      <c r="HLM16" s="2"/>
      <c r="HLN16" s="2"/>
      <c r="HLO16" s="2"/>
      <c r="HLP16" s="2"/>
      <c r="HLQ16" s="2"/>
      <c r="HLR16" s="2"/>
      <c r="HLS16" s="2"/>
      <c r="HLT16" s="2"/>
      <c r="HLU16" s="2"/>
      <c r="HLV16" s="2"/>
      <c r="HLW16" s="2"/>
      <c r="HLX16" s="2"/>
      <c r="HLY16" s="2"/>
      <c r="HLZ16" s="2"/>
      <c r="HMA16" s="2"/>
      <c r="HMB16" s="2"/>
      <c r="HMC16" s="2"/>
      <c r="HMD16" s="2"/>
      <c r="HME16" s="2"/>
      <c r="HMF16" s="2"/>
      <c r="HMG16" s="2"/>
      <c r="HMH16" s="2"/>
      <c r="HMI16" s="2"/>
      <c r="HMJ16" s="2"/>
      <c r="HMK16" s="2"/>
      <c r="HML16" s="2"/>
      <c r="HMM16" s="2"/>
      <c r="HMN16" s="2"/>
      <c r="HMO16" s="2"/>
      <c r="HMP16" s="2"/>
      <c r="HMQ16" s="2"/>
      <c r="HMR16" s="2"/>
      <c r="HMS16" s="2"/>
      <c r="HMT16" s="2"/>
      <c r="HMU16" s="2"/>
      <c r="HMV16" s="2"/>
      <c r="HMW16" s="2"/>
      <c r="HMX16" s="2"/>
      <c r="HMY16" s="2"/>
      <c r="HMZ16" s="2"/>
      <c r="HNA16" s="2"/>
      <c r="HNB16" s="2"/>
      <c r="HNC16" s="2"/>
      <c r="HND16" s="2"/>
      <c r="HNE16" s="2"/>
      <c r="HNF16" s="2"/>
      <c r="HNG16" s="2"/>
      <c r="HNH16" s="2"/>
      <c r="HNI16" s="2"/>
      <c r="HNJ16" s="2"/>
      <c r="HNK16" s="2"/>
      <c r="HNL16" s="2"/>
      <c r="HNM16" s="2"/>
      <c r="HNN16" s="2"/>
      <c r="HNO16" s="2"/>
      <c r="HNP16" s="2"/>
      <c r="HNQ16" s="2"/>
      <c r="HNR16" s="2"/>
      <c r="HNS16" s="2"/>
      <c r="HNT16" s="2"/>
      <c r="HNU16" s="2"/>
      <c r="HNV16" s="2"/>
      <c r="HNW16" s="2"/>
      <c r="HNX16" s="2"/>
      <c r="HNY16" s="2"/>
      <c r="HNZ16" s="2"/>
      <c r="HOA16" s="2"/>
      <c r="HOB16" s="2"/>
      <c r="HOC16" s="2"/>
      <c r="HOD16" s="2"/>
      <c r="HOE16" s="2"/>
      <c r="HOF16" s="2"/>
      <c r="HOG16" s="2"/>
      <c r="HOH16" s="2"/>
      <c r="HOI16" s="2"/>
      <c r="HOJ16" s="2"/>
      <c r="HOK16" s="2"/>
      <c r="HOL16" s="2"/>
      <c r="HOM16" s="2"/>
      <c r="HON16" s="2"/>
      <c r="HOO16" s="2"/>
      <c r="HOP16" s="2"/>
      <c r="HOQ16" s="2"/>
      <c r="HOR16" s="2"/>
      <c r="HOS16" s="2"/>
      <c r="HOT16" s="2"/>
      <c r="HOU16" s="2"/>
      <c r="HOV16" s="2"/>
      <c r="HOW16" s="2"/>
      <c r="HOX16" s="2"/>
      <c r="HOY16" s="2"/>
      <c r="HOZ16" s="2"/>
      <c r="HPA16" s="2"/>
      <c r="HPB16" s="2"/>
      <c r="HPC16" s="2"/>
      <c r="HPD16" s="2"/>
      <c r="HPE16" s="2"/>
      <c r="HPF16" s="2"/>
      <c r="HPG16" s="2"/>
      <c r="HPH16" s="2"/>
      <c r="HPI16" s="2"/>
      <c r="HPJ16" s="2"/>
      <c r="HPK16" s="2"/>
      <c r="HPL16" s="2"/>
      <c r="HPM16" s="2"/>
      <c r="HPN16" s="2"/>
      <c r="HPO16" s="2"/>
      <c r="HPP16" s="2"/>
      <c r="HPQ16" s="2"/>
      <c r="HPR16" s="2"/>
      <c r="HPS16" s="2"/>
      <c r="HPT16" s="2"/>
      <c r="HPU16" s="2"/>
      <c r="HPV16" s="2"/>
      <c r="HPW16" s="2"/>
      <c r="HPX16" s="2"/>
      <c r="HPY16" s="2"/>
      <c r="HPZ16" s="2"/>
      <c r="HQA16" s="2"/>
      <c r="HQB16" s="2"/>
      <c r="HQC16" s="2"/>
      <c r="HQD16" s="2"/>
      <c r="HQE16" s="2"/>
      <c r="HQF16" s="2"/>
      <c r="HQG16" s="2"/>
      <c r="HQH16" s="2"/>
      <c r="HQI16" s="2"/>
      <c r="HQJ16" s="2"/>
      <c r="HQK16" s="2"/>
      <c r="HQL16" s="2"/>
      <c r="HQM16" s="2"/>
      <c r="HQN16" s="2"/>
      <c r="HQO16" s="2"/>
      <c r="HQP16" s="2"/>
      <c r="HQQ16" s="2"/>
      <c r="HQR16" s="2"/>
      <c r="HQS16" s="2"/>
      <c r="HQT16" s="2"/>
      <c r="HQU16" s="2"/>
      <c r="HQV16" s="2"/>
      <c r="HQW16" s="2"/>
      <c r="HQX16" s="2"/>
      <c r="HQY16" s="2"/>
      <c r="HQZ16" s="2"/>
      <c r="HRA16" s="2"/>
      <c r="HRB16" s="2"/>
      <c r="HRC16" s="2"/>
      <c r="HRD16" s="2"/>
      <c r="HRE16" s="2"/>
      <c r="HRF16" s="2"/>
      <c r="HRG16" s="2"/>
      <c r="HRH16" s="2"/>
      <c r="HRI16" s="2"/>
      <c r="HRJ16" s="2"/>
      <c r="HRK16" s="2"/>
      <c r="HRL16" s="2"/>
      <c r="HRM16" s="2"/>
      <c r="HRN16" s="2"/>
      <c r="HRO16" s="2"/>
      <c r="HRP16" s="2"/>
      <c r="HRQ16" s="2"/>
      <c r="HRR16" s="2"/>
      <c r="HRS16" s="2"/>
      <c r="HRT16" s="2"/>
      <c r="HRU16" s="2"/>
      <c r="HRV16" s="2"/>
      <c r="HRW16" s="2"/>
      <c r="HRX16" s="2"/>
      <c r="HRY16" s="2"/>
      <c r="HRZ16" s="2"/>
      <c r="HSA16" s="2"/>
      <c r="HSB16" s="2"/>
      <c r="HSC16" s="2"/>
      <c r="HSD16" s="2"/>
      <c r="HSE16" s="2"/>
      <c r="HSF16" s="2"/>
      <c r="HSG16" s="2"/>
      <c r="HSH16" s="2"/>
      <c r="HSI16" s="2"/>
      <c r="HSJ16" s="2"/>
      <c r="HSK16" s="2"/>
      <c r="HSL16" s="2"/>
      <c r="HSM16" s="2"/>
      <c r="HSN16" s="2"/>
      <c r="HSO16" s="2"/>
      <c r="HSP16" s="2"/>
      <c r="HSQ16" s="2"/>
      <c r="HSR16" s="2"/>
      <c r="HSS16" s="2"/>
      <c r="HST16" s="2"/>
      <c r="HSU16" s="2"/>
      <c r="HSV16" s="2"/>
      <c r="HSW16" s="2"/>
      <c r="HSX16" s="2"/>
      <c r="HSY16" s="2"/>
      <c r="HSZ16" s="2"/>
      <c r="HTA16" s="2"/>
      <c r="HTB16" s="2"/>
      <c r="HTC16" s="2"/>
      <c r="HTD16" s="2"/>
      <c r="HTE16" s="2"/>
      <c r="HTF16" s="2"/>
      <c r="HTG16" s="2"/>
      <c r="HTH16" s="2"/>
      <c r="HTI16" s="2"/>
      <c r="HTJ16" s="2"/>
      <c r="HTK16" s="2"/>
      <c r="HTL16" s="2"/>
      <c r="HTM16" s="2"/>
      <c r="HTN16" s="2"/>
      <c r="HTO16" s="2"/>
      <c r="HTP16" s="2"/>
      <c r="HTQ16" s="2"/>
      <c r="HTR16" s="2"/>
      <c r="HTS16" s="2"/>
      <c r="HTT16" s="2"/>
      <c r="HTU16" s="2"/>
      <c r="HTV16" s="2"/>
      <c r="HTW16" s="2"/>
      <c r="HTX16" s="2"/>
      <c r="HTY16" s="2"/>
      <c r="HTZ16" s="2"/>
      <c r="HUA16" s="2"/>
      <c r="HUB16" s="2"/>
      <c r="HUC16" s="2"/>
      <c r="HUD16" s="2"/>
      <c r="HUE16" s="2"/>
      <c r="HUF16" s="2"/>
      <c r="HUG16" s="2"/>
      <c r="HUH16" s="2"/>
      <c r="HUI16" s="2"/>
      <c r="HUJ16" s="2"/>
      <c r="HUK16" s="2"/>
      <c r="HUL16" s="2"/>
      <c r="HUM16" s="2"/>
      <c r="HUN16" s="2"/>
      <c r="HUO16" s="2"/>
      <c r="HUP16" s="2"/>
      <c r="HUQ16" s="2"/>
      <c r="HUR16" s="2"/>
      <c r="HUS16" s="2"/>
      <c r="HUT16" s="2"/>
      <c r="HUU16" s="2"/>
      <c r="HUV16" s="2"/>
      <c r="HUW16" s="2"/>
      <c r="HUX16" s="2"/>
      <c r="HUY16" s="2"/>
      <c r="HUZ16" s="2"/>
      <c r="HVA16" s="2"/>
      <c r="HVB16" s="2"/>
      <c r="HVC16" s="2"/>
      <c r="HVD16" s="2"/>
      <c r="HVE16" s="2"/>
      <c r="HVF16" s="2"/>
      <c r="HVG16" s="2"/>
      <c r="HVH16" s="2"/>
      <c r="HVI16" s="2"/>
      <c r="HVJ16" s="2"/>
      <c r="HVK16" s="2"/>
      <c r="HVL16" s="2"/>
      <c r="HVM16" s="2"/>
      <c r="HVN16" s="2"/>
      <c r="HVO16" s="2"/>
      <c r="HVP16" s="2"/>
      <c r="HVQ16" s="2"/>
      <c r="HVR16" s="2"/>
      <c r="HVS16" s="2"/>
      <c r="HVT16" s="2"/>
      <c r="HVU16" s="2"/>
      <c r="HVV16" s="2"/>
      <c r="HVW16" s="2"/>
      <c r="HVX16" s="2"/>
      <c r="HVY16" s="2"/>
      <c r="HVZ16" s="2"/>
      <c r="HWA16" s="2"/>
      <c r="HWB16" s="2"/>
      <c r="HWC16" s="2"/>
      <c r="HWD16" s="2"/>
      <c r="HWE16" s="2"/>
      <c r="HWF16" s="2"/>
      <c r="HWG16" s="2"/>
      <c r="HWH16" s="2"/>
      <c r="HWI16" s="2"/>
      <c r="HWJ16" s="2"/>
      <c r="HWK16" s="2"/>
      <c r="HWL16" s="2"/>
      <c r="HWM16" s="2"/>
      <c r="HWN16" s="2"/>
      <c r="HWO16" s="2"/>
      <c r="HWP16" s="2"/>
      <c r="HWQ16" s="2"/>
      <c r="HWR16" s="2"/>
      <c r="HWS16" s="2"/>
      <c r="HWT16" s="2"/>
      <c r="HWU16" s="2"/>
      <c r="HWV16" s="2"/>
      <c r="HWW16" s="2"/>
      <c r="HWX16" s="2"/>
      <c r="HWY16" s="2"/>
      <c r="HWZ16" s="2"/>
      <c r="HXA16" s="2"/>
      <c r="HXB16" s="2"/>
      <c r="HXC16" s="2"/>
      <c r="HXD16" s="2"/>
      <c r="HXE16" s="2"/>
      <c r="HXF16" s="2"/>
      <c r="HXG16" s="2"/>
      <c r="HXH16" s="2"/>
      <c r="HXI16" s="2"/>
      <c r="HXJ16" s="2"/>
      <c r="HXK16" s="2"/>
      <c r="HXL16" s="2"/>
      <c r="HXM16" s="2"/>
      <c r="HXN16" s="2"/>
      <c r="HXO16" s="2"/>
      <c r="HXP16" s="2"/>
      <c r="HXQ16" s="2"/>
      <c r="HXR16" s="2"/>
      <c r="HXS16" s="2"/>
      <c r="HXT16" s="2"/>
      <c r="HXU16" s="2"/>
      <c r="HXV16" s="2"/>
      <c r="HXW16" s="2"/>
      <c r="HXX16" s="2"/>
      <c r="HXY16" s="2"/>
      <c r="HXZ16" s="2"/>
      <c r="HYA16" s="2"/>
      <c r="HYB16" s="2"/>
      <c r="HYC16" s="2"/>
      <c r="HYD16" s="2"/>
      <c r="HYE16" s="2"/>
      <c r="HYF16" s="2"/>
      <c r="HYG16" s="2"/>
      <c r="HYH16" s="2"/>
      <c r="HYI16" s="2"/>
      <c r="HYJ16" s="2"/>
      <c r="HYK16" s="2"/>
      <c r="HYL16" s="2"/>
      <c r="HYM16" s="2"/>
      <c r="HYN16" s="2"/>
      <c r="HYO16" s="2"/>
      <c r="HYP16" s="2"/>
      <c r="HYQ16" s="2"/>
      <c r="HYR16" s="2"/>
      <c r="HYS16" s="2"/>
      <c r="HYT16" s="2"/>
      <c r="HYU16" s="2"/>
      <c r="HYV16" s="2"/>
      <c r="HYW16" s="2"/>
      <c r="HYX16" s="2"/>
      <c r="HYY16" s="2"/>
      <c r="HYZ16" s="2"/>
      <c r="HZA16" s="2"/>
      <c r="HZB16" s="2"/>
      <c r="HZC16" s="2"/>
      <c r="HZD16" s="2"/>
      <c r="HZE16" s="2"/>
      <c r="HZF16" s="2"/>
      <c r="HZG16" s="2"/>
      <c r="HZH16" s="2"/>
      <c r="HZI16" s="2"/>
      <c r="HZJ16" s="2"/>
      <c r="HZK16" s="2"/>
      <c r="HZL16" s="2"/>
      <c r="HZM16" s="2"/>
      <c r="HZN16" s="2"/>
      <c r="HZO16" s="2"/>
      <c r="HZP16" s="2"/>
      <c r="HZQ16" s="2"/>
      <c r="HZR16" s="2"/>
      <c r="HZS16" s="2"/>
      <c r="HZT16" s="2"/>
      <c r="HZU16" s="2"/>
      <c r="HZV16" s="2"/>
      <c r="HZW16" s="2"/>
      <c r="HZX16" s="2"/>
      <c r="HZY16" s="2"/>
      <c r="HZZ16" s="2"/>
      <c r="IAA16" s="2"/>
      <c r="IAB16" s="2"/>
      <c r="IAC16" s="2"/>
      <c r="IAD16" s="2"/>
      <c r="IAE16" s="2"/>
      <c r="IAF16" s="2"/>
      <c r="IAG16" s="2"/>
      <c r="IAH16" s="2"/>
      <c r="IAI16" s="2"/>
      <c r="IAJ16" s="2"/>
      <c r="IAK16" s="2"/>
      <c r="IAL16" s="2"/>
      <c r="IAM16" s="2"/>
      <c r="IAN16" s="2"/>
      <c r="IAO16" s="2"/>
      <c r="IAP16" s="2"/>
      <c r="IAQ16" s="2"/>
      <c r="IAR16" s="2"/>
      <c r="IAS16" s="2"/>
      <c r="IAT16" s="2"/>
      <c r="IAU16" s="2"/>
      <c r="IAV16" s="2"/>
      <c r="IAW16" s="2"/>
      <c r="IAX16" s="2"/>
      <c r="IAY16" s="2"/>
      <c r="IAZ16" s="2"/>
      <c r="IBA16" s="2"/>
      <c r="IBB16" s="2"/>
      <c r="IBC16" s="2"/>
      <c r="IBD16" s="2"/>
      <c r="IBE16" s="2"/>
      <c r="IBF16" s="2"/>
      <c r="IBG16" s="2"/>
      <c r="IBH16" s="2"/>
      <c r="IBI16" s="2"/>
      <c r="IBJ16" s="2"/>
      <c r="IBK16" s="2"/>
      <c r="IBL16" s="2"/>
      <c r="IBM16" s="2"/>
      <c r="IBN16" s="2"/>
      <c r="IBO16" s="2"/>
      <c r="IBP16" s="2"/>
      <c r="IBQ16" s="2"/>
      <c r="IBR16" s="2"/>
      <c r="IBS16" s="2"/>
      <c r="IBT16" s="2"/>
      <c r="IBU16" s="2"/>
      <c r="IBV16" s="2"/>
      <c r="IBW16" s="2"/>
      <c r="IBX16" s="2"/>
      <c r="IBY16" s="2"/>
      <c r="IBZ16" s="2"/>
      <c r="ICA16" s="2"/>
      <c r="ICB16" s="2"/>
      <c r="ICC16" s="2"/>
      <c r="ICD16" s="2"/>
      <c r="ICE16" s="2"/>
      <c r="ICF16" s="2"/>
      <c r="ICG16" s="2"/>
      <c r="ICH16" s="2"/>
      <c r="ICI16" s="2"/>
      <c r="ICJ16" s="2"/>
      <c r="ICK16" s="2"/>
      <c r="ICL16" s="2"/>
      <c r="ICM16" s="2"/>
      <c r="ICN16" s="2"/>
      <c r="ICO16" s="2"/>
      <c r="ICP16" s="2"/>
      <c r="ICQ16" s="2"/>
      <c r="ICR16" s="2"/>
      <c r="ICS16" s="2"/>
      <c r="ICT16" s="2"/>
      <c r="ICU16" s="2"/>
      <c r="ICV16" s="2"/>
      <c r="ICW16" s="2"/>
      <c r="ICX16" s="2"/>
      <c r="ICY16" s="2"/>
      <c r="ICZ16" s="2"/>
      <c r="IDA16" s="2"/>
      <c r="IDB16" s="2"/>
      <c r="IDC16" s="2"/>
      <c r="IDD16" s="2"/>
      <c r="IDE16" s="2"/>
      <c r="IDF16" s="2"/>
      <c r="IDG16" s="2"/>
      <c r="IDH16" s="2"/>
      <c r="IDI16" s="2"/>
      <c r="IDJ16" s="2"/>
      <c r="IDK16" s="2"/>
      <c r="IDL16" s="2"/>
      <c r="IDM16" s="2"/>
      <c r="IDN16" s="2"/>
      <c r="IDO16" s="2"/>
      <c r="IDP16" s="2"/>
      <c r="IDQ16" s="2"/>
      <c r="IDR16" s="2"/>
      <c r="IDS16" s="2"/>
      <c r="IDT16" s="2"/>
      <c r="IDU16" s="2"/>
      <c r="IDV16" s="2"/>
      <c r="IDW16" s="2"/>
      <c r="IDX16" s="2"/>
      <c r="IDY16" s="2"/>
      <c r="IDZ16" s="2"/>
      <c r="IEA16" s="2"/>
      <c r="IEB16" s="2"/>
      <c r="IEC16" s="2"/>
      <c r="IED16" s="2"/>
      <c r="IEE16" s="2"/>
      <c r="IEF16" s="2"/>
      <c r="IEG16" s="2"/>
      <c r="IEH16" s="2"/>
      <c r="IEI16" s="2"/>
      <c r="IEJ16" s="2"/>
      <c r="IEK16" s="2"/>
      <c r="IEL16" s="2"/>
      <c r="IEM16" s="2"/>
      <c r="IEN16" s="2"/>
      <c r="IEO16" s="2"/>
      <c r="IEP16" s="2"/>
      <c r="IEQ16" s="2"/>
      <c r="IER16" s="2"/>
      <c r="IES16" s="2"/>
      <c r="IET16" s="2"/>
      <c r="IEU16" s="2"/>
      <c r="IEV16" s="2"/>
      <c r="IEW16" s="2"/>
      <c r="IEX16" s="2"/>
      <c r="IEY16" s="2"/>
      <c r="IEZ16" s="2"/>
      <c r="IFA16" s="2"/>
      <c r="IFB16" s="2"/>
      <c r="IFC16" s="2"/>
      <c r="IFD16" s="2"/>
      <c r="IFE16" s="2"/>
      <c r="IFF16" s="2"/>
      <c r="IFG16" s="2"/>
      <c r="IFH16" s="2"/>
      <c r="IFI16" s="2"/>
      <c r="IFJ16" s="2"/>
      <c r="IFK16" s="2"/>
      <c r="IFL16" s="2"/>
      <c r="IFM16" s="2"/>
      <c r="IFN16" s="2"/>
      <c r="IFO16" s="2"/>
      <c r="IFP16" s="2"/>
      <c r="IFQ16" s="2"/>
      <c r="IFR16" s="2"/>
      <c r="IFS16" s="2"/>
      <c r="IFT16" s="2"/>
      <c r="IFU16" s="2"/>
      <c r="IFV16" s="2"/>
      <c r="IFW16" s="2"/>
      <c r="IFX16" s="2"/>
      <c r="IFY16" s="2"/>
      <c r="IFZ16" s="2"/>
      <c r="IGA16" s="2"/>
      <c r="IGB16" s="2"/>
      <c r="IGC16" s="2"/>
      <c r="IGD16" s="2"/>
      <c r="IGE16" s="2"/>
      <c r="IGF16" s="2"/>
      <c r="IGG16" s="2"/>
      <c r="IGH16" s="2"/>
      <c r="IGI16" s="2"/>
      <c r="IGJ16" s="2"/>
      <c r="IGK16" s="2"/>
      <c r="IGL16" s="2"/>
      <c r="IGM16" s="2"/>
      <c r="IGN16" s="2"/>
      <c r="IGO16" s="2"/>
      <c r="IGP16" s="2"/>
      <c r="IGQ16" s="2"/>
      <c r="IGR16" s="2"/>
      <c r="IGS16" s="2"/>
      <c r="IGT16" s="2"/>
      <c r="IGU16" s="2"/>
      <c r="IGV16" s="2"/>
      <c r="IGW16" s="2"/>
      <c r="IGX16" s="2"/>
      <c r="IGY16" s="2"/>
      <c r="IGZ16" s="2"/>
      <c r="IHA16" s="2"/>
      <c r="IHB16" s="2"/>
      <c r="IHC16" s="2"/>
      <c r="IHD16" s="2"/>
      <c r="IHE16" s="2"/>
      <c r="IHF16" s="2"/>
      <c r="IHG16" s="2"/>
      <c r="IHH16" s="2"/>
      <c r="IHI16" s="2"/>
      <c r="IHJ16" s="2"/>
      <c r="IHK16" s="2"/>
      <c r="IHL16" s="2"/>
      <c r="IHM16" s="2"/>
      <c r="IHN16" s="2"/>
      <c r="IHO16" s="2"/>
      <c r="IHP16" s="2"/>
      <c r="IHQ16" s="2"/>
      <c r="IHR16" s="2"/>
      <c r="IHS16" s="2"/>
      <c r="IHT16" s="2"/>
      <c r="IHU16" s="2"/>
      <c r="IHV16" s="2"/>
      <c r="IHW16" s="2"/>
      <c r="IHX16" s="2"/>
      <c r="IHY16" s="2"/>
      <c r="IHZ16" s="2"/>
      <c r="IIA16" s="2"/>
      <c r="IIB16" s="2"/>
      <c r="IIC16" s="2"/>
      <c r="IID16" s="2"/>
      <c r="IIE16" s="2"/>
      <c r="IIF16" s="2"/>
      <c r="IIG16" s="2"/>
      <c r="IIH16" s="2"/>
      <c r="III16" s="2"/>
      <c r="IIJ16" s="2"/>
      <c r="IIK16" s="2"/>
      <c r="IIL16" s="2"/>
      <c r="IIM16" s="2"/>
      <c r="IIN16" s="2"/>
      <c r="IIO16" s="2"/>
      <c r="IIP16" s="2"/>
      <c r="IIQ16" s="2"/>
      <c r="IIR16" s="2"/>
      <c r="IIS16" s="2"/>
      <c r="IIT16" s="2"/>
      <c r="IIU16" s="2"/>
      <c r="IIV16" s="2"/>
      <c r="IIW16" s="2"/>
      <c r="IIX16" s="2"/>
      <c r="IIY16" s="2"/>
      <c r="IIZ16" s="2"/>
      <c r="IJA16" s="2"/>
      <c r="IJB16" s="2"/>
      <c r="IJC16" s="2"/>
      <c r="IJD16" s="2"/>
      <c r="IJE16" s="2"/>
      <c r="IJF16" s="2"/>
      <c r="IJG16" s="2"/>
      <c r="IJH16" s="2"/>
      <c r="IJI16" s="2"/>
      <c r="IJJ16" s="2"/>
      <c r="IJK16" s="2"/>
      <c r="IJL16" s="2"/>
      <c r="IJM16" s="2"/>
      <c r="IJN16" s="2"/>
      <c r="IJO16" s="2"/>
      <c r="IJP16" s="2"/>
      <c r="IJQ16" s="2"/>
      <c r="IJR16" s="2"/>
      <c r="IJS16" s="2"/>
      <c r="IJT16" s="2"/>
      <c r="IJU16" s="2"/>
      <c r="IJV16" s="2"/>
      <c r="IJW16" s="2"/>
      <c r="IJX16" s="2"/>
      <c r="IJY16" s="2"/>
      <c r="IJZ16" s="2"/>
      <c r="IKA16" s="2"/>
      <c r="IKB16" s="2"/>
      <c r="IKC16" s="2"/>
      <c r="IKD16" s="2"/>
      <c r="IKE16" s="2"/>
      <c r="IKF16" s="2"/>
      <c r="IKG16" s="2"/>
      <c r="IKH16" s="2"/>
      <c r="IKI16" s="2"/>
      <c r="IKJ16" s="2"/>
      <c r="IKK16" s="2"/>
      <c r="IKL16" s="2"/>
      <c r="IKM16" s="2"/>
      <c r="IKN16" s="2"/>
      <c r="IKO16" s="2"/>
      <c r="IKP16" s="2"/>
      <c r="IKQ16" s="2"/>
      <c r="IKR16" s="2"/>
      <c r="IKS16" s="2"/>
      <c r="IKT16" s="2"/>
      <c r="IKU16" s="2"/>
      <c r="IKV16" s="2"/>
      <c r="IKW16" s="2"/>
      <c r="IKX16" s="2"/>
      <c r="IKY16" s="2"/>
      <c r="IKZ16" s="2"/>
      <c r="ILA16" s="2"/>
      <c r="ILB16" s="2"/>
      <c r="ILC16" s="2"/>
      <c r="ILD16" s="2"/>
      <c r="ILE16" s="2"/>
      <c r="ILF16" s="2"/>
      <c r="ILG16" s="2"/>
      <c r="ILH16" s="2"/>
      <c r="ILI16" s="2"/>
      <c r="ILJ16" s="2"/>
      <c r="ILK16" s="2"/>
      <c r="ILL16" s="2"/>
      <c r="ILM16" s="2"/>
      <c r="ILN16" s="2"/>
      <c r="ILO16" s="2"/>
      <c r="ILP16" s="2"/>
      <c r="ILQ16" s="2"/>
      <c r="ILR16" s="2"/>
      <c r="ILS16" s="2"/>
      <c r="ILT16" s="2"/>
      <c r="ILU16" s="2"/>
      <c r="ILV16" s="2"/>
      <c r="ILW16" s="2"/>
      <c r="ILX16" s="2"/>
      <c r="ILY16" s="2"/>
      <c r="ILZ16" s="2"/>
      <c r="IMA16" s="2"/>
      <c r="IMB16" s="2"/>
      <c r="IMC16" s="2"/>
      <c r="IMD16" s="2"/>
      <c r="IME16" s="2"/>
      <c r="IMF16" s="2"/>
      <c r="IMG16" s="2"/>
      <c r="IMH16" s="2"/>
      <c r="IMI16" s="2"/>
      <c r="IMJ16" s="2"/>
      <c r="IMK16" s="2"/>
      <c r="IML16" s="2"/>
      <c r="IMM16" s="2"/>
      <c r="IMN16" s="2"/>
      <c r="IMO16" s="2"/>
      <c r="IMP16" s="2"/>
      <c r="IMQ16" s="2"/>
      <c r="IMR16" s="2"/>
      <c r="IMS16" s="2"/>
      <c r="IMT16" s="2"/>
      <c r="IMU16" s="2"/>
      <c r="IMV16" s="2"/>
      <c r="IMW16" s="2"/>
      <c r="IMX16" s="2"/>
      <c r="IMY16" s="2"/>
      <c r="IMZ16" s="2"/>
      <c r="INA16" s="2"/>
      <c r="INB16" s="2"/>
      <c r="INC16" s="2"/>
      <c r="IND16" s="2"/>
      <c r="INE16" s="2"/>
      <c r="INF16" s="2"/>
      <c r="ING16" s="2"/>
      <c r="INH16" s="2"/>
      <c r="INI16" s="2"/>
      <c r="INJ16" s="2"/>
      <c r="INK16" s="2"/>
      <c r="INL16" s="2"/>
      <c r="INM16" s="2"/>
      <c r="INN16" s="2"/>
      <c r="INO16" s="2"/>
      <c r="INP16" s="2"/>
      <c r="INQ16" s="2"/>
      <c r="INR16" s="2"/>
      <c r="INS16" s="2"/>
      <c r="INT16" s="2"/>
      <c r="INU16" s="2"/>
      <c r="INV16" s="2"/>
      <c r="INW16" s="2"/>
      <c r="INX16" s="2"/>
      <c r="INY16" s="2"/>
      <c r="INZ16" s="2"/>
      <c r="IOA16" s="2"/>
      <c r="IOB16" s="2"/>
      <c r="IOC16" s="2"/>
      <c r="IOD16" s="2"/>
      <c r="IOE16" s="2"/>
      <c r="IOF16" s="2"/>
      <c r="IOG16" s="2"/>
      <c r="IOH16" s="2"/>
      <c r="IOI16" s="2"/>
      <c r="IOJ16" s="2"/>
      <c r="IOK16" s="2"/>
      <c r="IOL16" s="2"/>
      <c r="IOM16" s="2"/>
      <c r="ION16" s="2"/>
      <c r="IOO16" s="2"/>
      <c r="IOP16" s="2"/>
      <c r="IOQ16" s="2"/>
      <c r="IOR16" s="2"/>
      <c r="IOS16" s="2"/>
      <c r="IOT16" s="2"/>
      <c r="IOU16" s="2"/>
      <c r="IOV16" s="2"/>
      <c r="IOW16" s="2"/>
      <c r="IOX16" s="2"/>
      <c r="IOY16" s="2"/>
      <c r="IOZ16" s="2"/>
      <c r="IPA16" s="2"/>
      <c r="IPB16" s="2"/>
      <c r="IPC16" s="2"/>
      <c r="IPD16" s="2"/>
      <c r="IPE16" s="2"/>
      <c r="IPF16" s="2"/>
      <c r="IPG16" s="2"/>
      <c r="IPH16" s="2"/>
      <c r="IPI16" s="2"/>
      <c r="IPJ16" s="2"/>
      <c r="IPK16" s="2"/>
      <c r="IPL16" s="2"/>
      <c r="IPM16" s="2"/>
      <c r="IPN16" s="2"/>
      <c r="IPO16" s="2"/>
      <c r="IPP16" s="2"/>
      <c r="IPQ16" s="2"/>
      <c r="IPR16" s="2"/>
      <c r="IPS16" s="2"/>
      <c r="IPT16" s="2"/>
      <c r="IPU16" s="2"/>
      <c r="IPV16" s="2"/>
      <c r="IPW16" s="2"/>
      <c r="IPX16" s="2"/>
      <c r="IPY16" s="2"/>
      <c r="IPZ16" s="2"/>
      <c r="IQA16" s="2"/>
      <c r="IQB16" s="2"/>
      <c r="IQC16" s="2"/>
      <c r="IQD16" s="2"/>
      <c r="IQE16" s="2"/>
      <c r="IQF16" s="2"/>
      <c r="IQG16" s="2"/>
      <c r="IQH16" s="2"/>
      <c r="IQI16" s="2"/>
      <c r="IQJ16" s="2"/>
      <c r="IQK16" s="2"/>
      <c r="IQL16" s="2"/>
      <c r="IQM16" s="2"/>
      <c r="IQN16" s="2"/>
      <c r="IQO16" s="2"/>
      <c r="IQP16" s="2"/>
      <c r="IQQ16" s="2"/>
      <c r="IQR16" s="2"/>
      <c r="IQS16" s="2"/>
      <c r="IQT16" s="2"/>
      <c r="IQU16" s="2"/>
      <c r="IQV16" s="2"/>
      <c r="IQW16" s="2"/>
      <c r="IQX16" s="2"/>
      <c r="IQY16" s="2"/>
      <c r="IQZ16" s="2"/>
      <c r="IRA16" s="2"/>
      <c r="IRB16" s="2"/>
      <c r="IRC16" s="2"/>
      <c r="IRD16" s="2"/>
      <c r="IRE16" s="2"/>
      <c r="IRF16" s="2"/>
      <c r="IRG16" s="2"/>
      <c r="IRH16" s="2"/>
      <c r="IRI16" s="2"/>
      <c r="IRJ16" s="2"/>
      <c r="IRK16" s="2"/>
      <c r="IRL16" s="2"/>
      <c r="IRM16" s="2"/>
      <c r="IRN16" s="2"/>
      <c r="IRO16" s="2"/>
      <c r="IRP16" s="2"/>
      <c r="IRQ16" s="2"/>
      <c r="IRR16" s="2"/>
      <c r="IRS16" s="2"/>
      <c r="IRT16" s="2"/>
      <c r="IRU16" s="2"/>
      <c r="IRV16" s="2"/>
      <c r="IRW16" s="2"/>
      <c r="IRX16" s="2"/>
      <c r="IRY16" s="2"/>
      <c r="IRZ16" s="2"/>
      <c r="ISA16" s="2"/>
      <c r="ISB16" s="2"/>
      <c r="ISC16" s="2"/>
      <c r="ISD16" s="2"/>
      <c r="ISE16" s="2"/>
      <c r="ISF16" s="2"/>
      <c r="ISG16" s="2"/>
      <c r="ISH16" s="2"/>
      <c r="ISI16" s="2"/>
      <c r="ISJ16" s="2"/>
      <c r="ISK16" s="2"/>
      <c r="ISL16" s="2"/>
      <c r="ISM16" s="2"/>
      <c r="ISN16" s="2"/>
      <c r="ISO16" s="2"/>
      <c r="ISP16" s="2"/>
      <c r="ISQ16" s="2"/>
      <c r="ISR16" s="2"/>
      <c r="ISS16" s="2"/>
      <c r="IST16" s="2"/>
      <c r="ISU16" s="2"/>
      <c r="ISV16" s="2"/>
      <c r="ISW16" s="2"/>
      <c r="ISX16" s="2"/>
      <c r="ISY16" s="2"/>
      <c r="ISZ16" s="2"/>
      <c r="ITA16" s="2"/>
      <c r="ITB16" s="2"/>
      <c r="ITC16" s="2"/>
      <c r="ITD16" s="2"/>
      <c r="ITE16" s="2"/>
      <c r="ITF16" s="2"/>
      <c r="ITG16" s="2"/>
      <c r="ITH16" s="2"/>
      <c r="ITI16" s="2"/>
      <c r="ITJ16" s="2"/>
      <c r="ITK16" s="2"/>
      <c r="ITL16" s="2"/>
      <c r="ITM16" s="2"/>
      <c r="ITN16" s="2"/>
      <c r="ITO16" s="2"/>
      <c r="ITP16" s="2"/>
      <c r="ITQ16" s="2"/>
      <c r="ITR16" s="2"/>
      <c r="ITS16" s="2"/>
      <c r="ITT16" s="2"/>
      <c r="ITU16" s="2"/>
      <c r="ITV16" s="2"/>
      <c r="ITW16" s="2"/>
      <c r="ITX16" s="2"/>
      <c r="ITY16" s="2"/>
      <c r="ITZ16" s="2"/>
      <c r="IUA16" s="2"/>
      <c r="IUB16" s="2"/>
      <c r="IUC16" s="2"/>
      <c r="IUD16" s="2"/>
      <c r="IUE16" s="2"/>
      <c r="IUF16" s="2"/>
      <c r="IUG16" s="2"/>
      <c r="IUH16" s="2"/>
      <c r="IUI16" s="2"/>
      <c r="IUJ16" s="2"/>
      <c r="IUK16" s="2"/>
      <c r="IUL16" s="2"/>
      <c r="IUM16" s="2"/>
      <c r="IUN16" s="2"/>
      <c r="IUO16" s="2"/>
      <c r="IUP16" s="2"/>
      <c r="IUQ16" s="2"/>
      <c r="IUR16" s="2"/>
      <c r="IUS16" s="2"/>
      <c r="IUT16" s="2"/>
      <c r="IUU16" s="2"/>
      <c r="IUV16" s="2"/>
      <c r="IUW16" s="2"/>
      <c r="IUX16" s="2"/>
      <c r="IUY16" s="2"/>
      <c r="IUZ16" s="2"/>
      <c r="IVA16" s="2"/>
      <c r="IVB16" s="2"/>
      <c r="IVC16" s="2"/>
      <c r="IVD16" s="2"/>
      <c r="IVE16" s="2"/>
      <c r="IVF16" s="2"/>
      <c r="IVG16" s="2"/>
      <c r="IVH16" s="2"/>
      <c r="IVI16" s="2"/>
      <c r="IVJ16" s="2"/>
      <c r="IVK16" s="2"/>
      <c r="IVL16" s="2"/>
      <c r="IVM16" s="2"/>
      <c r="IVN16" s="2"/>
      <c r="IVO16" s="2"/>
      <c r="IVP16" s="2"/>
      <c r="IVQ16" s="2"/>
      <c r="IVR16" s="2"/>
      <c r="IVS16" s="2"/>
      <c r="IVT16" s="2"/>
      <c r="IVU16" s="2"/>
      <c r="IVV16" s="2"/>
      <c r="IVW16" s="2"/>
      <c r="IVX16" s="2"/>
      <c r="IVY16" s="2"/>
      <c r="IVZ16" s="2"/>
      <c r="IWA16" s="2"/>
      <c r="IWB16" s="2"/>
      <c r="IWC16" s="2"/>
      <c r="IWD16" s="2"/>
      <c r="IWE16" s="2"/>
      <c r="IWF16" s="2"/>
      <c r="IWG16" s="2"/>
      <c r="IWH16" s="2"/>
      <c r="IWI16" s="2"/>
      <c r="IWJ16" s="2"/>
      <c r="IWK16" s="2"/>
      <c r="IWL16" s="2"/>
      <c r="IWM16" s="2"/>
      <c r="IWN16" s="2"/>
      <c r="IWO16" s="2"/>
      <c r="IWP16" s="2"/>
      <c r="IWQ16" s="2"/>
      <c r="IWR16" s="2"/>
      <c r="IWS16" s="2"/>
      <c r="IWT16" s="2"/>
      <c r="IWU16" s="2"/>
      <c r="IWV16" s="2"/>
      <c r="IWW16" s="2"/>
      <c r="IWX16" s="2"/>
      <c r="IWY16" s="2"/>
      <c r="IWZ16" s="2"/>
      <c r="IXA16" s="2"/>
      <c r="IXB16" s="2"/>
      <c r="IXC16" s="2"/>
      <c r="IXD16" s="2"/>
      <c r="IXE16" s="2"/>
      <c r="IXF16" s="2"/>
      <c r="IXG16" s="2"/>
      <c r="IXH16" s="2"/>
      <c r="IXI16" s="2"/>
      <c r="IXJ16" s="2"/>
      <c r="IXK16" s="2"/>
      <c r="IXL16" s="2"/>
      <c r="IXM16" s="2"/>
      <c r="IXN16" s="2"/>
      <c r="IXO16" s="2"/>
      <c r="IXP16" s="2"/>
      <c r="IXQ16" s="2"/>
      <c r="IXR16" s="2"/>
      <c r="IXS16" s="2"/>
      <c r="IXT16" s="2"/>
      <c r="IXU16" s="2"/>
      <c r="IXV16" s="2"/>
      <c r="IXW16" s="2"/>
      <c r="IXX16" s="2"/>
      <c r="IXY16" s="2"/>
      <c r="IXZ16" s="2"/>
      <c r="IYA16" s="2"/>
      <c r="IYB16" s="2"/>
      <c r="IYC16" s="2"/>
      <c r="IYD16" s="2"/>
      <c r="IYE16" s="2"/>
      <c r="IYF16" s="2"/>
      <c r="IYG16" s="2"/>
      <c r="IYH16" s="2"/>
      <c r="IYI16" s="2"/>
      <c r="IYJ16" s="2"/>
      <c r="IYK16" s="2"/>
      <c r="IYL16" s="2"/>
      <c r="IYM16" s="2"/>
      <c r="IYN16" s="2"/>
      <c r="IYO16" s="2"/>
      <c r="IYP16" s="2"/>
      <c r="IYQ16" s="2"/>
      <c r="IYR16" s="2"/>
      <c r="IYS16" s="2"/>
      <c r="IYT16" s="2"/>
      <c r="IYU16" s="2"/>
      <c r="IYV16" s="2"/>
      <c r="IYW16" s="2"/>
      <c r="IYX16" s="2"/>
      <c r="IYY16" s="2"/>
      <c r="IYZ16" s="2"/>
      <c r="IZA16" s="2"/>
      <c r="IZB16" s="2"/>
      <c r="IZC16" s="2"/>
      <c r="IZD16" s="2"/>
      <c r="IZE16" s="2"/>
      <c r="IZF16" s="2"/>
      <c r="IZG16" s="2"/>
      <c r="IZH16" s="2"/>
      <c r="IZI16" s="2"/>
      <c r="IZJ16" s="2"/>
      <c r="IZK16" s="2"/>
      <c r="IZL16" s="2"/>
      <c r="IZM16" s="2"/>
      <c r="IZN16" s="2"/>
      <c r="IZO16" s="2"/>
      <c r="IZP16" s="2"/>
      <c r="IZQ16" s="2"/>
      <c r="IZR16" s="2"/>
      <c r="IZS16" s="2"/>
      <c r="IZT16" s="2"/>
      <c r="IZU16" s="2"/>
      <c r="IZV16" s="2"/>
      <c r="IZW16" s="2"/>
      <c r="IZX16" s="2"/>
      <c r="IZY16" s="2"/>
      <c r="IZZ16" s="2"/>
      <c r="JAA16" s="2"/>
      <c r="JAB16" s="2"/>
      <c r="JAC16" s="2"/>
      <c r="JAD16" s="2"/>
      <c r="JAE16" s="2"/>
      <c r="JAF16" s="2"/>
      <c r="JAG16" s="2"/>
      <c r="JAH16" s="2"/>
      <c r="JAI16" s="2"/>
      <c r="JAJ16" s="2"/>
      <c r="JAK16" s="2"/>
      <c r="JAL16" s="2"/>
      <c r="JAM16" s="2"/>
      <c r="JAN16" s="2"/>
      <c r="JAO16" s="2"/>
      <c r="JAP16" s="2"/>
      <c r="JAQ16" s="2"/>
      <c r="JAR16" s="2"/>
      <c r="JAS16" s="2"/>
      <c r="JAT16" s="2"/>
      <c r="JAU16" s="2"/>
      <c r="JAV16" s="2"/>
      <c r="JAW16" s="2"/>
      <c r="JAX16" s="2"/>
      <c r="JAY16" s="2"/>
      <c r="JAZ16" s="2"/>
      <c r="JBA16" s="2"/>
      <c r="JBB16" s="2"/>
      <c r="JBC16" s="2"/>
      <c r="JBD16" s="2"/>
      <c r="JBE16" s="2"/>
      <c r="JBF16" s="2"/>
      <c r="JBG16" s="2"/>
      <c r="JBH16" s="2"/>
      <c r="JBI16" s="2"/>
      <c r="JBJ16" s="2"/>
      <c r="JBK16" s="2"/>
      <c r="JBL16" s="2"/>
      <c r="JBM16" s="2"/>
      <c r="JBN16" s="2"/>
      <c r="JBO16" s="2"/>
      <c r="JBP16" s="2"/>
      <c r="JBQ16" s="2"/>
      <c r="JBR16" s="2"/>
      <c r="JBS16" s="2"/>
      <c r="JBT16" s="2"/>
      <c r="JBU16" s="2"/>
      <c r="JBV16" s="2"/>
      <c r="JBW16" s="2"/>
      <c r="JBX16" s="2"/>
      <c r="JBY16" s="2"/>
      <c r="JBZ16" s="2"/>
      <c r="JCA16" s="2"/>
      <c r="JCB16" s="2"/>
      <c r="JCC16" s="2"/>
      <c r="JCD16" s="2"/>
      <c r="JCE16" s="2"/>
      <c r="JCF16" s="2"/>
      <c r="JCG16" s="2"/>
      <c r="JCH16" s="2"/>
      <c r="JCI16" s="2"/>
      <c r="JCJ16" s="2"/>
      <c r="JCK16" s="2"/>
      <c r="JCL16" s="2"/>
      <c r="JCM16" s="2"/>
      <c r="JCN16" s="2"/>
      <c r="JCO16" s="2"/>
      <c r="JCP16" s="2"/>
      <c r="JCQ16" s="2"/>
      <c r="JCR16" s="2"/>
      <c r="JCS16" s="2"/>
      <c r="JCT16" s="2"/>
      <c r="JCU16" s="2"/>
      <c r="JCV16" s="2"/>
      <c r="JCW16" s="2"/>
      <c r="JCX16" s="2"/>
      <c r="JCY16" s="2"/>
      <c r="JCZ16" s="2"/>
      <c r="JDA16" s="2"/>
      <c r="JDB16" s="2"/>
      <c r="JDC16" s="2"/>
      <c r="JDD16" s="2"/>
      <c r="JDE16" s="2"/>
      <c r="JDF16" s="2"/>
      <c r="JDG16" s="2"/>
      <c r="JDH16" s="2"/>
      <c r="JDI16" s="2"/>
      <c r="JDJ16" s="2"/>
      <c r="JDK16" s="2"/>
      <c r="JDL16" s="2"/>
      <c r="JDM16" s="2"/>
      <c r="JDN16" s="2"/>
      <c r="JDO16" s="2"/>
      <c r="JDP16" s="2"/>
      <c r="JDQ16" s="2"/>
      <c r="JDR16" s="2"/>
      <c r="JDS16" s="2"/>
      <c r="JDT16" s="2"/>
      <c r="JDU16" s="2"/>
      <c r="JDV16" s="2"/>
      <c r="JDW16" s="2"/>
      <c r="JDX16" s="2"/>
      <c r="JDY16" s="2"/>
      <c r="JDZ16" s="2"/>
      <c r="JEA16" s="2"/>
      <c r="JEB16" s="2"/>
      <c r="JEC16" s="2"/>
      <c r="JED16" s="2"/>
      <c r="JEE16" s="2"/>
      <c r="JEF16" s="2"/>
      <c r="JEG16" s="2"/>
      <c r="JEH16" s="2"/>
      <c r="JEI16" s="2"/>
      <c r="JEJ16" s="2"/>
      <c r="JEK16" s="2"/>
      <c r="JEL16" s="2"/>
      <c r="JEM16" s="2"/>
      <c r="JEN16" s="2"/>
      <c r="JEO16" s="2"/>
      <c r="JEP16" s="2"/>
      <c r="JEQ16" s="2"/>
      <c r="JER16" s="2"/>
      <c r="JES16" s="2"/>
      <c r="JET16" s="2"/>
      <c r="JEU16" s="2"/>
      <c r="JEV16" s="2"/>
      <c r="JEW16" s="2"/>
      <c r="JEX16" s="2"/>
      <c r="JEY16" s="2"/>
      <c r="JEZ16" s="2"/>
      <c r="JFA16" s="2"/>
      <c r="JFB16" s="2"/>
      <c r="JFC16" s="2"/>
      <c r="JFD16" s="2"/>
      <c r="JFE16" s="2"/>
      <c r="JFF16" s="2"/>
      <c r="JFG16" s="2"/>
      <c r="JFH16" s="2"/>
      <c r="JFI16" s="2"/>
      <c r="JFJ16" s="2"/>
      <c r="JFK16" s="2"/>
      <c r="JFL16" s="2"/>
      <c r="JFM16" s="2"/>
      <c r="JFN16" s="2"/>
      <c r="JFO16" s="2"/>
      <c r="JFP16" s="2"/>
      <c r="JFQ16" s="2"/>
      <c r="JFR16" s="2"/>
      <c r="JFS16" s="2"/>
      <c r="JFT16" s="2"/>
      <c r="JFU16" s="2"/>
      <c r="JFV16" s="2"/>
      <c r="JFW16" s="2"/>
      <c r="JFX16" s="2"/>
      <c r="JFY16" s="2"/>
      <c r="JFZ16" s="2"/>
      <c r="JGA16" s="2"/>
      <c r="JGB16" s="2"/>
      <c r="JGC16" s="2"/>
      <c r="JGD16" s="2"/>
      <c r="JGE16" s="2"/>
      <c r="JGF16" s="2"/>
      <c r="JGG16" s="2"/>
      <c r="JGH16" s="2"/>
      <c r="JGI16" s="2"/>
      <c r="JGJ16" s="2"/>
      <c r="JGK16" s="2"/>
      <c r="JGL16" s="2"/>
      <c r="JGM16" s="2"/>
      <c r="JGN16" s="2"/>
      <c r="JGO16" s="2"/>
      <c r="JGP16" s="2"/>
      <c r="JGQ16" s="2"/>
      <c r="JGR16" s="2"/>
      <c r="JGS16" s="2"/>
      <c r="JGT16" s="2"/>
      <c r="JGU16" s="2"/>
      <c r="JGV16" s="2"/>
      <c r="JGW16" s="2"/>
      <c r="JGX16" s="2"/>
      <c r="JGY16" s="2"/>
      <c r="JGZ16" s="2"/>
      <c r="JHA16" s="2"/>
      <c r="JHB16" s="2"/>
      <c r="JHC16" s="2"/>
      <c r="JHD16" s="2"/>
      <c r="JHE16" s="2"/>
      <c r="JHF16" s="2"/>
      <c r="JHG16" s="2"/>
      <c r="JHH16" s="2"/>
      <c r="JHI16" s="2"/>
      <c r="JHJ16" s="2"/>
      <c r="JHK16" s="2"/>
      <c r="JHL16" s="2"/>
      <c r="JHM16" s="2"/>
      <c r="JHN16" s="2"/>
      <c r="JHO16" s="2"/>
      <c r="JHP16" s="2"/>
      <c r="JHQ16" s="2"/>
      <c r="JHR16" s="2"/>
      <c r="JHS16" s="2"/>
      <c r="JHT16" s="2"/>
      <c r="JHU16" s="2"/>
      <c r="JHV16" s="2"/>
      <c r="JHW16" s="2"/>
      <c r="JHX16" s="2"/>
      <c r="JHY16" s="2"/>
      <c r="JHZ16" s="2"/>
      <c r="JIA16" s="2"/>
      <c r="JIB16" s="2"/>
      <c r="JIC16" s="2"/>
      <c r="JID16" s="2"/>
      <c r="JIE16" s="2"/>
      <c r="JIF16" s="2"/>
      <c r="JIG16" s="2"/>
      <c r="JIH16" s="2"/>
      <c r="JII16" s="2"/>
      <c r="JIJ16" s="2"/>
      <c r="JIK16" s="2"/>
      <c r="JIL16" s="2"/>
      <c r="JIM16" s="2"/>
      <c r="JIN16" s="2"/>
      <c r="JIO16" s="2"/>
      <c r="JIP16" s="2"/>
      <c r="JIQ16" s="2"/>
      <c r="JIR16" s="2"/>
      <c r="JIS16" s="2"/>
      <c r="JIT16" s="2"/>
      <c r="JIU16" s="2"/>
      <c r="JIV16" s="2"/>
      <c r="JIW16" s="2"/>
      <c r="JIX16" s="2"/>
      <c r="JIY16" s="2"/>
      <c r="JIZ16" s="2"/>
      <c r="JJA16" s="2"/>
      <c r="JJB16" s="2"/>
      <c r="JJC16" s="2"/>
      <c r="JJD16" s="2"/>
      <c r="JJE16" s="2"/>
      <c r="JJF16" s="2"/>
      <c r="JJG16" s="2"/>
      <c r="JJH16" s="2"/>
      <c r="JJI16" s="2"/>
      <c r="JJJ16" s="2"/>
      <c r="JJK16" s="2"/>
      <c r="JJL16" s="2"/>
      <c r="JJM16" s="2"/>
      <c r="JJN16" s="2"/>
      <c r="JJO16" s="2"/>
      <c r="JJP16" s="2"/>
      <c r="JJQ16" s="2"/>
      <c r="JJR16" s="2"/>
      <c r="JJS16" s="2"/>
      <c r="JJT16" s="2"/>
      <c r="JJU16" s="2"/>
      <c r="JJV16" s="2"/>
      <c r="JJW16" s="2"/>
      <c r="JJX16" s="2"/>
      <c r="JJY16" s="2"/>
      <c r="JJZ16" s="2"/>
      <c r="JKA16" s="2"/>
      <c r="JKB16" s="2"/>
      <c r="JKC16" s="2"/>
      <c r="JKD16" s="2"/>
      <c r="JKE16" s="2"/>
      <c r="JKF16" s="2"/>
      <c r="JKG16" s="2"/>
      <c r="JKH16" s="2"/>
      <c r="JKI16" s="2"/>
      <c r="JKJ16" s="2"/>
      <c r="JKK16" s="2"/>
      <c r="JKL16" s="2"/>
      <c r="JKM16" s="2"/>
      <c r="JKN16" s="2"/>
      <c r="JKO16" s="2"/>
      <c r="JKP16" s="2"/>
      <c r="JKQ16" s="2"/>
      <c r="JKR16" s="2"/>
      <c r="JKS16" s="2"/>
      <c r="JKT16" s="2"/>
      <c r="JKU16" s="2"/>
      <c r="JKV16" s="2"/>
      <c r="JKW16" s="2"/>
      <c r="JKX16" s="2"/>
      <c r="JKY16" s="2"/>
      <c r="JKZ16" s="2"/>
      <c r="JLA16" s="2"/>
      <c r="JLB16" s="2"/>
      <c r="JLC16" s="2"/>
      <c r="JLD16" s="2"/>
      <c r="JLE16" s="2"/>
      <c r="JLF16" s="2"/>
      <c r="JLG16" s="2"/>
      <c r="JLH16" s="2"/>
      <c r="JLI16" s="2"/>
      <c r="JLJ16" s="2"/>
      <c r="JLK16" s="2"/>
      <c r="JLL16" s="2"/>
      <c r="JLM16" s="2"/>
      <c r="JLN16" s="2"/>
      <c r="JLO16" s="2"/>
      <c r="JLP16" s="2"/>
      <c r="JLQ16" s="2"/>
      <c r="JLR16" s="2"/>
      <c r="JLS16" s="2"/>
      <c r="JLT16" s="2"/>
      <c r="JLU16" s="2"/>
      <c r="JLV16" s="2"/>
      <c r="JLW16" s="2"/>
      <c r="JLX16" s="2"/>
      <c r="JLY16" s="2"/>
      <c r="JLZ16" s="2"/>
      <c r="JMA16" s="2"/>
      <c r="JMB16" s="2"/>
      <c r="JMC16" s="2"/>
      <c r="JMD16" s="2"/>
      <c r="JME16" s="2"/>
      <c r="JMF16" s="2"/>
      <c r="JMG16" s="2"/>
      <c r="JMH16" s="2"/>
      <c r="JMI16" s="2"/>
      <c r="JMJ16" s="2"/>
      <c r="JMK16" s="2"/>
      <c r="JML16" s="2"/>
      <c r="JMM16" s="2"/>
      <c r="JMN16" s="2"/>
      <c r="JMO16" s="2"/>
      <c r="JMP16" s="2"/>
      <c r="JMQ16" s="2"/>
      <c r="JMR16" s="2"/>
      <c r="JMS16" s="2"/>
      <c r="JMT16" s="2"/>
      <c r="JMU16" s="2"/>
      <c r="JMV16" s="2"/>
      <c r="JMW16" s="2"/>
      <c r="JMX16" s="2"/>
      <c r="JMY16" s="2"/>
      <c r="JMZ16" s="2"/>
      <c r="JNA16" s="2"/>
      <c r="JNB16" s="2"/>
      <c r="JNC16" s="2"/>
      <c r="JND16" s="2"/>
      <c r="JNE16" s="2"/>
      <c r="JNF16" s="2"/>
      <c r="JNG16" s="2"/>
      <c r="JNH16" s="2"/>
      <c r="JNI16" s="2"/>
      <c r="JNJ16" s="2"/>
      <c r="JNK16" s="2"/>
      <c r="JNL16" s="2"/>
      <c r="JNM16" s="2"/>
      <c r="JNN16" s="2"/>
      <c r="JNO16" s="2"/>
      <c r="JNP16" s="2"/>
      <c r="JNQ16" s="2"/>
      <c r="JNR16" s="2"/>
      <c r="JNS16" s="2"/>
      <c r="JNT16" s="2"/>
      <c r="JNU16" s="2"/>
      <c r="JNV16" s="2"/>
      <c r="JNW16" s="2"/>
      <c r="JNX16" s="2"/>
      <c r="JNY16" s="2"/>
      <c r="JNZ16" s="2"/>
      <c r="JOA16" s="2"/>
      <c r="JOB16" s="2"/>
      <c r="JOC16" s="2"/>
      <c r="JOD16" s="2"/>
      <c r="JOE16" s="2"/>
      <c r="JOF16" s="2"/>
      <c r="JOG16" s="2"/>
      <c r="JOH16" s="2"/>
      <c r="JOI16" s="2"/>
      <c r="JOJ16" s="2"/>
      <c r="JOK16" s="2"/>
      <c r="JOL16" s="2"/>
      <c r="JOM16" s="2"/>
      <c r="JON16" s="2"/>
      <c r="JOO16" s="2"/>
      <c r="JOP16" s="2"/>
      <c r="JOQ16" s="2"/>
      <c r="JOR16" s="2"/>
      <c r="JOS16" s="2"/>
      <c r="JOT16" s="2"/>
      <c r="JOU16" s="2"/>
      <c r="JOV16" s="2"/>
      <c r="JOW16" s="2"/>
      <c r="JOX16" s="2"/>
      <c r="JOY16" s="2"/>
      <c r="JOZ16" s="2"/>
      <c r="JPA16" s="2"/>
      <c r="JPB16" s="2"/>
      <c r="JPC16" s="2"/>
      <c r="JPD16" s="2"/>
      <c r="JPE16" s="2"/>
      <c r="JPF16" s="2"/>
      <c r="JPG16" s="2"/>
      <c r="JPH16" s="2"/>
      <c r="JPI16" s="2"/>
      <c r="JPJ16" s="2"/>
      <c r="JPK16" s="2"/>
      <c r="JPL16" s="2"/>
      <c r="JPM16" s="2"/>
      <c r="JPN16" s="2"/>
      <c r="JPO16" s="2"/>
      <c r="JPP16" s="2"/>
      <c r="JPQ16" s="2"/>
      <c r="JPR16" s="2"/>
      <c r="JPS16" s="2"/>
      <c r="JPT16" s="2"/>
      <c r="JPU16" s="2"/>
      <c r="JPV16" s="2"/>
      <c r="JPW16" s="2"/>
      <c r="JPX16" s="2"/>
      <c r="JPY16" s="2"/>
      <c r="JPZ16" s="2"/>
      <c r="JQA16" s="2"/>
      <c r="JQB16" s="2"/>
      <c r="JQC16" s="2"/>
      <c r="JQD16" s="2"/>
      <c r="JQE16" s="2"/>
      <c r="JQF16" s="2"/>
      <c r="JQG16" s="2"/>
      <c r="JQH16" s="2"/>
      <c r="JQI16" s="2"/>
      <c r="JQJ16" s="2"/>
      <c r="JQK16" s="2"/>
      <c r="JQL16" s="2"/>
      <c r="JQM16" s="2"/>
      <c r="JQN16" s="2"/>
      <c r="JQO16" s="2"/>
      <c r="JQP16" s="2"/>
      <c r="JQQ16" s="2"/>
      <c r="JQR16" s="2"/>
      <c r="JQS16" s="2"/>
      <c r="JQT16" s="2"/>
      <c r="JQU16" s="2"/>
      <c r="JQV16" s="2"/>
      <c r="JQW16" s="2"/>
      <c r="JQX16" s="2"/>
      <c r="JQY16" s="2"/>
      <c r="JQZ16" s="2"/>
      <c r="JRA16" s="2"/>
      <c r="JRB16" s="2"/>
      <c r="JRC16" s="2"/>
      <c r="JRD16" s="2"/>
      <c r="JRE16" s="2"/>
      <c r="JRF16" s="2"/>
      <c r="JRG16" s="2"/>
      <c r="JRH16" s="2"/>
      <c r="JRI16" s="2"/>
      <c r="JRJ16" s="2"/>
      <c r="JRK16" s="2"/>
      <c r="JRL16" s="2"/>
      <c r="JRM16" s="2"/>
      <c r="JRN16" s="2"/>
      <c r="JRO16" s="2"/>
      <c r="JRP16" s="2"/>
      <c r="JRQ16" s="2"/>
      <c r="JRR16" s="2"/>
      <c r="JRS16" s="2"/>
      <c r="JRT16" s="2"/>
      <c r="JRU16" s="2"/>
      <c r="JRV16" s="2"/>
      <c r="JRW16" s="2"/>
      <c r="JRX16" s="2"/>
      <c r="JRY16" s="2"/>
      <c r="JRZ16" s="2"/>
      <c r="JSA16" s="2"/>
      <c r="JSB16" s="2"/>
      <c r="JSC16" s="2"/>
      <c r="JSD16" s="2"/>
      <c r="JSE16" s="2"/>
      <c r="JSF16" s="2"/>
      <c r="JSG16" s="2"/>
      <c r="JSH16" s="2"/>
      <c r="JSI16" s="2"/>
      <c r="JSJ16" s="2"/>
      <c r="JSK16" s="2"/>
      <c r="JSL16" s="2"/>
      <c r="JSM16" s="2"/>
      <c r="JSN16" s="2"/>
      <c r="JSO16" s="2"/>
      <c r="JSP16" s="2"/>
      <c r="JSQ16" s="2"/>
      <c r="JSR16" s="2"/>
      <c r="JSS16" s="2"/>
      <c r="JST16" s="2"/>
      <c r="JSU16" s="2"/>
      <c r="JSV16" s="2"/>
      <c r="JSW16" s="2"/>
      <c r="JSX16" s="2"/>
      <c r="JSY16" s="2"/>
      <c r="JSZ16" s="2"/>
      <c r="JTA16" s="2"/>
      <c r="JTB16" s="2"/>
      <c r="JTC16" s="2"/>
      <c r="JTD16" s="2"/>
      <c r="JTE16" s="2"/>
      <c r="JTF16" s="2"/>
      <c r="JTG16" s="2"/>
      <c r="JTH16" s="2"/>
      <c r="JTI16" s="2"/>
      <c r="JTJ16" s="2"/>
      <c r="JTK16" s="2"/>
      <c r="JTL16" s="2"/>
      <c r="JTM16" s="2"/>
      <c r="JTN16" s="2"/>
      <c r="JTO16" s="2"/>
      <c r="JTP16" s="2"/>
      <c r="JTQ16" s="2"/>
      <c r="JTR16" s="2"/>
      <c r="JTS16" s="2"/>
      <c r="JTT16" s="2"/>
      <c r="JTU16" s="2"/>
      <c r="JTV16" s="2"/>
      <c r="JTW16" s="2"/>
      <c r="JTX16" s="2"/>
      <c r="JTY16" s="2"/>
      <c r="JTZ16" s="2"/>
      <c r="JUA16" s="2"/>
      <c r="JUB16" s="2"/>
      <c r="JUC16" s="2"/>
      <c r="JUD16" s="2"/>
      <c r="JUE16" s="2"/>
      <c r="JUF16" s="2"/>
      <c r="JUG16" s="2"/>
      <c r="JUH16" s="2"/>
      <c r="JUI16" s="2"/>
      <c r="JUJ16" s="2"/>
      <c r="JUK16" s="2"/>
      <c r="JUL16" s="2"/>
      <c r="JUM16" s="2"/>
      <c r="JUN16" s="2"/>
      <c r="JUO16" s="2"/>
      <c r="JUP16" s="2"/>
      <c r="JUQ16" s="2"/>
      <c r="JUR16" s="2"/>
      <c r="JUS16" s="2"/>
      <c r="JUT16" s="2"/>
      <c r="JUU16" s="2"/>
      <c r="JUV16" s="2"/>
      <c r="JUW16" s="2"/>
      <c r="JUX16" s="2"/>
      <c r="JUY16" s="2"/>
      <c r="JUZ16" s="2"/>
      <c r="JVA16" s="2"/>
      <c r="JVB16" s="2"/>
      <c r="JVC16" s="2"/>
      <c r="JVD16" s="2"/>
      <c r="JVE16" s="2"/>
      <c r="JVF16" s="2"/>
      <c r="JVG16" s="2"/>
      <c r="JVH16" s="2"/>
      <c r="JVI16" s="2"/>
      <c r="JVJ16" s="2"/>
      <c r="JVK16" s="2"/>
      <c r="JVL16" s="2"/>
      <c r="JVM16" s="2"/>
      <c r="JVN16" s="2"/>
      <c r="JVO16" s="2"/>
      <c r="JVP16" s="2"/>
      <c r="JVQ16" s="2"/>
      <c r="JVR16" s="2"/>
      <c r="JVS16" s="2"/>
      <c r="JVT16" s="2"/>
      <c r="JVU16" s="2"/>
      <c r="JVV16" s="2"/>
      <c r="JVW16" s="2"/>
      <c r="JVX16" s="2"/>
      <c r="JVY16" s="2"/>
      <c r="JVZ16" s="2"/>
      <c r="JWA16" s="2"/>
      <c r="JWB16" s="2"/>
      <c r="JWC16" s="2"/>
      <c r="JWD16" s="2"/>
      <c r="JWE16" s="2"/>
      <c r="JWF16" s="2"/>
      <c r="JWG16" s="2"/>
      <c r="JWH16" s="2"/>
      <c r="JWI16" s="2"/>
      <c r="JWJ16" s="2"/>
      <c r="JWK16" s="2"/>
      <c r="JWL16" s="2"/>
      <c r="JWM16" s="2"/>
      <c r="JWN16" s="2"/>
      <c r="JWO16" s="2"/>
      <c r="JWP16" s="2"/>
      <c r="JWQ16" s="2"/>
      <c r="JWR16" s="2"/>
      <c r="JWS16" s="2"/>
      <c r="JWT16" s="2"/>
      <c r="JWU16" s="2"/>
      <c r="JWV16" s="2"/>
      <c r="JWW16" s="2"/>
      <c r="JWX16" s="2"/>
      <c r="JWY16" s="2"/>
      <c r="JWZ16" s="2"/>
      <c r="JXA16" s="2"/>
      <c r="JXB16" s="2"/>
      <c r="JXC16" s="2"/>
      <c r="JXD16" s="2"/>
      <c r="JXE16" s="2"/>
      <c r="JXF16" s="2"/>
      <c r="JXG16" s="2"/>
      <c r="JXH16" s="2"/>
      <c r="JXI16" s="2"/>
      <c r="JXJ16" s="2"/>
      <c r="JXK16" s="2"/>
      <c r="JXL16" s="2"/>
      <c r="JXM16" s="2"/>
      <c r="JXN16" s="2"/>
      <c r="JXO16" s="2"/>
      <c r="JXP16" s="2"/>
      <c r="JXQ16" s="2"/>
      <c r="JXR16" s="2"/>
      <c r="JXS16" s="2"/>
      <c r="JXT16" s="2"/>
      <c r="JXU16" s="2"/>
      <c r="JXV16" s="2"/>
      <c r="JXW16" s="2"/>
      <c r="JXX16" s="2"/>
      <c r="JXY16" s="2"/>
      <c r="JXZ16" s="2"/>
      <c r="JYA16" s="2"/>
      <c r="JYB16" s="2"/>
      <c r="JYC16" s="2"/>
      <c r="JYD16" s="2"/>
      <c r="JYE16" s="2"/>
      <c r="JYF16" s="2"/>
      <c r="JYG16" s="2"/>
      <c r="JYH16" s="2"/>
      <c r="JYI16" s="2"/>
      <c r="JYJ16" s="2"/>
      <c r="JYK16" s="2"/>
      <c r="JYL16" s="2"/>
      <c r="JYM16" s="2"/>
      <c r="JYN16" s="2"/>
      <c r="JYO16" s="2"/>
      <c r="JYP16" s="2"/>
      <c r="JYQ16" s="2"/>
      <c r="JYR16" s="2"/>
      <c r="JYS16" s="2"/>
      <c r="JYT16" s="2"/>
      <c r="JYU16" s="2"/>
      <c r="JYV16" s="2"/>
      <c r="JYW16" s="2"/>
      <c r="JYX16" s="2"/>
      <c r="JYY16" s="2"/>
      <c r="JYZ16" s="2"/>
      <c r="JZA16" s="2"/>
      <c r="JZB16" s="2"/>
      <c r="JZC16" s="2"/>
      <c r="JZD16" s="2"/>
      <c r="JZE16" s="2"/>
      <c r="JZF16" s="2"/>
      <c r="JZG16" s="2"/>
      <c r="JZH16" s="2"/>
      <c r="JZI16" s="2"/>
      <c r="JZJ16" s="2"/>
      <c r="JZK16" s="2"/>
      <c r="JZL16" s="2"/>
      <c r="JZM16" s="2"/>
      <c r="JZN16" s="2"/>
      <c r="JZO16" s="2"/>
      <c r="JZP16" s="2"/>
      <c r="JZQ16" s="2"/>
      <c r="JZR16" s="2"/>
      <c r="JZS16" s="2"/>
      <c r="JZT16" s="2"/>
      <c r="JZU16" s="2"/>
      <c r="JZV16" s="2"/>
      <c r="JZW16" s="2"/>
      <c r="JZX16" s="2"/>
      <c r="JZY16" s="2"/>
      <c r="JZZ16" s="2"/>
      <c r="KAA16" s="2"/>
      <c r="KAB16" s="2"/>
      <c r="KAC16" s="2"/>
      <c r="KAD16" s="2"/>
      <c r="KAE16" s="2"/>
      <c r="KAF16" s="2"/>
      <c r="KAG16" s="2"/>
      <c r="KAH16" s="2"/>
      <c r="KAI16" s="2"/>
      <c r="KAJ16" s="2"/>
      <c r="KAK16" s="2"/>
      <c r="KAL16" s="2"/>
      <c r="KAM16" s="2"/>
      <c r="KAN16" s="2"/>
      <c r="KAO16" s="2"/>
      <c r="KAP16" s="2"/>
      <c r="KAQ16" s="2"/>
      <c r="KAR16" s="2"/>
      <c r="KAS16" s="2"/>
      <c r="KAT16" s="2"/>
      <c r="KAU16" s="2"/>
      <c r="KAV16" s="2"/>
      <c r="KAW16" s="2"/>
      <c r="KAX16" s="2"/>
      <c r="KAY16" s="2"/>
      <c r="KAZ16" s="2"/>
      <c r="KBA16" s="2"/>
      <c r="KBB16" s="2"/>
      <c r="KBC16" s="2"/>
      <c r="KBD16" s="2"/>
      <c r="KBE16" s="2"/>
      <c r="KBF16" s="2"/>
      <c r="KBG16" s="2"/>
      <c r="KBH16" s="2"/>
      <c r="KBI16" s="2"/>
      <c r="KBJ16" s="2"/>
      <c r="KBK16" s="2"/>
      <c r="KBL16" s="2"/>
      <c r="KBM16" s="2"/>
      <c r="KBN16" s="2"/>
      <c r="KBO16" s="2"/>
      <c r="KBP16" s="2"/>
      <c r="KBQ16" s="2"/>
      <c r="KBR16" s="2"/>
      <c r="KBS16" s="2"/>
      <c r="KBT16" s="2"/>
      <c r="KBU16" s="2"/>
      <c r="KBV16" s="2"/>
      <c r="KBW16" s="2"/>
      <c r="KBX16" s="2"/>
      <c r="KBY16" s="2"/>
      <c r="KBZ16" s="2"/>
      <c r="KCA16" s="2"/>
      <c r="KCB16" s="2"/>
      <c r="KCC16" s="2"/>
      <c r="KCD16" s="2"/>
      <c r="KCE16" s="2"/>
      <c r="KCF16" s="2"/>
      <c r="KCG16" s="2"/>
      <c r="KCH16" s="2"/>
      <c r="KCI16" s="2"/>
      <c r="KCJ16" s="2"/>
      <c r="KCK16" s="2"/>
      <c r="KCL16" s="2"/>
      <c r="KCM16" s="2"/>
      <c r="KCN16" s="2"/>
      <c r="KCO16" s="2"/>
      <c r="KCP16" s="2"/>
      <c r="KCQ16" s="2"/>
      <c r="KCR16" s="2"/>
      <c r="KCS16" s="2"/>
      <c r="KCT16" s="2"/>
      <c r="KCU16" s="2"/>
      <c r="KCV16" s="2"/>
      <c r="KCW16" s="2"/>
      <c r="KCX16" s="2"/>
      <c r="KCY16" s="2"/>
      <c r="KCZ16" s="2"/>
      <c r="KDA16" s="2"/>
      <c r="KDB16" s="2"/>
      <c r="KDC16" s="2"/>
      <c r="KDD16" s="2"/>
      <c r="KDE16" s="2"/>
      <c r="KDF16" s="2"/>
      <c r="KDG16" s="2"/>
      <c r="KDH16" s="2"/>
      <c r="KDI16" s="2"/>
      <c r="KDJ16" s="2"/>
      <c r="KDK16" s="2"/>
      <c r="KDL16" s="2"/>
      <c r="KDM16" s="2"/>
      <c r="KDN16" s="2"/>
      <c r="KDO16" s="2"/>
      <c r="KDP16" s="2"/>
      <c r="KDQ16" s="2"/>
      <c r="KDR16" s="2"/>
      <c r="KDS16" s="2"/>
      <c r="KDT16" s="2"/>
      <c r="KDU16" s="2"/>
      <c r="KDV16" s="2"/>
      <c r="KDW16" s="2"/>
      <c r="KDX16" s="2"/>
      <c r="KDY16" s="2"/>
      <c r="KDZ16" s="2"/>
      <c r="KEA16" s="2"/>
      <c r="KEB16" s="2"/>
      <c r="KEC16" s="2"/>
      <c r="KED16" s="2"/>
      <c r="KEE16" s="2"/>
      <c r="KEF16" s="2"/>
      <c r="KEG16" s="2"/>
      <c r="KEH16" s="2"/>
      <c r="KEI16" s="2"/>
      <c r="KEJ16" s="2"/>
      <c r="KEK16" s="2"/>
      <c r="KEL16" s="2"/>
      <c r="KEM16" s="2"/>
      <c r="KEN16" s="2"/>
      <c r="KEO16" s="2"/>
      <c r="KEP16" s="2"/>
      <c r="KEQ16" s="2"/>
      <c r="KER16" s="2"/>
      <c r="KES16" s="2"/>
      <c r="KET16" s="2"/>
      <c r="KEU16" s="2"/>
      <c r="KEV16" s="2"/>
      <c r="KEW16" s="2"/>
      <c r="KEX16" s="2"/>
      <c r="KEY16" s="2"/>
      <c r="KEZ16" s="2"/>
      <c r="KFA16" s="2"/>
      <c r="KFB16" s="2"/>
      <c r="KFC16" s="2"/>
      <c r="KFD16" s="2"/>
      <c r="KFE16" s="2"/>
      <c r="KFF16" s="2"/>
      <c r="KFG16" s="2"/>
      <c r="KFH16" s="2"/>
      <c r="KFI16" s="2"/>
      <c r="KFJ16" s="2"/>
      <c r="KFK16" s="2"/>
      <c r="KFL16" s="2"/>
      <c r="KFM16" s="2"/>
      <c r="KFN16" s="2"/>
      <c r="KFO16" s="2"/>
      <c r="KFP16" s="2"/>
      <c r="KFQ16" s="2"/>
      <c r="KFR16" s="2"/>
      <c r="KFS16" s="2"/>
      <c r="KFT16" s="2"/>
      <c r="KFU16" s="2"/>
      <c r="KFV16" s="2"/>
      <c r="KFW16" s="2"/>
      <c r="KFX16" s="2"/>
      <c r="KFY16" s="2"/>
      <c r="KFZ16" s="2"/>
      <c r="KGA16" s="2"/>
      <c r="KGB16" s="2"/>
      <c r="KGC16" s="2"/>
      <c r="KGD16" s="2"/>
      <c r="KGE16" s="2"/>
      <c r="KGF16" s="2"/>
      <c r="KGG16" s="2"/>
      <c r="KGH16" s="2"/>
      <c r="KGI16" s="2"/>
      <c r="KGJ16" s="2"/>
      <c r="KGK16" s="2"/>
      <c r="KGL16" s="2"/>
      <c r="KGM16" s="2"/>
      <c r="KGN16" s="2"/>
      <c r="KGO16" s="2"/>
      <c r="KGP16" s="2"/>
      <c r="KGQ16" s="2"/>
      <c r="KGR16" s="2"/>
      <c r="KGS16" s="2"/>
      <c r="KGT16" s="2"/>
      <c r="KGU16" s="2"/>
      <c r="KGV16" s="2"/>
      <c r="KGW16" s="2"/>
      <c r="KGX16" s="2"/>
      <c r="KGY16" s="2"/>
      <c r="KGZ16" s="2"/>
      <c r="KHA16" s="2"/>
      <c r="KHB16" s="2"/>
      <c r="KHC16" s="2"/>
      <c r="KHD16" s="2"/>
      <c r="KHE16" s="2"/>
      <c r="KHF16" s="2"/>
      <c r="KHG16" s="2"/>
      <c r="KHH16" s="2"/>
      <c r="KHI16" s="2"/>
      <c r="KHJ16" s="2"/>
      <c r="KHK16" s="2"/>
      <c r="KHL16" s="2"/>
      <c r="KHM16" s="2"/>
      <c r="KHN16" s="2"/>
      <c r="KHO16" s="2"/>
      <c r="KHP16" s="2"/>
      <c r="KHQ16" s="2"/>
      <c r="KHR16" s="2"/>
      <c r="KHS16" s="2"/>
      <c r="KHT16" s="2"/>
      <c r="KHU16" s="2"/>
      <c r="KHV16" s="2"/>
      <c r="KHW16" s="2"/>
      <c r="KHX16" s="2"/>
      <c r="KHY16" s="2"/>
      <c r="KHZ16" s="2"/>
      <c r="KIA16" s="2"/>
      <c r="KIB16" s="2"/>
      <c r="KIC16" s="2"/>
      <c r="KID16" s="2"/>
      <c r="KIE16" s="2"/>
      <c r="KIF16" s="2"/>
      <c r="KIG16" s="2"/>
      <c r="KIH16" s="2"/>
      <c r="KII16" s="2"/>
      <c r="KIJ16" s="2"/>
      <c r="KIK16" s="2"/>
      <c r="KIL16" s="2"/>
      <c r="KIM16" s="2"/>
      <c r="KIN16" s="2"/>
      <c r="KIO16" s="2"/>
      <c r="KIP16" s="2"/>
      <c r="KIQ16" s="2"/>
      <c r="KIR16" s="2"/>
      <c r="KIS16" s="2"/>
      <c r="KIT16" s="2"/>
      <c r="KIU16" s="2"/>
      <c r="KIV16" s="2"/>
      <c r="KIW16" s="2"/>
      <c r="KIX16" s="2"/>
      <c r="KIY16" s="2"/>
      <c r="KIZ16" s="2"/>
      <c r="KJA16" s="2"/>
      <c r="KJB16" s="2"/>
      <c r="KJC16" s="2"/>
      <c r="KJD16" s="2"/>
      <c r="KJE16" s="2"/>
      <c r="KJF16" s="2"/>
      <c r="KJG16" s="2"/>
      <c r="KJH16" s="2"/>
      <c r="KJI16" s="2"/>
      <c r="KJJ16" s="2"/>
      <c r="KJK16" s="2"/>
      <c r="KJL16" s="2"/>
      <c r="KJM16" s="2"/>
      <c r="KJN16" s="2"/>
      <c r="KJO16" s="2"/>
      <c r="KJP16" s="2"/>
      <c r="KJQ16" s="2"/>
      <c r="KJR16" s="2"/>
      <c r="KJS16" s="2"/>
      <c r="KJT16" s="2"/>
      <c r="KJU16" s="2"/>
      <c r="KJV16" s="2"/>
      <c r="KJW16" s="2"/>
      <c r="KJX16" s="2"/>
      <c r="KJY16" s="2"/>
      <c r="KJZ16" s="2"/>
      <c r="KKA16" s="2"/>
      <c r="KKB16" s="2"/>
      <c r="KKC16" s="2"/>
      <c r="KKD16" s="2"/>
      <c r="KKE16" s="2"/>
      <c r="KKF16" s="2"/>
      <c r="KKG16" s="2"/>
      <c r="KKH16" s="2"/>
      <c r="KKI16" s="2"/>
      <c r="KKJ16" s="2"/>
      <c r="KKK16" s="2"/>
      <c r="KKL16" s="2"/>
      <c r="KKM16" s="2"/>
      <c r="KKN16" s="2"/>
      <c r="KKO16" s="2"/>
      <c r="KKP16" s="2"/>
      <c r="KKQ16" s="2"/>
      <c r="KKR16" s="2"/>
      <c r="KKS16" s="2"/>
      <c r="KKT16" s="2"/>
      <c r="KKU16" s="2"/>
      <c r="KKV16" s="2"/>
      <c r="KKW16" s="2"/>
      <c r="KKX16" s="2"/>
      <c r="KKY16" s="2"/>
      <c r="KKZ16" s="2"/>
      <c r="KLA16" s="2"/>
      <c r="KLB16" s="2"/>
      <c r="KLC16" s="2"/>
      <c r="KLD16" s="2"/>
      <c r="KLE16" s="2"/>
      <c r="KLF16" s="2"/>
      <c r="KLG16" s="2"/>
      <c r="KLH16" s="2"/>
      <c r="KLI16" s="2"/>
      <c r="KLJ16" s="2"/>
      <c r="KLK16" s="2"/>
      <c r="KLL16" s="2"/>
      <c r="KLM16" s="2"/>
      <c r="KLN16" s="2"/>
      <c r="KLO16" s="2"/>
      <c r="KLP16" s="2"/>
      <c r="KLQ16" s="2"/>
      <c r="KLR16" s="2"/>
      <c r="KLS16" s="2"/>
      <c r="KLT16" s="2"/>
      <c r="KLU16" s="2"/>
      <c r="KLV16" s="2"/>
      <c r="KLW16" s="2"/>
      <c r="KLX16" s="2"/>
      <c r="KLY16" s="2"/>
      <c r="KLZ16" s="2"/>
      <c r="KMA16" s="2"/>
      <c r="KMB16" s="2"/>
      <c r="KMC16" s="2"/>
      <c r="KMD16" s="2"/>
      <c r="KME16" s="2"/>
      <c r="KMF16" s="2"/>
      <c r="KMG16" s="2"/>
      <c r="KMH16" s="2"/>
      <c r="KMI16" s="2"/>
      <c r="KMJ16" s="2"/>
      <c r="KMK16" s="2"/>
      <c r="KML16" s="2"/>
      <c r="KMM16" s="2"/>
      <c r="KMN16" s="2"/>
      <c r="KMO16" s="2"/>
      <c r="KMP16" s="2"/>
      <c r="KMQ16" s="2"/>
      <c r="KMR16" s="2"/>
      <c r="KMS16" s="2"/>
      <c r="KMT16" s="2"/>
      <c r="KMU16" s="2"/>
      <c r="KMV16" s="2"/>
      <c r="KMW16" s="2"/>
      <c r="KMX16" s="2"/>
      <c r="KMY16" s="2"/>
      <c r="KMZ16" s="2"/>
      <c r="KNA16" s="2"/>
      <c r="KNB16" s="2"/>
      <c r="KNC16" s="2"/>
      <c r="KND16" s="2"/>
      <c r="KNE16" s="2"/>
      <c r="KNF16" s="2"/>
      <c r="KNG16" s="2"/>
      <c r="KNH16" s="2"/>
      <c r="KNI16" s="2"/>
      <c r="KNJ16" s="2"/>
      <c r="KNK16" s="2"/>
      <c r="KNL16" s="2"/>
      <c r="KNM16" s="2"/>
      <c r="KNN16" s="2"/>
      <c r="KNO16" s="2"/>
      <c r="KNP16" s="2"/>
      <c r="KNQ16" s="2"/>
      <c r="KNR16" s="2"/>
      <c r="KNS16" s="2"/>
      <c r="KNT16" s="2"/>
      <c r="KNU16" s="2"/>
      <c r="KNV16" s="2"/>
      <c r="KNW16" s="2"/>
      <c r="KNX16" s="2"/>
      <c r="KNY16" s="2"/>
      <c r="KNZ16" s="2"/>
      <c r="KOA16" s="2"/>
      <c r="KOB16" s="2"/>
      <c r="KOC16" s="2"/>
      <c r="KOD16" s="2"/>
      <c r="KOE16" s="2"/>
      <c r="KOF16" s="2"/>
      <c r="KOG16" s="2"/>
      <c r="KOH16" s="2"/>
      <c r="KOI16" s="2"/>
      <c r="KOJ16" s="2"/>
      <c r="KOK16" s="2"/>
      <c r="KOL16" s="2"/>
      <c r="KOM16" s="2"/>
      <c r="KON16" s="2"/>
      <c r="KOO16" s="2"/>
      <c r="KOP16" s="2"/>
      <c r="KOQ16" s="2"/>
      <c r="KOR16" s="2"/>
      <c r="KOS16" s="2"/>
      <c r="KOT16" s="2"/>
      <c r="KOU16" s="2"/>
      <c r="KOV16" s="2"/>
      <c r="KOW16" s="2"/>
      <c r="KOX16" s="2"/>
      <c r="KOY16" s="2"/>
      <c r="KOZ16" s="2"/>
      <c r="KPA16" s="2"/>
      <c r="KPB16" s="2"/>
      <c r="KPC16" s="2"/>
      <c r="KPD16" s="2"/>
      <c r="KPE16" s="2"/>
      <c r="KPF16" s="2"/>
      <c r="KPG16" s="2"/>
      <c r="KPH16" s="2"/>
      <c r="KPI16" s="2"/>
      <c r="KPJ16" s="2"/>
      <c r="KPK16" s="2"/>
      <c r="KPL16" s="2"/>
      <c r="KPM16" s="2"/>
      <c r="KPN16" s="2"/>
      <c r="KPO16" s="2"/>
      <c r="KPP16" s="2"/>
      <c r="KPQ16" s="2"/>
      <c r="KPR16" s="2"/>
      <c r="KPS16" s="2"/>
      <c r="KPT16" s="2"/>
      <c r="KPU16" s="2"/>
      <c r="KPV16" s="2"/>
      <c r="KPW16" s="2"/>
      <c r="KPX16" s="2"/>
      <c r="KPY16" s="2"/>
      <c r="KPZ16" s="2"/>
      <c r="KQA16" s="2"/>
      <c r="KQB16" s="2"/>
      <c r="KQC16" s="2"/>
      <c r="KQD16" s="2"/>
      <c r="KQE16" s="2"/>
      <c r="KQF16" s="2"/>
      <c r="KQG16" s="2"/>
      <c r="KQH16" s="2"/>
      <c r="KQI16" s="2"/>
      <c r="KQJ16" s="2"/>
      <c r="KQK16" s="2"/>
      <c r="KQL16" s="2"/>
      <c r="KQM16" s="2"/>
      <c r="KQN16" s="2"/>
      <c r="KQO16" s="2"/>
      <c r="KQP16" s="2"/>
      <c r="KQQ16" s="2"/>
      <c r="KQR16" s="2"/>
      <c r="KQS16" s="2"/>
      <c r="KQT16" s="2"/>
      <c r="KQU16" s="2"/>
      <c r="KQV16" s="2"/>
      <c r="KQW16" s="2"/>
      <c r="KQX16" s="2"/>
      <c r="KQY16" s="2"/>
      <c r="KQZ16" s="2"/>
      <c r="KRA16" s="2"/>
      <c r="KRB16" s="2"/>
      <c r="KRC16" s="2"/>
      <c r="KRD16" s="2"/>
      <c r="KRE16" s="2"/>
      <c r="KRF16" s="2"/>
      <c r="KRG16" s="2"/>
      <c r="KRH16" s="2"/>
      <c r="KRI16" s="2"/>
      <c r="KRJ16" s="2"/>
      <c r="KRK16" s="2"/>
      <c r="KRL16" s="2"/>
      <c r="KRM16" s="2"/>
      <c r="KRN16" s="2"/>
      <c r="KRO16" s="2"/>
      <c r="KRP16" s="2"/>
      <c r="KRQ16" s="2"/>
      <c r="KRR16" s="2"/>
      <c r="KRS16" s="2"/>
      <c r="KRT16" s="2"/>
      <c r="KRU16" s="2"/>
      <c r="KRV16" s="2"/>
      <c r="KRW16" s="2"/>
      <c r="KRX16" s="2"/>
      <c r="KRY16" s="2"/>
      <c r="KRZ16" s="2"/>
      <c r="KSA16" s="2"/>
      <c r="KSB16" s="2"/>
      <c r="KSC16" s="2"/>
      <c r="KSD16" s="2"/>
      <c r="KSE16" s="2"/>
      <c r="KSF16" s="2"/>
      <c r="KSG16" s="2"/>
      <c r="KSH16" s="2"/>
      <c r="KSI16" s="2"/>
      <c r="KSJ16" s="2"/>
      <c r="KSK16" s="2"/>
      <c r="KSL16" s="2"/>
      <c r="KSM16" s="2"/>
      <c r="KSN16" s="2"/>
      <c r="KSO16" s="2"/>
      <c r="KSP16" s="2"/>
      <c r="KSQ16" s="2"/>
      <c r="KSR16" s="2"/>
      <c r="KSS16" s="2"/>
      <c r="KST16" s="2"/>
      <c r="KSU16" s="2"/>
      <c r="KSV16" s="2"/>
      <c r="KSW16" s="2"/>
      <c r="KSX16" s="2"/>
      <c r="KSY16" s="2"/>
      <c r="KSZ16" s="2"/>
      <c r="KTA16" s="2"/>
      <c r="KTB16" s="2"/>
      <c r="KTC16" s="2"/>
      <c r="KTD16" s="2"/>
      <c r="KTE16" s="2"/>
      <c r="KTF16" s="2"/>
      <c r="KTG16" s="2"/>
      <c r="KTH16" s="2"/>
      <c r="KTI16" s="2"/>
      <c r="KTJ16" s="2"/>
      <c r="KTK16" s="2"/>
      <c r="KTL16" s="2"/>
      <c r="KTM16" s="2"/>
      <c r="KTN16" s="2"/>
      <c r="KTO16" s="2"/>
      <c r="KTP16" s="2"/>
      <c r="KTQ16" s="2"/>
      <c r="KTR16" s="2"/>
      <c r="KTS16" s="2"/>
      <c r="KTT16" s="2"/>
      <c r="KTU16" s="2"/>
      <c r="KTV16" s="2"/>
      <c r="KTW16" s="2"/>
      <c r="KTX16" s="2"/>
      <c r="KTY16" s="2"/>
      <c r="KTZ16" s="2"/>
      <c r="KUA16" s="2"/>
      <c r="KUB16" s="2"/>
      <c r="KUC16" s="2"/>
      <c r="KUD16" s="2"/>
      <c r="KUE16" s="2"/>
      <c r="KUF16" s="2"/>
      <c r="KUG16" s="2"/>
      <c r="KUH16" s="2"/>
      <c r="KUI16" s="2"/>
      <c r="KUJ16" s="2"/>
      <c r="KUK16" s="2"/>
      <c r="KUL16" s="2"/>
      <c r="KUM16" s="2"/>
      <c r="KUN16" s="2"/>
      <c r="KUO16" s="2"/>
      <c r="KUP16" s="2"/>
      <c r="KUQ16" s="2"/>
      <c r="KUR16" s="2"/>
      <c r="KUS16" s="2"/>
      <c r="KUT16" s="2"/>
      <c r="KUU16" s="2"/>
      <c r="KUV16" s="2"/>
      <c r="KUW16" s="2"/>
      <c r="KUX16" s="2"/>
      <c r="KUY16" s="2"/>
      <c r="KUZ16" s="2"/>
      <c r="KVA16" s="2"/>
      <c r="KVB16" s="2"/>
      <c r="KVC16" s="2"/>
      <c r="KVD16" s="2"/>
      <c r="KVE16" s="2"/>
      <c r="KVF16" s="2"/>
      <c r="KVG16" s="2"/>
      <c r="KVH16" s="2"/>
      <c r="KVI16" s="2"/>
      <c r="KVJ16" s="2"/>
      <c r="KVK16" s="2"/>
      <c r="KVL16" s="2"/>
      <c r="KVM16" s="2"/>
      <c r="KVN16" s="2"/>
      <c r="KVO16" s="2"/>
      <c r="KVP16" s="2"/>
      <c r="KVQ16" s="2"/>
      <c r="KVR16" s="2"/>
      <c r="KVS16" s="2"/>
      <c r="KVT16" s="2"/>
      <c r="KVU16" s="2"/>
      <c r="KVV16" s="2"/>
      <c r="KVW16" s="2"/>
      <c r="KVX16" s="2"/>
      <c r="KVY16" s="2"/>
      <c r="KVZ16" s="2"/>
      <c r="KWA16" s="2"/>
      <c r="KWB16" s="2"/>
      <c r="KWC16" s="2"/>
      <c r="KWD16" s="2"/>
      <c r="KWE16" s="2"/>
      <c r="KWF16" s="2"/>
      <c r="KWG16" s="2"/>
      <c r="KWH16" s="2"/>
      <c r="KWI16" s="2"/>
      <c r="KWJ16" s="2"/>
      <c r="KWK16" s="2"/>
      <c r="KWL16" s="2"/>
      <c r="KWM16" s="2"/>
      <c r="KWN16" s="2"/>
      <c r="KWO16" s="2"/>
      <c r="KWP16" s="2"/>
      <c r="KWQ16" s="2"/>
      <c r="KWR16" s="2"/>
      <c r="KWS16" s="2"/>
      <c r="KWT16" s="2"/>
      <c r="KWU16" s="2"/>
      <c r="KWV16" s="2"/>
      <c r="KWW16" s="2"/>
      <c r="KWX16" s="2"/>
      <c r="KWY16" s="2"/>
      <c r="KWZ16" s="2"/>
      <c r="KXA16" s="2"/>
      <c r="KXB16" s="2"/>
      <c r="KXC16" s="2"/>
      <c r="KXD16" s="2"/>
      <c r="KXE16" s="2"/>
      <c r="KXF16" s="2"/>
      <c r="KXG16" s="2"/>
      <c r="KXH16" s="2"/>
      <c r="KXI16" s="2"/>
      <c r="KXJ16" s="2"/>
      <c r="KXK16" s="2"/>
      <c r="KXL16" s="2"/>
      <c r="KXM16" s="2"/>
      <c r="KXN16" s="2"/>
      <c r="KXO16" s="2"/>
      <c r="KXP16" s="2"/>
      <c r="KXQ16" s="2"/>
      <c r="KXR16" s="2"/>
      <c r="KXS16" s="2"/>
      <c r="KXT16" s="2"/>
      <c r="KXU16" s="2"/>
      <c r="KXV16" s="2"/>
      <c r="KXW16" s="2"/>
      <c r="KXX16" s="2"/>
      <c r="KXY16" s="2"/>
      <c r="KXZ16" s="2"/>
      <c r="KYA16" s="2"/>
      <c r="KYB16" s="2"/>
      <c r="KYC16" s="2"/>
      <c r="KYD16" s="2"/>
      <c r="KYE16" s="2"/>
      <c r="KYF16" s="2"/>
      <c r="KYG16" s="2"/>
      <c r="KYH16" s="2"/>
      <c r="KYI16" s="2"/>
      <c r="KYJ16" s="2"/>
      <c r="KYK16" s="2"/>
      <c r="KYL16" s="2"/>
      <c r="KYM16" s="2"/>
      <c r="KYN16" s="2"/>
      <c r="KYO16" s="2"/>
      <c r="KYP16" s="2"/>
      <c r="KYQ16" s="2"/>
      <c r="KYR16" s="2"/>
      <c r="KYS16" s="2"/>
      <c r="KYT16" s="2"/>
      <c r="KYU16" s="2"/>
      <c r="KYV16" s="2"/>
      <c r="KYW16" s="2"/>
      <c r="KYX16" s="2"/>
      <c r="KYY16" s="2"/>
      <c r="KYZ16" s="2"/>
      <c r="KZA16" s="2"/>
      <c r="KZB16" s="2"/>
      <c r="KZC16" s="2"/>
      <c r="KZD16" s="2"/>
      <c r="KZE16" s="2"/>
      <c r="KZF16" s="2"/>
      <c r="KZG16" s="2"/>
      <c r="KZH16" s="2"/>
      <c r="KZI16" s="2"/>
      <c r="KZJ16" s="2"/>
      <c r="KZK16" s="2"/>
      <c r="KZL16" s="2"/>
      <c r="KZM16" s="2"/>
      <c r="KZN16" s="2"/>
      <c r="KZO16" s="2"/>
      <c r="KZP16" s="2"/>
      <c r="KZQ16" s="2"/>
      <c r="KZR16" s="2"/>
      <c r="KZS16" s="2"/>
      <c r="KZT16" s="2"/>
      <c r="KZU16" s="2"/>
      <c r="KZV16" s="2"/>
      <c r="KZW16" s="2"/>
      <c r="KZX16" s="2"/>
      <c r="KZY16" s="2"/>
      <c r="KZZ16" s="2"/>
      <c r="LAA16" s="2"/>
      <c r="LAB16" s="2"/>
      <c r="LAC16" s="2"/>
      <c r="LAD16" s="2"/>
      <c r="LAE16" s="2"/>
      <c r="LAF16" s="2"/>
      <c r="LAG16" s="2"/>
      <c r="LAH16" s="2"/>
      <c r="LAI16" s="2"/>
      <c r="LAJ16" s="2"/>
      <c r="LAK16" s="2"/>
      <c r="LAL16" s="2"/>
      <c r="LAM16" s="2"/>
      <c r="LAN16" s="2"/>
      <c r="LAO16" s="2"/>
      <c r="LAP16" s="2"/>
      <c r="LAQ16" s="2"/>
      <c r="LAR16" s="2"/>
      <c r="LAS16" s="2"/>
      <c r="LAT16" s="2"/>
      <c r="LAU16" s="2"/>
      <c r="LAV16" s="2"/>
      <c r="LAW16" s="2"/>
      <c r="LAX16" s="2"/>
      <c r="LAY16" s="2"/>
      <c r="LAZ16" s="2"/>
      <c r="LBA16" s="2"/>
      <c r="LBB16" s="2"/>
      <c r="LBC16" s="2"/>
      <c r="LBD16" s="2"/>
      <c r="LBE16" s="2"/>
      <c r="LBF16" s="2"/>
      <c r="LBG16" s="2"/>
      <c r="LBH16" s="2"/>
      <c r="LBI16" s="2"/>
      <c r="LBJ16" s="2"/>
      <c r="LBK16" s="2"/>
      <c r="LBL16" s="2"/>
      <c r="LBM16" s="2"/>
      <c r="LBN16" s="2"/>
      <c r="LBO16" s="2"/>
      <c r="LBP16" s="2"/>
      <c r="LBQ16" s="2"/>
      <c r="LBR16" s="2"/>
      <c r="LBS16" s="2"/>
      <c r="LBT16" s="2"/>
      <c r="LBU16" s="2"/>
      <c r="LBV16" s="2"/>
      <c r="LBW16" s="2"/>
      <c r="LBX16" s="2"/>
      <c r="LBY16" s="2"/>
      <c r="LBZ16" s="2"/>
      <c r="LCA16" s="2"/>
      <c r="LCB16" s="2"/>
      <c r="LCC16" s="2"/>
      <c r="LCD16" s="2"/>
      <c r="LCE16" s="2"/>
      <c r="LCF16" s="2"/>
      <c r="LCG16" s="2"/>
      <c r="LCH16" s="2"/>
      <c r="LCI16" s="2"/>
      <c r="LCJ16" s="2"/>
      <c r="LCK16" s="2"/>
      <c r="LCL16" s="2"/>
      <c r="LCM16" s="2"/>
      <c r="LCN16" s="2"/>
      <c r="LCO16" s="2"/>
      <c r="LCP16" s="2"/>
      <c r="LCQ16" s="2"/>
      <c r="LCR16" s="2"/>
      <c r="LCS16" s="2"/>
      <c r="LCT16" s="2"/>
      <c r="LCU16" s="2"/>
      <c r="LCV16" s="2"/>
      <c r="LCW16" s="2"/>
      <c r="LCX16" s="2"/>
      <c r="LCY16" s="2"/>
      <c r="LCZ16" s="2"/>
      <c r="LDA16" s="2"/>
      <c r="LDB16" s="2"/>
      <c r="LDC16" s="2"/>
      <c r="LDD16" s="2"/>
      <c r="LDE16" s="2"/>
      <c r="LDF16" s="2"/>
      <c r="LDG16" s="2"/>
      <c r="LDH16" s="2"/>
      <c r="LDI16" s="2"/>
      <c r="LDJ16" s="2"/>
      <c r="LDK16" s="2"/>
      <c r="LDL16" s="2"/>
      <c r="LDM16" s="2"/>
      <c r="LDN16" s="2"/>
      <c r="LDO16" s="2"/>
      <c r="LDP16" s="2"/>
      <c r="LDQ16" s="2"/>
      <c r="LDR16" s="2"/>
      <c r="LDS16" s="2"/>
      <c r="LDT16" s="2"/>
      <c r="LDU16" s="2"/>
      <c r="LDV16" s="2"/>
      <c r="LDW16" s="2"/>
      <c r="LDX16" s="2"/>
      <c r="LDY16" s="2"/>
      <c r="LDZ16" s="2"/>
      <c r="LEA16" s="2"/>
      <c r="LEB16" s="2"/>
      <c r="LEC16" s="2"/>
      <c r="LED16" s="2"/>
      <c r="LEE16" s="2"/>
      <c r="LEF16" s="2"/>
      <c r="LEG16" s="2"/>
      <c r="LEH16" s="2"/>
      <c r="LEI16" s="2"/>
      <c r="LEJ16" s="2"/>
      <c r="LEK16" s="2"/>
      <c r="LEL16" s="2"/>
      <c r="LEM16" s="2"/>
      <c r="LEN16" s="2"/>
      <c r="LEO16" s="2"/>
      <c r="LEP16" s="2"/>
      <c r="LEQ16" s="2"/>
      <c r="LER16" s="2"/>
      <c r="LES16" s="2"/>
      <c r="LET16" s="2"/>
      <c r="LEU16" s="2"/>
      <c r="LEV16" s="2"/>
      <c r="LEW16" s="2"/>
      <c r="LEX16" s="2"/>
      <c r="LEY16" s="2"/>
      <c r="LEZ16" s="2"/>
      <c r="LFA16" s="2"/>
      <c r="LFB16" s="2"/>
      <c r="LFC16" s="2"/>
      <c r="LFD16" s="2"/>
      <c r="LFE16" s="2"/>
      <c r="LFF16" s="2"/>
      <c r="LFG16" s="2"/>
      <c r="LFH16" s="2"/>
      <c r="LFI16" s="2"/>
      <c r="LFJ16" s="2"/>
      <c r="LFK16" s="2"/>
      <c r="LFL16" s="2"/>
      <c r="LFM16" s="2"/>
      <c r="LFN16" s="2"/>
      <c r="LFO16" s="2"/>
      <c r="LFP16" s="2"/>
      <c r="LFQ16" s="2"/>
      <c r="LFR16" s="2"/>
      <c r="LFS16" s="2"/>
      <c r="LFT16" s="2"/>
      <c r="LFU16" s="2"/>
      <c r="LFV16" s="2"/>
      <c r="LFW16" s="2"/>
      <c r="LFX16" s="2"/>
      <c r="LFY16" s="2"/>
      <c r="LFZ16" s="2"/>
      <c r="LGA16" s="2"/>
      <c r="LGB16" s="2"/>
      <c r="LGC16" s="2"/>
      <c r="LGD16" s="2"/>
      <c r="LGE16" s="2"/>
      <c r="LGF16" s="2"/>
      <c r="LGG16" s="2"/>
      <c r="LGH16" s="2"/>
      <c r="LGI16" s="2"/>
      <c r="LGJ16" s="2"/>
      <c r="LGK16" s="2"/>
      <c r="LGL16" s="2"/>
      <c r="LGM16" s="2"/>
      <c r="LGN16" s="2"/>
      <c r="LGO16" s="2"/>
      <c r="LGP16" s="2"/>
      <c r="LGQ16" s="2"/>
      <c r="LGR16" s="2"/>
      <c r="LGS16" s="2"/>
      <c r="LGT16" s="2"/>
      <c r="LGU16" s="2"/>
      <c r="LGV16" s="2"/>
      <c r="LGW16" s="2"/>
      <c r="LGX16" s="2"/>
      <c r="LGY16" s="2"/>
      <c r="LGZ16" s="2"/>
      <c r="LHA16" s="2"/>
      <c r="LHB16" s="2"/>
      <c r="LHC16" s="2"/>
      <c r="LHD16" s="2"/>
      <c r="LHE16" s="2"/>
      <c r="LHF16" s="2"/>
      <c r="LHG16" s="2"/>
      <c r="LHH16" s="2"/>
      <c r="LHI16" s="2"/>
      <c r="LHJ16" s="2"/>
      <c r="LHK16" s="2"/>
      <c r="LHL16" s="2"/>
      <c r="LHM16" s="2"/>
      <c r="LHN16" s="2"/>
      <c r="LHO16" s="2"/>
      <c r="LHP16" s="2"/>
      <c r="LHQ16" s="2"/>
      <c r="LHR16" s="2"/>
      <c r="LHS16" s="2"/>
      <c r="LHT16" s="2"/>
      <c r="LHU16" s="2"/>
      <c r="LHV16" s="2"/>
      <c r="LHW16" s="2"/>
      <c r="LHX16" s="2"/>
      <c r="LHY16" s="2"/>
      <c r="LHZ16" s="2"/>
      <c r="LIA16" s="2"/>
      <c r="LIB16" s="2"/>
      <c r="LIC16" s="2"/>
      <c r="LID16" s="2"/>
      <c r="LIE16" s="2"/>
      <c r="LIF16" s="2"/>
      <c r="LIG16" s="2"/>
      <c r="LIH16" s="2"/>
      <c r="LII16" s="2"/>
      <c r="LIJ16" s="2"/>
      <c r="LIK16" s="2"/>
      <c r="LIL16" s="2"/>
      <c r="LIM16" s="2"/>
      <c r="LIN16" s="2"/>
      <c r="LIO16" s="2"/>
      <c r="LIP16" s="2"/>
      <c r="LIQ16" s="2"/>
      <c r="LIR16" s="2"/>
      <c r="LIS16" s="2"/>
      <c r="LIT16" s="2"/>
      <c r="LIU16" s="2"/>
      <c r="LIV16" s="2"/>
      <c r="LIW16" s="2"/>
      <c r="LIX16" s="2"/>
      <c r="LIY16" s="2"/>
      <c r="LIZ16" s="2"/>
      <c r="LJA16" s="2"/>
      <c r="LJB16" s="2"/>
      <c r="LJC16" s="2"/>
      <c r="LJD16" s="2"/>
      <c r="LJE16" s="2"/>
      <c r="LJF16" s="2"/>
      <c r="LJG16" s="2"/>
      <c r="LJH16" s="2"/>
      <c r="LJI16" s="2"/>
      <c r="LJJ16" s="2"/>
      <c r="LJK16" s="2"/>
      <c r="LJL16" s="2"/>
      <c r="LJM16" s="2"/>
      <c r="LJN16" s="2"/>
      <c r="LJO16" s="2"/>
      <c r="LJP16" s="2"/>
      <c r="LJQ16" s="2"/>
      <c r="LJR16" s="2"/>
      <c r="LJS16" s="2"/>
      <c r="LJT16" s="2"/>
      <c r="LJU16" s="2"/>
      <c r="LJV16" s="2"/>
      <c r="LJW16" s="2"/>
      <c r="LJX16" s="2"/>
      <c r="LJY16" s="2"/>
      <c r="LJZ16" s="2"/>
      <c r="LKA16" s="2"/>
      <c r="LKB16" s="2"/>
      <c r="LKC16" s="2"/>
      <c r="LKD16" s="2"/>
      <c r="LKE16" s="2"/>
      <c r="LKF16" s="2"/>
      <c r="LKG16" s="2"/>
      <c r="LKH16" s="2"/>
      <c r="LKI16" s="2"/>
      <c r="LKJ16" s="2"/>
      <c r="LKK16" s="2"/>
      <c r="LKL16" s="2"/>
      <c r="LKM16" s="2"/>
      <c r="LKN16" s="2"/>
      <c r="LKO16" s="2"/>
      <c r="LKP16" s="2"/>
      <c r="LKQ16" s="2"/>
      <c r="LKR16" s="2"/>
      <c r="LKS16" s="2"/>
      <c r="LKT16" s="2"/>
      <c r="LKU16" s="2"/>
      <c r="LKV16" s="2"/>
      <c r="LKW16" s="2"/>
      <c r="LKX16" s="2"/>
      <c r="LKY16" s="2"/>
      <c r="LKZ16" s="2"/>
      <c r="LLA16" s="2"/>
      <c r="LLB16" s="2"/>
      <c r="LLC16" s="2"/>
      <c r="LLD16" s="2"/>
      <c r="LLE16" s="2"/>
      <c r="LLF16" s="2"/>
      <c r="LLG16" s="2"/>
      <c r="LLH16" s="2"/>
      <c r="LLI16" s="2"/>
      <c r="LLJ16" s="2"/>
      <c r="LLK16" s="2"/>
      <c r="LLL16" s="2"/>
      <c r="LLM16" s="2"/>
      <c r="LLN16" s="2"/>
      <c r="LLO16" s="2"/>
      <c r="LLP16" s="2"/>
      <c r="LLQ16" s="2"/>
      <c r="LLR16" s="2"/>
      <c r="LLS16" s="2"/>
      <c r="LLT16" s="2"/>
      <c r="LLU16" s="2"/>
      <c r="LLV16" s="2"/>
      <c r="LLW16" s="2"/>
      <c r="LLX16" s="2"/>
      <c r="LLY16" s="2"/>
      <c r="LLZ16" s="2"/>
      <c r="LMA16" s="2"/>
      <c r="LMB16" s="2"/>
      <c r="LMC16" s="2"/>
      <c r="LMD16" s="2"/>
      <c r="LME16" s="2"/>
      <c r="LMF16" s="2"/>
      <c r="LMG16" s="2"/>
      <c r="LMH16" s="2"/>
      <c r="LMI16" s="2"/>
      <c r="LMJ16" s="2"/>
      <c r="LMK16" s="2"/>
      <c r="LML16" s="2"/>
      <c r="LMM16" s="2"/>
      <c r="LMN16" s="2"/>
      <c r="LMO16" s="2"/>
      <c r="LMP16" s="2"/>
      <c r="LMQ16" s="2"/>
      <c r="LMR16" s="2"/>
      <c r="LMS16" s="2"/>
      <c r="LMT16" s="2"/>
      <c r="LMU16" s="2"/>
      <c r="LMV16" s="2"/>
      <c r="LMW16" s="2"/>
      <c r="LMX16" s="2"/>
      <c r="LMY16" s="2"/>
      <c r="LMZ16" s="2"/>
      <c r="LNA16" s="2"/>
      <c r="LNB16" s="2"/>
      <c r="LNC16" s="2"/>
      <c r="LND16" s="2"/>
      <c r="LNE16" s="2"/>
      <c r="LNF16" s="2"/>
      <c r="LNG16" s="2"/>
      <c r="LNH16" s="2"/>
      <c r="LNI16" s="2"/>
      <c r="LNJ16" s="2"/>
      <c r="LNK16" s="2"/>
      <c r="LNL16" s="2"/>
      <c r="LNM16" s="2"/>
      <c r="LNN16" s="2"/>
      <c r="LNO16" s="2"/>
      <c r="LNP16" s="2"/>
      <c r="LNQ16" s="2"/>
      <c r="LNR16" s="2"/>
      <c r="LNS16" s="2"/>
      <c r="LNT16" s="2"/>
      <c r="LNU16" s="2"/>
      <c r="LNV16" s="2"/>
      <c r="LNW16" s="2"/>
      <c r="LNX16" s="2"/>
      <c r="LNY16" s="2"/>
      <c r="LNZ16" s="2"/>
      <c r="LOA16" s="2"/>
      <c r="LOB16" s="2"/>
      <c r="LOC16" s="2"/>
      <c r="LOD16" s="2"/>
      <c r="LOE16" s="2"/>
      <c r="LOF16" s="2"/>
      <c r="LOG16" s="2"/>
      <c r="LOH16" s="2"/>
      <c r="LOI16" s="2"/>
      <c r="LOJ16" s="2"/>
      <c r="LOK16" s="2"/>
      <c r="LOL16" s="2"/>
      <c r="LOM16" s="2"/>
      <c r="LON16" s="2"/>
      <c r="LOO16" s="2"/>
      <c r="LOP16" s="2"/>
      <c r="LOQ16" s="2"/>
      <c r="LOR16" s="2"/>
      <c r="LOS16" s="2"/>
      <c r="LOT16" s="2"/>
      <c r="LOU16" s="2"/>
      <c r="LOV16" s="2"/>
      <c r="LOW16" s="2"/>
      <c r="LOX16" s="2"/>
      <c r="LOY16" s="2"/>
      <c r="LOZ16" s="2"/>
      <c r="LPA16" s="2"/>
      <c r="LPB16" s="2"/>
      <c r="LPC16" s="2"/>
      <c r="LPD16" s="2"/>
      <c r="LPE16" s="2"/>
      <c r="LPF16" s="2"/>
      <c r="LPG16" s="2"/>
      <c r="LPH16" s="2"/>
      <c r="LPI16" s="2"/>
      <c r="LPJ16" s="2"/>
      <c r="LPK16" s="2"/>
      <c r="LPL16" s="2"/>
      <c r="LPM16" s="2"/>
      <c r="LPN16" s="2"/>
      <c r="LPO16" s="2"/>
      <c r="LPP16" s="2"/>
      <c r="LPQ16" s="2"/>
      <c r="LPR16" s="2"/>
      <c r="LPS16" s="2"/>
      <c r="LPT16" s="2"/>
      <c r="LPU16" s="2"/>
      <c r="LPV16" s="2"/>
      <c r="LPW16" s="2"/>
      <c r="LPX16" s="2"/>
      <c r="LPY16" s="2"/>
      <c r="LPZ16" s="2"/>
      <c r="LQA16" s="2"/>
      <c r="LQB16" s="2"/>
      <c r="LQC16" s="2"/>
      <c r="LQD16" s="2"/>
      <c r="LQE16" s="2"/>
      <c r="LQF16" s="2"/>
      <c r="LQG16" s="2"/>
      <c r="LQH16" s="2"/>
      <c r="LQI16" s="2"/>
      <c r="LQJ16" s="2"/>
      <c r="LQK16" s="2"/>
      <c r="LQL16" s="2"/>
      <c r="LQM16" s="2"/>
      <c r="LQN16" s="2"/>
      <c r="LQO16" s="2"/>
      <c r="LQP16" s="2"/>
      <c r="LQQ16" s="2"/>
      <c r="LQR16" s="2"/>
      <c r="LQS16" s="2"/>
      <c r="LQT16" s="2"/>
      <c r="LQU16" s="2"/>
      <c r="LQV16" s="2"/>
      <c r="LQW16" s="2"/>
      <c r="LQX16" s="2"/>
      <c r="LQY16" s="2"/>
      <c r="LQZ16" s="2"/>
      <c r="LRA16" s="2"/>
      <c r="LRB16" s="2"/>
      <c r="LRC16" s="2"/>
      <c r="LRD16" s="2"/>
      <c r="LRE16" s="2"/>
      <c r="LRF16" s="2"/>
      <c r="LRG16" s="2"/>
      <c r="LRH16" s="2"/>
      <c r="LRI16" s="2"/>
      <c r="LRJ16" s="2"/>
      <c r="LRK16" s="2"/>
      <c r="LRL16" s="2"/>
      <c r="LRM16" s="2"/>
      <c r="LRN16" s="2"/>
      <c r="LRO16" s="2"/>
      <c r="LRP16" s="2"/>
      <c r="LRQ16" s="2"/>
      <c r="LRR16" s="2"/>
      <c r="LRS16" s="2"/>
      <c r="LRT16" s="2"/>
      <c r="LRU16" s="2"/>
      <c r="LRV16" s="2"/>
      <c r="LRW16" s="2"/>
      <c r="LRX16" s="2"/>
      <c r="LRY16" s="2"/>
      <c r="LRZ16" s="2"/>
      <c r="LSA16" s="2"/>
      <c r="LSB16" s="2"/>
      <c r="LSC16" s="2"/>
      <c r="LSD16" s="2"/>
      <c r="LSE16" s="2"/>
      <c r="LSF16" s="2"/>
      <c r="LSG16" s="2"/>
      <c r="LSH16" s="2"/>
      <c r="LSI16" s="2"/>
      <c r="LSJ16" s="2"/>
      <c r="LSK16" s="2"/>
      <c r="LSL16" s="2"/>
      <c r="LSM16" s="2"/>
      <c r="LSN16" s="2"/>
      <c r="LSO16" s="2"/>
      <c r="LSP16" s="2"/>
      <c r="LSQ16" s="2"/>
      <c r="LSR16" s="2"/>
      <c r="LSS16" s="2"/>
      <c r="LST16" s="2"/>
      <c r="LSU16" s="2"/>
      <c r="LSV16" s="2"/>
      <c r="LSW16" s="2"/>
      <c r="LSX16" s="2"/>
      <c r="LSY16" s="2"/>
      <c r="LSZ16" s="2"/>
      <c r="LTA16" s="2"/>
      <c r="LTB16" s="2"/>
      <c r="LTC16" s="2"/>
      <c r="LTD16" s="2"/>
      <c r="LTE16" s="2"/>
      <c r="LTF16" s="2"/>
      <c r="LTG16" s="2"/>
      <c r="LTH16" s="2"/>
      <c r="LTI16" s="2"/>
      <c r="LTJ16" s="2"/>
      <c r="LTK16" s="2"/>
      <c r="LTL16" s="2"/>
      <c r="LTM16" s="2"/>
      <c r="LTN16" s="2"/>
      <c r="LTO16" s="2"/>
      <c r="LTP16" s="2"/>
      <c r="LTQ16" s="2"/>
      <c r="LTR16" s="2"/>
      <c r="LTS16" s="2"/>
      <c r="LTT16" s="2"/>
      <c r="LTU16" s="2"/>
      <c r="LTV16" s="2"/>
      <c r="LTW16" s="2"/>
      <c r="LTX16" s="2"/>
      <c r="LTY16" s="2"/>
      <c r="LTZ16" s="2"/>
      <c r="LUA16" s="2"/>
      <c r="LUB16" s="2"/>
      <c r="LUC16" s="2"/>
      <c r="LUD16" s="2"/>
      <c r="LUE16" s="2"/>
      <c r="LUF16" s="2"/>
      <c r="LUG16" s="2"/>
      <c r="LUH16" s="2"/>
      <c r="LUI16" s="2"/>
      <c r="LUJ16" s="2"/>
      <c r="LUK16" s="2"/>
      <c r="LUL16" s="2"/>
      <c r="LUM16" s="2"/>
      <c r="LUN16" s="2"/>
      <c r="LUO16" s="2"/>
      <c r="LUP16" s="2"/>
      <c r="LUQ16" s="2"/>
      <c r="LUR16" s="2"/>
      <c r="LUS16" s="2"/>
      <c r="LUT16" s="2"/>
      <c r="LUU16" s="2"/>
      <c r="LUV16" s="2"/>
      <c r="LUW16" s="2"/>
      <c r="LUX16" s="2"/>
      <c r="LUY16" s="2"/>
      <c r="LUZ16" s="2"/>
      <c r="LVA16" s="2"/>
      <c r="LVB16" s="2"/>
      <c r="LVC16" s="2"/>
      <c r="LVD16" s="2"/>
      <c r="LVE16" s="2"/>
      <c r="LVF16" s="2"/>
      <c r="LVG16" s="2"/>
      <c r="LVH16" s="2"/>
      <c r="LVI16" s="2"/>
      <c r="LVJ16" s="2"/>
      <c r="LVK16" s="2"/>
      <c r="LVL16" s="2"/>
      <c r="LVM16" s="2"/>
      <c r="LVN16" s="2"/>
      <c r="LVO16" s="2"/>
      <c r="LVP16" s="2"/>
      <c r="LVQ16" s="2"/>
      <c r="LVR16" s="2"/>
      <c r="LVS16" s="2"/>
      <c r="LVT16" s="2"/>
      <c r="LVU16" s="2"/>
      <c r="LVV16" s="2"/>
      <c r="LVW16" s="2"/>
      <c r="LVX16" s="2"/>
      <c r="LVY16" s="2"/>
      <c r="LVZ16" s="2"/>
      <c r="LWA16" s="2"/>
      <c r="LWB16" s="2"/>
      <c r="LWC16" s="2"/>
      <c r="LWD16" s="2"/>
      <c r="LWE16" s="2"/>
      <c r="LWF16" s="2"/>
      <c r="LWG16" s="2"/>
      <c r="LWH16" s="2"/>
      <c r="LWI16" s="2"/>
      <c r="LWJ16" s="2"/>
      <c r="LWK16" s="2"/>
      <c r="LWL16" s="2"/>
      <c r="LWM16" s="2"/>
      <c r="LWN16" s="2"/>
      <c r="LWO16" s="2"/>
      <c r="LWP16" s="2"/>
      <c r="LWQ16" s="2"/>
      <c r="LWR16" s="2"/>
      <c r="LWS16" s="2"/>
      <c r="LWT16" s="2"/>
      <c r="LWU16" s="2"/>
      <c r="LWV16" s="2"/>
      <c r="LWW16" s="2"/>
      <c r="LWX16" s="2"/>
      <c r="LWY16" s="2"/>
      <c r="LWZ16" s="2"/>
      <c r="LXA16" s="2"/>
      <c r="LXB16" s="2"/>
      <c r="LXC16" s="2"/>
      <c r="LXD16" s="2"/>
      <c r="LXE16" s="2"/>
      <c r="LXF16" s="2"/>
      <c r="LXG16" s="2"/>
      <c r="LXH16" s="2"/>
      <c r="LXI16" s="2"/>
      <c r="LXJ16" s="2"/>
      <c r="LXK16" s="2"/>
      <c r="LXL16" s="2"/>
      <c r="LXM16" s="2"/>
      <c r="LXN16" s="2"/>
      <c r="LXO16" s="2"/>
      <c r="LXP16" s="2"/>
      <c r="LXQ16" s="2"/>
      <c r="LXR16" s="2"/>
      <c r="LXS16" s="2"/>
      <c r="LXT16" s="2"/>
      <c r="LXU16" s="2"/>
      <c r="LXV16" s="2"/>
      <c r="LXW16" s="2"/>
      <c r="LXX16" s="2"/>
      <c r="LXY16" s="2"/>
      <c r="LXZ16" s="2"/>
      <c r="LYA16" s="2"/>
      <c r="LYB16" s="2"/>
      <c r="LYC16" s="2"/>
      <c r="LYD16" s="2"/>
      <c r="LYE16" s="2"/>
      <c r="LYF16" s="2"/>
      <c r="LYG16" s="2"/>
      <c r="LYH16" s="2"/>
      <c r="LYI16" s="2"/>
      <c r="LYJ16" s="2"/>
      <c r="LYK16" s="2"/>
      <c r="LYL16" s="2"/>
      <c r="LYM16" s="2"/>
      <c r="LYN16" s="2"/>
      <c r="LYO16" s="2"/>
      <c r="LYP16" s="2"/>
      <c r="LYQ16" s="2"/>
      <c r="LYR16" s="2"/>
      <c r="LYS16" s="2"/>
      <c r="LYT16" s="2"/>
      <c r="LYU16" s="2"/>
      <c r="LYV16" s="2"/>
      <c r="LYW16" s="2"/>
      <c r="LYX16" s="2"/>
      <c r="LYY16" s="2"/>
      <c r="LYZ16" s="2"/>
      <c r="LZA16" s="2"/>
      <c r="LZB16" s="2"/>
      <c r="LZC16" s="2"/>
      <c r="LZD16" s="2"/>
      <c r="LZE16" s="2"/>
      <c r="LZF16" s="2"/>
      <c r="LZG16" s="2"/>
      <c r="LZH16" s="2"/>
      <c r="LZI16" s="2"/>
      <c r="LZJ16" s="2"/>
      <c r="LZK16" s="2"/>
      <c r="LZL16" s="2"/>
      <c r="LZM16" s="2"/>
      <c r="LZN16" s="2"/>
      <c r="LZO16" s="2"/>
      <c r="LZP16" s="2"/>
      <c r="LZQ16" s="2"/>
      <c r="LZR16" s="2"/>
      <c r="LZS16" s="2"/>
      <c r="LZT16" s="2"/>
      <c r="LZU16" s="2"/>
      <c r="LZV16" s="2"/>
      <c r="LZW16" s="2"/>
      <c r="LZX16" s="2"/>
      <c r="LZY16" s="2"/>
      <c r="LZZ16" s="2"/>
      <c r="MAA16" s="2"/>
      <c r="MAB16" s="2"/>
      <c r="MAC16" s="2"/>
      <c r="MAD16" s="2"/>
      <c r="MAE16" s="2"/>
      <c r="MAF16" s="2"/>
      <c r="MAG16" s="2"/>
      <c r="MAH16" s="2"/>
      <c r="MAI16" s="2"/>
      <c r="MAJ16" s="2"/>
      <c r="MAK16" s="2"/>
      <c r="MAL16" s="2"/>
      <c r="MAM16" s="2"/>
      <c r="MAN16" s="2"/>
      <c r="MAO16" s="2"/>
      <c r="MAP16" s="2"/>
      <c r="MAQ16" s="2"/>
      <c r="MAR16" s="2"/>
      <c r="MAS16" s="2"/>
      <c r="MAT16" s="2"/>
      <c r="MAU16" s="2"/>
      <c r="MAV16" s="2"/>
      <c r="MAW16" s="2"/>
      <c r="MAX16" s="2"/>
      <c r="MAY16" s="2"/>
      <c r="MAZ16" s="2"/>
      <c r="MBA16" s="2"/>
      <c r="MBB16" s="2"/>
      <c r="MBC16" s="2"/>
      <c r="MBD16" s="2"/>
      <c r="MBE16" s="2"/>
      <c r="MBF16" s="2"/>
      <c r="MBG16" s="2"/>
      <c r="MBH16" s="2"/>
      <c r="MBI16" s="2"/>
      <c r="MBJ16" s="2"/>
      <c r="MBK16" s="2"/>
      <c r="MBL16" s="2"/>
      <c r="MBM16" s="2"/>
      <c r="MBN16" s="2"/>
      <c r="MBO16" s="2"/>
      <c r="MBP16" s="2"/>
      <c r="MBQ16" s="2"/>
      <c r="MBR16" s="2"/>
      <c r="MBS16" s="2"/>
      <c r="MBT16" s="2"/>
      <c r="MBU16" s="2"/>
      <c r="MBV16" s="2"/>
      <c r="MBW16" s="2"/>
      <c r="MBX16" s="2"/>
      <c r="MBY16" s="2"/>
      <c r="MBZ16" s="2"/>
      <c r="MCA16" s="2"/>
      <c r="MCB16" s="2"/>
      <c r="MCC16" s="2"/>
      <c r="MCD16" s="2"/>
      <c r="MCE16" s="2"/>
      <c r="MCF16" s="2"/>
      <c r="MCG16" s="2"/>
      <c r="MCH16" s="2"/>
      <c r="MCI16" s="2"/>
      <c r="MCJ16" s="2"/>
      <c r="MCK16" s="2"/>
      <c r="MCL16" s="2"/>
      <c r="MCM16" s="2"/>
      <c r="MCN16" s="2"/>
      <c r="MCO16" s="2"/>
      <c r="MCP16" s="2"/>
      <c r="MCQ16" s="2"/>
      <c r="MCR16" s="2"/>
      <c r="MCS16" s="2"/>
      <c r="MCT16" s="2"/>
      <c r="MCU16" s="2"/>
      <c r="MCV16" s="2"/>
      <c r="MCW16" s="2"/>
      <c r="MCX16" s="2"/>
      <c r="MCY16" s="2"/>
      <c r="MCZ16" s="2"/>
      <c r="MDA16" s="2"/>
      <c r="MDB16" s="2"/>
      <c r="MDC16" s="2"/>
      <c r="MDD16" s="2"/>
      <c r="MDE16" s="2"/>
      <c r="MDF16" s="2"/>
      <c r="MDG16" s="2"/>
      <c r="MDH16" s="2"/>
      <c r="MDI16" s="2"/>
      <c r="MDJ16" s="2"/>
      <c r="MDK16" s="2"/>
      <c r="MDL16" s="2"/>
      <c r="MDM16" s="2"/>
      <c r="MDN16" s="2"/>
      <c r="MDO16" s="2"/>
      <c r="MDP16" s="2"/>
      <c r="MDQ16" s="2"/>
      <c r="MDR16" s="2"/>
      <c r="MDS16" s="2"/>
      <c r="MDT16" s="2"/>
      <c r="MDU16" s="2"/>
      <c r="MDV16" s="2"/>
      <c r="MDW16" s="2"/>
      <c r="MDX16" s="2"/>
      <c r="MDY16" s="2"/>
      <c r="MDZ16" s="2"/>
      <c r="MEA16" s="2"/>
      <c r="MEB16" s="2"/>
      <c r="MEC16" s="2"/>
      <c r="MED16" s="2"/>
      <c r="MEE16" s="2"/>
      <c r="MEF16" s="2"/>
      <c r="MEG16" s="2"/>
      <c r="MEH16" s="2"/>
      <c r="MEI16" s="2"/>
      <c r="MEJ16" s="2"/>
      <c r="MEK16" s="2"/>
      <c r="MEL16" s="2"/>
      <c r="MEM16" s="2"/>
      <c r="MEN16" s="2"/>
      <c r="MEO16" s="2"/>
      <c r="MEP16" s="2"/>
      <c r="MEQ16" s="2"/>
      <c r="MER16" s="2"/>
      <c r="MES16" s="2"/>
      <c r="MET16" s="2"/>
      <c r="MEU16" s="2"/>
      <c r="MEV16" s="2"/>
      <c r="MEW16" s="2"/>
      <c r="MEX16" s="2"/>
      <c r="MEY16" s="2"/>
      <c r="MEZ16" s="2"/>
      <c r="MFA16" s="2"/>
      <c r="MFB16" s="2"/>
      <c r="MFC16" s="2"/>
      <c r="MFD16" s="2"/>
      <c r="MFE16" s="2"/>
      <c r="MFF16" s="2"/>
      <c r="MFG16" s="2"/>
      <c r="MFH16" s="2"/>
      <c r="MFI16" s="2"/>
      <c r="MFJ16" s="2"/>
      <c r="MFK16" s="2"/>
      <c r="MFL16" s="2"/>
      <c r="MFM16" s="2"/>
      <c r="MFN16" s="2"/>
      <c r="MFO16" s="2"/>
      <c r="MFP16" s="2"/>
      <c r="MFQ16" s="2"/>
      <c r="MFR16" s="2"/>
      <c r="MFS16" s="2"/>
      <c r="MFT16" s="2"/>
      <c r="MFU16" s="2"/>
      <c r="MFV16" s="2"/>
      <c r="MFW16" s="2"/>
      <c r="MFX16" s="2"/>
      <c r="MFY16" s="2"/>
      <c r="MFZ16" s="2"/>
      <c r="MGA16" s="2"/>
      <c r="MGB16" s="2"/>
      <c r="MGC16" s="2"/>
      <c r="MGD16" s="2"/>
      <c r="MGE16" s="2"/>
      <c r="MGF16" s="2"/>
      <c r="MGG16" s="2"/>
      <c r="MGH16" s="2"/>
      <c r="MGI16" s="2"/>
      <c r="MGJ16" s="2"/>
      <c r="MGK16" s="2"/>
      <c r="MGL16" s="2"/>
      <c r="MGM16" s="2"/>
      <c r="MGN16" s="2"/>
      <c r="MGO16" s="2"/>
      <c r="MGP16" s="2"/>
      <c r="MGQ16" s="2"/>
      <c r="MGR16" s="2"/>
      <c r="MGS16" s="2"/>
      <c r="MGT16" s="2"/>
      <c r="MGU16" s="2"/>
      <c r="MGV16" s="2"/>
      <c r="MGW16" s="2"/>
      <c r="MGX16" s="2"/>
      <c r="MGY16" s="2"/>
      <c r="MGZ16" s="2"/>
      <c r="MHA16" s="2"/>
      <c r="MHB16" s="2"/>
      <c r="MHC16" s="2"/>
      <c r="MHD16" s="2"/>
      <c r="MHE16" s="2"/>
      <c r="MHF16" s="2"/>
      <c r="MHG16" s="2"/>
      <c r="MHH16" s="2"/>
      <c r="MHI16" s="2"/>
      <c r="MHJ16" s="2"/>
      <c r="MHK16" s="2"/>
      <c r="MHL16" s="2"/>
      <c r="MHM16" s="2"/>
      <c r="MHN16" s="2"/>
      <c r="MHO16" s="2"/>
      <c r="MHP16" s="2"/>
      <c r="MHQ16" s="2"/>
      <c r="MHR16" s="2"/>
      <c r="MHS16" s="2"/>
      <c r="MHT16" s="2"/>
      <c r="MHU16" s="2"/>
      <c r="MHV16" s="2"/>
      <c r="MHW16" s="2"/>
      <c r="MHX16" s="2"/>
      <c r="MHY16" s="2"/>
      <c r="MHZ16" s="2"/>
      <c r="MIA16" s="2"/>
      <c r="MIB16" s="2"/>
      <c r="MIC16" s="2"/>
      <c r="MID16" s="2"/>
      <c r="MIE16" s="2"/>
      <c r="MIF16" s="2"/>
      <c r="MIG16" s="2"/>
      <c r="MIH16" s="2"/>
      <c r="MII16" s="2"/>
      <c r="MIJ16" s="2"/>
      <c r="MIK16" s="2"/>
      <c r="MIL16" s="2"/>
      <c r="MIM16" s="2"/>
      <c r="MIN16" s="2"/>
      <c r="MIO16" s="2"/>
      <c r="MIP16" s="2"/>
      <c r="MIQ16" s="2"/>
      <c r="MIR16" s="2"/>
      <c r="MIS16" s="2"/>
      <c r="MIT16" s="2"/>
      <c r="MIU16" s="2"/>
      <c r="MIV16" s="2"/>
      <c r="MIW16" s="2"/>
      <c r="MIX16" s="2"/>
      <c r="MIY16" s="2"/>
      <c r="MIZ16" s="2"/>
      <c r="MJA16" s="2"/>
      <c r="MJB16" s="2"/>
      <c r="MJC16" s="2"/>
      <c r="MJD16" s="2"/>
      <c r="MJE16" s="2"/>
      <c r="MJF16" s="2"/>
      <c r="MJG16" s="2"/>
      <c r="MJH16" s="2"/>
      <c r="MJI16" s="2"/>
      <c r="MJJ16" s="2"/>
      <c r="MJK16" s="2"/>
      <c r="MJL16" s="2"/>
      <c r="MJM16" s="2"/>
      <c r="MJN16" s="2"/>
      <c r="MJO16" s="2"/>
      <c r="MJP16" s="2"/>
      <c r="MJQ16" s="2"/>
      <c r="MJR16" s="2"/>
      <c r="MJS16" s="2"/>
      <c r="MJT16" s="2"/>
      <c r="MJU16" s="2"/>
      <c r="MJV16" s="2"/>
      <c r="MJW16" s="2"/>
      <c r="MJX16" s="2"/>
      <c r="MJY16" s="2"/>
      <c r="MJZ16" s="2"/>
      <c r="MKA16" s="2"/>
      <c r="MKB16" s="2"/>
      <c r="MKC16" s="2"/>
      <c r="MKD16" s="2"/>
      <c r="MKE16" s="2"/>
      <c r="MKF16" s="2"/>
      <c r="MKG16" s="2"/>
      <c r="MKH16" s="2"/>
      <c r="MKI16" s="2"/>
      <c r="MKJ16" s="2"/>
      <c r="MKK16" s="2"/>
      <c r="MKL16" s="2"/>
      <c r="MKM16" s="2"/>
      <c r="MKN16" s="2"/>
      <c r="MKO16" s="2"/>
      <c r="MKP16" s="2"/>
      <c r="MKQ16" s="2"/>
      <c r="MKR16" s="2"/>
      <c r="MKS16" s="2"/>
      <c r="MKT16" s="2"/>
      <c r="MKU16" s="2"/>
      <c r="MKV16" s="2"/>
      <c r="MKW16" s="2"/>
      <c r="MKX16" s="2"/>
      <c r="MKY16" s="2"/>
      <c r="MKZ16" s="2"/>
      <c r="MLA16" s="2"/>
      <c r="MLB16" s="2"/>
      <c r="MLC16" s="2"/>
      <c r="MLD16" s="2"/>
      <c r="MLE16" s="2"/>
      <c r="MLF16" s="2"/>
      <c r="MLG16" s="2"/>
      <c r="MLH16" s="2"/>
      <c r="MLI16" s="2"/>
      <c r="MLJ16" s="2"/>
      <c r="MLK16" s="2"/>
      <c r="MLL16" s="2"/>
      <c r="MLM16" s="2"/>
      <c r="MLN16" s="2"/>
      <c r="MLO16" s="2"/>
      <c r="MLP16" s="2"/>
      <c r="MLQ16" s="2"/>
      <c r="MLR16" s="2"/>
      <c r="MLS16" s="2"/>
      <c r="MLT16" s="2"/>
      <c r="MLU16" s="2"/>
      <c r="MLV16" s="2"/>
      <c r="MLW16" s="2"/>
      <c r="MLX16" s="2"/>
      <c r="MLY16" s="2"/>
      <c r="MLZ16" s="2"/>
      <c r="MMA16" s="2"/>
      <c r="MMB16" s="2"/>
      <c r="MMC16" s="2"/>
      <c r="MMD16" s="2"/>
      <c r="MME16" s="2"/>
      <c r="MMF16" s="2"/>
      <c r="MMG16" s="2"/>
      <c r="MMH16" s="2"/>
      <c r="MMI16" s="2"/>
      <c r="MMJ16" s="2"/>
      <c r="MMK16" s="2"/>
      <c r="MML16" s="2"/>
      <c r="MMM16" s="2"/>
      <c r="MMN16" s="2"/>
      <c r="MMO16" s="2"/>
      <c r="MMP16" s="2"/>
      <c r="MMQ16" s="2"/>
      <c r="MMR16" s="2"/>
      <c r="MMS16" s="2"/>
      <c r="MMT16" s="2"/>
      <c r="MMU16" s="2"/>
      <c r="MMV16" s="2"/>
      <c r="MMW16" s="2"/>
      <c r="MMX16" s="2"/>
      <c r="MMY16" s="2"/>
      <c r="MMZ16" s="2"/>
      <c r="MNA16" s="2"/>
      <c r="MNB16" s="2"/>
      <c r="MNC16" s="2"/>
      <c r="MND16" s="2"/>
      <c r="MNE16" s="2"/>
      <c r="MNF16" s="2"/>
      <c r="MNG16" s="2"/>
      <c r="MNH16" s="2"/>
      <c r="MNI16" s="2"/>
      <c r="MNJ16" s="2"/>
      <c r="MNK16" s="2"/>
      <c r="MNL16" s="2"/>
      <c r="MNM16" s="2"/>
      <c r="MNN16" s="2"/>
      <c r="MNO16" s="2"/>
      <c r="MNP16" s="2"/>
      <c r="MNQ16" s="2"/>
      <c r="MNR16" s="2"/>
      <c r="MNS16" s="2"/>
      <c r="MNT16" s="2"/>
      <c r="MNU16" s="2"/>
      <c r="MNV16" s="2"/>
      <c r="MNW16" s="2"/>
      <c r="MNX16" s="2"/>
      <c r="MNY16" s="2"/>
      <c r="MNZ16" s="2"/>
      <c r="MOA16" s="2"/>
      <c r="MOB16" s="2"/>
      <c r="MOC16" s="2"/>
      <c r="MOD16" s="2"/>
      <c r="MOE16" s="2"/>
      <c r="MOF16" s="2"/>
      <c r="MOG16" s="2"/>
      <c r="MOH16" s="2"/>
      <c r="MOI16" s="2"/>
      <c r="MOJ16" s="2"/>
      <c r="MOK16" s="2"/>
      <c r="MOL16" s="2"/>
      <c r="MOM16" s="2"/>
      <c r="MON16" s="2"/>
      <c r="MOO16" s="2"/>
      <c r="MOP16" s="2"/>
      <c r="MOQ16" s="2"/>
      <c r="MOR16" s="2"/>
      <c r="MOS16" s="2"/>
      <c r="MOT16" s="2"/>
      <c r="MOU16" s="2"/>
      <c r="MOV16" s="2"/>
      <c r="MOW16" s="2"/>
      <c r="MOX16" s="2"/>
      <c r="MOY16" s="2"/>
      <c r="MOZ16" s="2"/>
      <c r="MPA16" s="2"/>
      <c r="MPB16" s="2"/>
      <c r="MPC16" s="2"/>
      <c r="MPD16" s="2"/>
      <c r="MPE16" s="2"/>
      <c r="MPF16" s="2"/>
      <c r="MPG16" s="2"/>
      <c r="MPH16" s="2"/>
      <c r="MPI16" s="2"/>
      <c r="MPJ16" s="2"/>
      <c r="MPK16" s="2"/>
      <c r="MPL16" s="2"/>
      <c r="MPM16" s="2"/>
      <c r="MPN16" s="2"/>
      <c r="MPO16" s="2"/>
      <c r="MPP16" s="2"/>
      <c r="MPQ16" s="2"/>
      <c r="MPR16" s="2"/>
      <c r="MPS16" s="2"/>
      <c r="MPT16" s="2"/>
      <c r="MPU16" s="2"/>
      <c r="MPV16" s="2"/>
      <c r="MPW16" s="2"/>
      <c r="MPX16" s="2"/>
      <c r="MPY16" s="2"/>
      <c r="MPZ16" s="2"/>
      <c r="MQA16" s="2"/>
      <c r="MQB16" s="2"/>
      <c r="MQC16" s="2"/>
      <c r="MQD16" s="2"/>
      <c r="MQE16" s="2"/>
      <c r="MQF16" s="2"/>
      <c r="MQG16" s="2"/>
      <c r="MQH16" s="2"/>
      <c r="MQI16" s="2"/>
      <c r="MQJ16" s="2"/>
      <c r="MQK16" s="2"/>
      <c r="MQL16" s="2"/>
      <c r="MQM16" s="2"/>
      <c r="MQN16" s="2"/>
      <c r="MQO16" s="2"/>
      <c r="MQP16" s="2"/>
      <c r="MQQ16" s="2"/>
      <c r="MQR16" s="2"/>
      <c r="MQS16" s="2"/>
      <c r="MQT16" s="2"/>
      <c r="MQU16" s="2"/>
      <c r="MQV16" s="2"/>
      <c r="MQW16" s="2"/>
      <c r="MQX16" s="2"/>
      <c r="MQY16" s="2"/>
      <c r="MQZ16" s="2"/>
      <c r="MRA16" s="2"/>
      <c r="MRB16" s="2"/>
      <c r="MRC16" s="2"/>
      <c r="MRD16" s="2"/>
      <c r="MRE16" s="2"/>
      <c r="MRF16" s="2"/>
      <c r="MRG16" s="2"/>
      <c r="MRH16" s="2"/>
      <c r="MRI16" s="2"/>
      <c r="MRJ16" s="2"/>
      <c r="MRK16" s="2"/>
      <c r="MRL16" s="2"/>
      <c r="MRM16" s="2"/>
      <c r="MRN16" s="2"/>
      <c r="MRO16" s="2"/>
      <c r="MRP16" s="2"/>
      <c r="MRQ16" s="2"/>
      <c r="MRR16" s="2"/>
      <c r="MRS16" s="2"/>
      <c r="MRT16" s="2"/>
      <c r="MRU16" s="2"/>
      <c r="MRV16" s="2"/>
      <c r="MRW16" s="2"/>
      <c r="MRX16" s="2"/>
      <c r="MRY16" s="2"/>
      <c r="MRZ16" s="2"/>
      <c r="MSA16" s="2"/>
      <c r="MSB16" s="2"/>
      <c r="MSC16" s="2"/>
      <c r="MSD16" s="2"/>
      <c r="MSE16" s="2"/>
      <c r="MSF16" s="2"/>
      <c r="MSG16" s="2"/>
      <c r="MSH16" s="2"/>
      <c r="MSI16" s="2"/>
      <c r="MSJ16" s="2"/>
      <c r="MSK16" s="2"/>
      <c r="MSL16" s="2"/>
      <c r="MSM16" s="2"/>
      <c r="MSN16" s="2"/>
      <c r="MSO16" s="2"/>
      <c r="MSP16" s="2"/>
      <c r="MSQ16" s="2"/>
      <c r="MSR16" s="2"/>
      <c r="MSS16" s="2"/>
      <c r="MST16" s="2"/>
      <c r="MSU16" s="2"/>
      <c r="MSV16" s="2"/>
      <c r="MSW16" s="2"/>
      <c r="MSX16" s="2"/>
      <c r="MSY16" s="2"/>
      <c r="MSZ16" s="2"/>
      <c r="MTA16" s="2"/>
      <c r="MTB16" s="2"/>
      <c r="MTC16" s="2"/>
      <c r="MTD16" s="2"/>
      <c r="MTE16" s="2"/>
      <c r="MTF16" s="2"/>
      <c r="MTG16" s="2"/>
      <c r="MTH16" s="2"/>
      <c r="MTI16" s="2"/>
      <c r="MTJ16" s="2"/>
      <c r="MTK16" s="2"/>
      <c r="MTL16" s="2"/>
      <c r="MTM16" s="2"/>
      <c r="MTN16" s="2"/>
      <c r="MTO16" s="2"/>
      <c r="MTP16" s="2"/>
      <c r="MTQ16" s="2"/>
      <c r="MTR16" s="2"/>
      <c r="MTS16" s="2"/>
      <c r="MTT16" s="2"/>
      <c r="MTU16" s="2"/>
      <c r="MTV16" s="2"/>
      <c r="MTW16" s="2"/>
      <c r="MTX16" s="2"/>
      <c r="MTY16" s="2"/>
      <c r="MTZ16" s="2"/>
      <c r="MUA16" s="2"/>
      <c r="MUB16" s="2"/>
      <c r="MUC16" s="2"/>
      <c r="MUD16" s="2"/>
      <c r="MUE16" s="2"/>
      <c r="MUF16" s="2"/>
      <c r="MUG16" s="2"/>
      <c r="MUH16" s="2"/>
      <c r="MUI16" s="2"/>
      <c r="MUJ16" s="2"/>
      <c r="MUK16" s="2"/>
      <c r="MUL16" s="2"/>
      <c r="MUM16" s="2"/>
      <c r="MUN16" s="2"/>
      <c r="MUO16" s="2"/>
      <c r="MUP16" s="2"/>
      <c r="MUQ16" s="2"/>
      <c r="MUR16" s="2"/>
      <c r="MUS16" s="2"/>
      <c r="MUT16" s="2"/>
      <c r="MUU16" s="2"/>
      <c r="MUV16" s="2"/>
      <c r="MUW16" s="2"/>
      <c r="MUX16" s="2"/>
      <c r="MUY16" s="2"/>
      <c r="MUZ16" s="2"/>
      <c r="MVA16" s="2"/>
      <c r="MVB16" s="2"/>
      <c r="MVC16" s="2"/>
      <c r="MVD16" s="2"/>
      <c r="MVE16" s="2"/>
      <c r="MVF16" s="2"/>
      <c r="MVG16" s="2"/>
      <c r="MVH16" s="2"/>
      <c r="MVI16" s="2"/>
      <c r="MVJ16" s="2"/>
      <c r="MVK16" s="2"/>
      <c r="MVL16" s="2"/>
      <c r="MVM16" s="2"/>
      <c r="MVN16" s="2"/>
      <c r="MVO16" s="2"/>
      <c r="MVP16" s="2"/>
      <c r="MVQ16" s="2"/>
      <c r="MVR16" s="2"/>
      <c r="MVS16" s="2"/>
      <c r="MVT16" s="2"/>
      <c r="MVU16" s="2"/>
      <c r="MVV16" s="2"/>
      <c r="MVW16" s="2"/>
      <c r="MVX16" s="2"/>
      <c r="MVY16" s="2"/>
      <c r="MVZ16" s="2"/>
      <c r="MWA16" s="2"/>
      <c r="MWB16" s="2"/>
      <c r="MWC16" s="2"/>
      <c r="MWD16" s="2"/>
      <c r="MWE16" s="2"/>
      <c r="MWF16" s="2"/>
      <c r="MWG16" s="2"/>
      <c r="MWH16" s="2"/>
      <c r="MWI16" s="2"/>
      <c r="MWJ16" s="2"/>
      <c r="MWK16" s="2"/>
      <c r="MWL16" s="2"/>
      <c r="MWM16" s="2"/>
      <c r="MWN16" s="2"/>
      <c r="MWO16" s="2"/>
      <c r="MWP16" s="2"/>
      <c r="MWQ16" s="2"/>
      <c r="MWR16" s="2"/>
      <c r="MWS16" s="2"/>
      <c r="MWT16" s="2"/>
      <c r="MWU16" s="2"/>
      <c r="MWV16" s="2"/>
      <c r="MWW16" s="2"/>
      <c r="MWX16" s="2"/>
      <c r="MWY16" s="2"/>
      <c r="MWZ16" s="2"/>
      <c r="MXA16" s="2"/>
      <c r="MXB16" s="2"/>
      <c r="MXC16" s="2"/>
      <c r="MXD16" s="2"/>
      <c r="MXE16" s="2"/>
      <c r="MXF16" s="2"/>
      <c r="MXG16" s="2"/>
      <c r="MXH16" s="2"/>
      <c r="MXI16" s="2"/>
      <c r="MXJ16" s="2"/>
      <c r="MXK16" s="2"/>
      <c r="MXL16" s="2"/>
      <c r="MXM16" s="2"/>
      <c r="MXN16" s="2"/>
      <c r="MXO16" s="2"/>
      <c r="MXP16" s="2"/>
      <c r="MXQ16" s="2"/>
      <c r="MXR16" s="2"/>
      <c r="MXS16" s="2"/>
      <c r="MXT16" s="2"/>
      <c r="MXU16" s="2"/>
      <c r="MXV16" s="2"/>
      <c r="MXW16" s="2"/>
      <c r="MXX16" s="2"/>
      <c r="MXY16" s="2"/>
      <c r="MXZ16" s="2"/>
      <c r="MYA16" s="2"/>
      <c r="MYB16" s="2"/>
      <c r="MYC16" s="2"/>
      <c r="MYD16" s="2"/>
      <c r="MYE16" s="2"/>
      <c r="MYF16" s="2"/>
      <c r="MYG16" s="2"/>
      <c r="MYH16" s="2"/>
      <c r="MYI16" s="2"/>
      <c r="MYJ16" s="2"/>
      <c r="MYK16" s="2"/>
      <c r="MYL16" s="2"/>
      <c r="MYM16" s="2"/>
      <c r="MYN16" s="2"/>
      <c r="MYO16" s="2"/>
      <c r="MYP16" s="2"/>
      <c r="MYQ16" s="2"/>
      <c r="MYR16" s="2"/>
      <c r="MYS16" s="2"/>
      <c r="MYT16" s="2"/>
      <c r="MYU16" s="2"/>
      <c r="MYV16" s="2"/>
      <c r="MYW16" s="2"/>
      <c r="MYX16" s="2"/>
      <c r="MYY16" s="2"/>
      <c r="MYZ16" s="2"/>
      <c r="MZA16" s="2"/>
      <c r="MZB16" s="2"/>
      <c r="MZC16" s="2"/>
      <c r="MZD16" s="2"/>
      <c r="MZE16" s="2"/>
      <c r="MZF16" s="2"/>
      <c r="MZG16" s="2"/>
      <c r="MZH16" s="2"/>
      <c r="MZI16" s="2"/>
      <c r="MZJ16" s="2"/>
      <c r="MZK16" s="2"/>
      <c r="MZL16" s="2"/>
      <c r="MZM16" s="2"/>
      <c r="MZN16" s="2"/>
      <c r="MZO16" s="2"/>
      <c r="MZP16" s="2"/>
      <c r="MZQ16" s="2"/>
      <c r="MZR16" s="2"/>
      <c r="MZS16" s="2"/>
      <c r="MZT16" s="2"/>
      <c r="MZU16" s="2"/>
      <c r="MZV16" s="2"/>
      <c r="MZW16" s="2"/>
      <c r="MZX16" s="2"/>
      <c r="MZY16" s="2"/>
      <c r="MZZ16" s="2"/>
      <c r="NAA16" s="2"/>
      <c r="NAB16" s="2"/>
      <c r="NAC16" s="2"/>
      <c r="NAD16" s="2"/>
      <c r="NAE16" s="2"/>
      <c r="NAF16" s="2"/>
      <c r="NAG16" s="2"/>
      <c r="NAH16" s="2"/>
      <c r="NAI16" s="2"/>
      <c r="NAJ16" s="2"/>
      <c r="NAK16" s="2"/>
      <c r="NAL16" s="2"/>
      <c r="NAM16" s="2"/>
      <c r="NAN16" s="2"/>
      <c r="NAO16" s="2"/>
      <c r="NAP16" s="2"/>
      <c r="NAQ16" s="2"/>
      <c r="NAR16" s="2"/>
      <c r="NAS16" s="2"/>
      <c r="NAT16" s="2"/>
      <c r="NAU16" s="2"/>
      <c r="NAV16" s="2"/>
      <c r="NAW16" s="2"/>
      <c r="NAX16" s="2"/>
      <c r="NAY16" s="2"/>
      <c r="NAZ16" s="2"/>
      <c r="NBA16" s="2"/>
      <c r="NBB16" s="2"/>
      <c r="NBC16" s="2"/>
      <c r="NBD16" s="2"/>
      <c r="NBE16" s="2"/>
      <c r="NBF16" s="2"/>
      <c r="NBG16" s="2"/>
      <c r="NBH16" s="2"/>
      <c r="NBI16" s="2"/>
      <c r="NBJ16" s="2"/>
      <c r="NBK16" s="2"/>
      <c r="NBL16" s="2"/>
      <c r="NBM16" s="2"/>
      <c r="NBN16" s="2"/>
      <c r="NBO16" s="2"/>
      <c r="NBP16" s="2"/>
      <c r="NBQ16" s="2"/>
      <c r="NBR16" s="2"/>
      <c r="NBS16" s="2"/>
      <c r="NBT16" s="2"/>
      <c r="NBU16" s="2"/>
      <c r="NBV16" s="2"/>
      <c r="NBW16" s="2"/>
      <c r="NBX16" s="2"/>
      <c r="NBY16" s="2"/>
      <c r="NBZ16" s="2"/>
      <c r="NCA16" s="2"/>
      <c r="NCB16" s="2"/>
      <c r="NCC16" s="2"/>
      <c r="NCD16" s="2"/>
      <c r="NCE16" s="2"/>
      <c r="NCF16" s="2"/>
      <c r="NCG16" s="2"/>
      <c r="NCH16" s="2"/>
      <c r="NCI16" s="2"/>
      <c r="NCJ16" s="2"/>
      <c r="NCK16" s="2"/>
      <c r="NCL16" s="2"/>
      <c r="NCM16" s="2"/>
      <c r="NCN16" s="2"/>
      <c r="NCO16" s="2"/>
      <c r="NCP16" s="2"/>
      <c r="NCQ16" s="2"/>
      <c r="NCR16" s="2"/>
      <c r="NCS16" s="2"/>
      <c r="NCT16" s="2"/>
      <c r="NCU16" s="2"/>
      <c r="NCV16" s="2"/>
      <c r="NCW16" s="2"/>
      <c r="NCX16" s="2"/>
      <c r="NCY16" s="2"/>
      <c r="NCZ16" s="2"/>
      <c r="NDA16" s="2"/>
      <c r="NDB16" s="2"/>
      <c r="NDC16" s="2"/>
      <c r="NDD16" s="2"/>
      <c r="NDE16" s="2"/>
      <c r="NDF16" s="2"/>
      <c r="NDG16" s="2"/>
      <c r="NDH16" s="2"/>
      <c r="NDI16" s="2"/>
      <c r="NDJ16" s="2"/>
      <c r="NDK16" s="2"/>
      <c r="NDL16" s="2"/>
      <c r="NDM16" s="2"/>
      <c r="NDN16" s="2"/>
      <c r="NDO16" s="2"/>
      <c r="NDP16" s="2"/>
      <c r="NDQ16" s="2"/>
      <c r="NDR16" s="2"/>
      <c r="NDS16" s="2"/>
      <c r="NDT16" s="2"/>
      <c r="NDU16" s="2"/>
      <c r="NDV16" s="2"/>
      <c r="NDW16" s="2"/>
      <c r="NDX16" s="2"/>
      <c r="NDY16" s="2"/>
      <c r="NDZ16" s="2"/>
      <c r="NEA16" s="2"/>
      <c r="NEB16" s="2"/>
      <c r="NEC16" s="2"/>
      <c r="NED16" s="2"/>
      <c r="NEE16" s="2"/>
      <c r="NEF16" s="2"/>
      <c r="NEG16" s="2"/>
      <c r="NEH16" s="2"/>
      <c r="NEI16" s="2"/>
      <c r="NEJ16" s="2"/>
      <c r="NEK16" s="2"/>
      <c r="NEL16" s="2"/>
      <c r="NEM16" s="2"/>
      <c r="NEN16" s="2"/>
      <c r="NEO16" s="2"/>
      <c r="NEP16" s="2"/>
      <c r="NEQ16" s="2"/>
      <c r="NER16" s="2"/>
      <c r="NES16" s="2"/>
      <c r="NET16" s="2"/>
      <c r="NEU16" s="2"/>
      <c r="NEV16" s="2"/>
      <c r="NEW16" s="2"/>
      <c r="NEX16" s="2"/>
      <c r="NEY16" s="2"/>
      <c r="NEZ16" s="2"/>
      <c r="NFA16" s="2"/>
      <c r="NFB16" s="2"/>
      <c r="NFC16" s="2"/>
      <c r="NFD16" s="2"/>
      <c r="NFE16" s="2"/>
      <c r="NFF16" s="2"/>
      <c r="NFG16" s="2"/>
      <c r="NFH16" s="2"/>
      <c r="NFI16" s="2"/>
      <c r="NFJ16" s="2"/>
      <c r="NFK16" s="2"/>
      <c r="NFL16" s="2"/>
      <c r="NFM16" s="2"/>
      <c r="NFN16" s="2"/>
      <c r="NFO16" s="2"/>
      <c r="NFP16" s="2"/>
      <c r="NFQ16" s="2"/>
      <c r="NFR16" s="2"/>
      <c r="NFS16" s="2"/>
      <c r="NFT16" s="2"/>
      <c r="NFU16" s="2"/>
      <c r="NFV16" s="2"/>
      <c r="NFW16" s="2"/>
      <c r="NFX16" s="2"/>
      <c r="NFY16" s="2"/>
      <c r="NFZ16" s="2"/>
      <c r="NGA16" s="2"/>
      <c r="NGB16" s="2"/>
      <c r="NGC16" s="2"/>
      <c r="NGD16" s="2"/>
      <c r="NGE16" s="2"/>
      <c r="NGF16" s="2"/>
      <c r="NGG16" s="2"/>
      <c r="NGH16" s="2"/>
      <c r="NGI16" s="2"/>
      <c r="NGJ16" s="2"/>
      <c r="NGK16" s="2"/>
      <c r="NGL16" s="2"/>
      <c r="NGM16" s="2"/>
      <c r="NGN16" s="2"/>
      <c r="NGO16" s="2"/>
      <c r="NGP16" s="2"/>
      <c r="NGQ16" s="2"/>
      <c r="NGR16" s="2"/>
      <c r="NGS16" s="2"/>
      <c r="NGT16" s="2"/>
      <c r="NGU16" s="2"/>
      <c r="NGV16" s="2"/>
      <c r="NGW16" s="2"/>
      <c r="NGX16" s="2"/>
      <c r="NGY16" s="2"/>
      <c r="NGZ16" s="2"/>
      <c r="NHA16" s="2"/>
      <c r="NHB16" s="2"/>
      <c r="NHC16" s="2"/>
      <c r="NHD16" s="2"/>
      <c r="NHE16" s="2"/>
      <c r="NHF16" s="2"/>
      <c r="NHG16" s="2"/>
      <c r="NHH16" s="2"/>
      <c r="NHI16" s="2"/>
      <c r="NHJ16" s="2"/>
      <c r="NHK16" s="2"/>
      <c r="NHL16" s="2"/>
      <c r="NHM16" s="2"/>
      <c r="NHN16" s="2"/>
      <c r="NHO16" s="2"/>
      <c r="NHP16" s="2"/>
      <c r="NHQ16" s="2"/>
      <c r="NHR16" s="2"/>
      <c r="NHS16" s="2"/>
      <c r="NHT16" s="2"/>
      <c r="NHU16" s="2"/>
      <c r="NHV16" s="2"/>
      <c r="NHW16" s="2"/>
      <c r="NHX16" s="2"/>
      <c r="NHY16" s="2"/>
      <c r="NHZ16" s="2"/>
      <c r="NIA16" s="2"/>
      <c r="NIB16" s="2"/>
      <c r="NIC16" s="2"/>
      <c r="NID16" s="2"/>
      <c r="NIE16" s="2"/>
      <c r="NIF16" s="2"/>
      <c r="NIG16" s="2"/>
      <c r="NIH16" s="2"/>
      <c r="NII16" s="2"/>
      <c r="NIJ16" s="2"/>
      <c r="NIK16" s="2"/>
      <c r="NIL16" s="2"/>
      <c r="NIM16" s="2"/>
      <c r="NIN16" s="2"/>
      <c r="NIO16" s="2"/>
      <c r="NIP16" s="2"/>
      <c r="NIQ16" s="2"/>
      <c r="NIR16" s="2"/>
      <c r="NIS16" s="2"/>
      <c r="NIT16" s="2"/>
      <c r="NIU16" s="2"/>
      <c r="NIV16" s="2"/>
      <c r="NIW16" s="2"/>
      <c r="NIX16" s="2"/>
      <c r="NIY16" s="2"/>
      <c r="NIZ16" s="2"/>
      <c r="NJA16" s="2"/>
      <c r="NJB16" s="2"/>
      <c r="NJC16" s="2"/>
      <c r="NJD16" s="2"/>
      <c r="NJE16" s="2"/>
      <c r="NJF16" s="2"/>
      <c r="NJG16" s="2"/>
      <c r="NJH16" s="2"/>
      <c r="NJI16" s="2"/>
      <c r="NJJ16" s="2"/>
      <c r="NJK16" s="2"/>
      <c r="NJL16" s="2"/>
      <c r="NJM16" s="2"/>
      <c r="NJN16" s="2"/>
      <c r="NJO16" s="2"/>
      <c r="NJP16" s="2"/>
      <c r="NJQ16" s="2"/>
      <c r="NJR16" s="2"/>
      <c r="NJS16" s="2"/>
      <c r="NJT16" s="2"/>
      <c r="NJU16" s="2"/>
      <c r="NJV16" s="2"/>
      <c r="NJW16" s="2"/>
      <c r="NJX16" s="2"/>
      <c r="NJY16" s="2"/>
      <c r="NJZ16" s="2"/>
      <c r="NKA16" s="2"/>
      <c r="NKB16" s="2"/>
      <c r="NKC16" s="2"/>
      <c r="NKD16" s="2"/>
      <c r="NKE16" s="2"/>
      <c r="NKF16" s="2"/>
      <c r="NKG16" s="2"/>
      <c r="NKH16" s="2"/>
      <c r="NKI16" s="2"/>
      <c r="NKJ16" s="2"/>
      <c r="NKK16" s="2"/>
      <c r="NKL16" s="2"/>
      <c r="NKM16" s="2"/>
      <c r="NKN16" s="2"/>
      <c r="NKO16" s="2"/>
      <c r="NKP16" s="2"/>
      <c r="NKQ16" s="2"/>
      <c r="NKR16" s="2"/>
      <c r="NKS16" s="2"/>
      <c r="NKT16" s="2"/>
      <c r="NKU16" s="2"/>
      <c r="NKV16" s="2"/>
      <c r="NKW16" s="2"/>
      <c r="NKX16" s="2"/>
      <c r="NKY16" s="2"/>
      <c r="NKZ16" s="2"/>
      <c r="NLA16" s="2"/>
      <c r="NLB16" s="2"/>
      <c r="NLC16" s="2"/>
      <c r="NLD16" s="2"/>
      <c r="NLE16" s="2"/>
      <c r="NLF16" s="2"/>
      <c r="NLG16" s="2"/>
      <c r="NLH16" s="2"/>
      <c r="NLI16" s="2"/>
      <c r="NLJ16" s="2"/>
      <c r="NLK16" s="2"/>
      <c r="NLL16" s="2"/>
      <c r="NLM16" s="2"/>
      <c r="NLN16" s="2"/>
      <c r="NLO16" s="2"/>
      <c r="NLP16" s="2"/>
      <c r="NLQ16" s="2"/>
      <c r="NLR16" s="2"/>
      <c r="NLS16" s="2"/>
      <c r="NLT16" s="2"/>
      <c r="NLU16" s="2"/>
      <c r="NLV16" s="2"/>
      <c r="NLW16" s="2"/>
      <c r="NLX16" s="2"/>
      <c r="NLY16" s="2"/>
      <c r="NLZ16" s="2"/>
      <c r="NMA16" s="2"/>
      <c r="NMB16" s="2"/>
      <c r="NMC16" s="2"/>
      <c r="NMD16" s="2"/>
      <c r="NME16" s="2"/>
      <c r="NMF16" s="2"/>
      <c r="NMG16" s="2"/>
      <c r="NMH16" s="2"/>
      <c r="NMI16" s="2"/>
      <c r="NMJ16" s="2"/>
      <c r="NMK16" s="2"/>
      <c r="NML16" s="2"/>
      <c r="NMM16" s="2"/>
      <c r="NMN16" s="2"/>
      <c r="NMO16" s="2"/>
      <c r="NMP16" s="2"/>
      <c r="NMQ16" s="2"/>
      <c r="NMR16" s="2"/>
      <c r="NMS16" s="2"/>
      <c r="NMT16" s="2"/>
      <c r="NMU16" s="2"/>
      <c r="NMV16" s="2"/>
      <c r="NMW16" s="2"/>
      <c r="NMX16" s="2"/>
      <c r="NMY16" s="2"/>
      <c r="NMZ16" s="2"/>
      <c r="NNA16" s="2"/>
      <c r="NNB16" s="2"/>
      <c r="NNC16" s="2"/>
      <c r="NND16" s="2"/>
      <c r="NNE16" s="2"/>
      <c r="NNF16" s="2"/>
      <c r="NNG16" s="2"/>
      <c r="NNH16" s="2"/>
      <c r="NNI16" s="2"/>
      <c r="NNJ16" s="2"/>
      <c r="NNK16" s="2"/>
      <c r="NNL16" s="2"/>
      <c r="NNM16" s="2"/>
      <c r="NNN16" s="2"/>
      <c r="NNO16" s="2"/>
      <c r="NNP16" s="2"/>
      <c r="NNQ16" s="2"/>
      <c r="NNR16" s="2"/>
      <c r="NNS16" s="2"/>
      <c r="NNT16" s="2"/>
      <c r="NNU16" s="2"/>
      <c r="NNV16" s="2"/>
      <c r="NNW16" s="2"/>
      <c r="NNX16" s="2"/>
      <c r="NNY16" s="2"/>
      <c r="NNZ16" s="2"/>
      <c r="NOA16" s="2"/>
      <c r="NOB16" s="2"/>
      <c r="NOC16" s="2"/>
      <c r="NOD16" s="2"/>
      <c r="NOE16" s="2"/>
      <c r="NOF16" s="2"/>
      <c r="NOG16" s="2"/>
      <c r="NOH16" s="2"/>
      <c r="NOI16" s="2"/>
      <c r="NOJ16" s="2"/>
      <c r="NOK16" s="2"/>
      <c r="NOL16" s="2"/>
      <c r="NOM16" s="2"/>
      <c r="NON16" s="2"/>
      <c r="NOO16" s="2"/>
      <c r="NOP16" s="2"/>
      <c r="NOQ16" s="2"/>
      <c r="NOR16" s="2"/>
      <c r="NOS16" s="2"/>
      <c r="NOT16" s="2"/>
      <c r="NOU16" s="2"/>
      <c r="NOV16" s="2"/>
      <c r="NOW16" s="2"/>
      <c r="NOX16" s="2"/>
      <c r="NOY16" s="2"/>
      <c r="NOZ16" s="2"/>
      <c r="NPA16" s="2"/>
      <c r="NPB16" s="2"/>
      <c r="NPC16" s="2"/>
      <c r="NPD16" s="2"/>
      <c r="NPE16" s="2"/>
      <c r="NPF16" s="2"/>
      <c r="NPG16" s="2"/>
      <c r="NPH16" s="2"/>
      <c r="NPI16" s="2"/>
      <c r="NPJ16" s="2"/>
      <c r="NPK16" s="2"/>
      <c r="NPL16" s="2"/>
      <c r="NPM16" s="2"/>
      <c r="NPN16" s="2"/>
      <c r="NPO16" s="2"/>
      <c r="NPP16" s="2"/>
      <c r="NPQ16" s="2"/>
      <c r="NPR16" s="2"/>
      <c r="NPS16" s="2"/>
      <c r="NPT16" s="2"/>
      <c r="NPU16" s="2"/>
      <c r="NPV16" s="2"/>
      <c r="NPW16" s="2"/>
      <c r="NPX16" s="2"/>
      <c r="NPY16" s="2"/>
      <c r="NPZ16" s="2"/>
      <c r="NQA16" s="2"/>
      <c r="NQB16" s="2"/>
      <c r="NQC16" s="2"/>
      <c r="NQD16" s="2"/>
      <c r="NQE16" s="2"/>
      <c r="NQF16" s="2"/>
      <c r="NQG16" s="2"/>
      <c r="NQH16" s="2"/>
      <c r="NQI16" s="2"/>
      <c r="NQJ16" s="2"/>
      <c r="NQK16" s="2"/>
      <c r="NQL16" s="2"/>
      <c r="NQM16" s="2"/>
      <c r="NQN16" s="2"/>
      <c r="NQO16" s="2"/>
      <c r="NQP16" s="2"/>
      <c r="NQQ16" s="2"/>
      <c r="NQR16" s="2"/>
      <c r="NQS16" s="2"/>
      <c r="NQT16" s="2"/>
      <c r="NQU16" s="2"/>
      <c r="NQV16" s="2"/>
      <c r="NQW16" s="2"/>
      <c r="NQX16" s="2"/>
      <c r="NQY16" s="2"/>
      <c r="NQZ16" s="2"/>
      <c r="NRA16" s="2"/>
      <c r="NRB16" s="2"/>
      <c r="NRC16" s="2"/>
      <c r="NRD16" s="2"/>
      <c r="NRE16" s="2"/>
      <c r="NRF16" s="2"/>
      <c r="NRG16" s="2"/>
      <c r="NRH16" s="2"/>
      <c r="NRI16" s="2"/>
      <c r="NRJ16" s="2"/>
      <c r="NRK16" s="2"/>
      <c r="NRL16" s="2"/>
      <c r="NRM16" s="2"/>
      <c r="NRN16" s="2"/>
      <c r="NRO16" s="2"/>
      <c r="NRP16" s="2"/>
      <c r="NRQ16" s="2"/>
      <c r="NRR16" s="2"/>
      <c r="NRS16" s="2"/>
      <c r="NRT16" s="2"/>
      <c r="NRU16" s="2"/>
      <c r="NRV16" s="2"/>
      <c r="NRW16" s="2"/>
      <c r="NRX16" s="2"/>
      <c r="NRY16" s="2"/>
      <c r="NRZ16" s="2"/>
      <c r="NSA16" s="2"/>
      <c r="NSB16" s="2"/>
      <c r="NSC16" s="2"/>
      <c r="NSD16" s="2"/>
      <c r="NSE16" s="2"/>
      <c r="NSF16" s="2"/>
      <c r="NSG16" s="2"/>
      <c r="NSH16" s="2"/>
      <c r="NSI16" s="2"/>
      <c r="NSJ16" s="2"/>
      <c r="NSK16" s="2"/>
      <c r="NSL16" s="2"/>
      <c r="NSM16" s="2"/>
      <c r="NSN16" s="2"/>
      <c r="NSO16" s="2"/>
      <c r="NSP16" s="2"/>
      <c r="NSQ16" s="2"/>
      <c r="NSR16" s="2"/>
      <c r="NSS16" s="2"/>
      <c r="NST16" s="2"/>
      <c r="NSU16" s="2"/>
      <c r="NSV16" s="2"/>
      <c r="NSW16" s="2"/>
      <c r="NSX16" s="2"/>
      <c r="NSY16" s="2"/>
      <c r="NSZ16" s="2"/>
      <c r="NTA16" s="2"/>
      <c r="NTB16" s="2"/>
      <c r="NTC16" s="2"/>
      <c r="NTD16" s="2"/>
      <c r="NTE16" s="2"/>
      <c r="NTF16" s="2"/>
      <c r="NTG16" s="2"/>
      <c r="NTH16" s="2"/>
      <c r="NTI16" s="2"/>
      <c r="NTJ16" s="2"/>
      <c r="NTK16" s="2"/>
      <c r="NTL16" s="2"/>
      <c r="NTM16" s="2"/>
      <c r="NTN16" s="2"/>
      <c r="NTO16" s="2"/>
      <c r="NTP16" s="2"/>
      <c r="NTQ16" s="2"/>
      <c r="NTR16" s="2"/>
      <c r="NTS16" s="2"/>
      <c r="NTT16" s="2"/>
      <c r="NTU16" s="2"/>
      <c r="NTV16" s="2"/>
      <c r="NTW16" s="2"/>
      <c r="NTX16" s="2"/>
      <c r="NTY16" s="2"/>
      <c r="NTZ16" s="2"/>
      <c r="NUA16" s="2"/>
      <c r="NUB16" s="2"/>
      <c r="NUC16" s="2"/>
      <c r="NUD16" s="2"/>
      <c r="NUE16" s="2"/>
      <c r="NUF16" s="2"/>
      <c r="NUG16" s="2"/>
      <c r="NUH16" s="2"/>
      <c r="NUI16" s="2"/>
      <c r="NUJ16" s="2"/>
      <c r="NUK16" s="2"/>
      <c r="NUL16" s="2"/>
      <c r="NUM16" s="2"/>
      <c r="NUN16" s="2"/>
      <c r="NUO16" s="2"/>
      <c r="NUP16" s="2"/>
      <c r="NUQ16" s="2"/>
      <c r="NUR16" s="2"/>
      <c r="NUS16" s="2"/>
      <c r="NUT16" s="2"/>
      <c r="NUU16" s="2"/>
      <c r="NUV16" s="2"/>
      <c r="NUW16" s="2"/>
      <c r="NUX16" s="2"/>
      <c r="NUY16" s="2"/>
      <c r="NUZ16" s="2"/>
      <c r="NVA16" s="2"/>
      <c r="NVB16" s="2"/>
      <c r="NVC16" s="2"/>
      <c r="NVD16" s="2"/>
      <c r="NVE16" s="2"/>
      <c r="NVF16" s="2"/>
      <c r="NVG16" s="2"/>
      <c r="NVH16" s="2"/>
      <c r="NVI16" s="2"/>
      <c r="NVJ16" s="2"/>
      <c r="NVK16" s="2"/>
      <c r="NVL16" s="2"/>
      <c r="NVM16" s="2"/>
      <c r="NVN16" s="2"/>
      <c r="NVO16" s="2"/>
      <c r="NVP16" s="2"/>
      <c r="NVQ16" s="2"/>
      <c r="NVR16" s="2"/>
      <c r="NVS16" s="2"/>
      <c r="NVT16" s="2"/>
      <c r="NVU16" s="2"/>
      <c r="NVV16" s="2"/>
      <c r="NVW16" s="2"/>
      <c r="NVX16" s="2"/>
      <c r="NVY16" s="2"/>
      <c r="NVZ16" s="2"/>
      <c r="NWA16" s="2"/>
      <c r="NWB16" s="2"/>
      <c r="NWC16" s="2"/>
      <c r="NWD16" s="2"/>
      <c r="NWE16" s="2"/>
      <c r="NWF16" s="2"/>
      <c r="NWG16" s="2"/>
      <c r="NWH16" s="2"/>
      <c r="NWI16" s="2"/>
      <c r="NWJ16" s="2"/>
      <c r="NWK16" s="2"/>
      <c r="NWL16" s="2"/>
      <c r="NWM16" s="2"/>
      <c r="NWN16" s="2"/>
      <c r="NWO16" s="2"/>
      <c r="NWP16" s="2"/>
      <c r="NWQ16" s="2"/>
      <c r="NWR16" s="2"/>
      <c r="NWS16" s="2"/>
      <c r="NWT16" s="2"/>
      <c r="NWU16" s="2"/>
      <c r="NWV16" s="2"/>
      <c r="NWW16" s="2"/>
      <c r="NWX16" s="2"/>
      <c r="NWY16" s="2"/>
      <c r="NWZ16" s="2"/>
      <c r="NXA16" s="2"/>
      <c r="NXB16" s="2"/>
      <c r="NXC16" s="2"/>
      <c r="NXD16" s="2"/>
      <c r="NXE16" s="2"/>
      <c r="NXF16" s="2"/>
      <c r="NXG16" s="2"/>
      <c r="NXH16" s="2"/>
      <c r="NXI16" s="2"/>
      <c r="NXJ16" s="2"/>
      <c r="NXK16" s="2"/>
      <c r="NXL16" s="2"/>
      <c r="NXM16" s="2"/>
      <c r="NXN16" s="2"/>
      <c r="NXO16" s="2"/>
      <c r="NXP16" s="2"/>
      <c r="NXQ16" s="2"/>
      <c r="NXR16" s="2"/>
      <c r="NXS16" s="2"/>
      <c r="NXT16" s="2"/>
      <c r="NXU16" s="2"/>
      <c r="NXV16" s="2"/>
      <c r="NXW16" s="2"/>
      <c r="NXX16" s="2"/>
      <c r="NXY16" s="2"/>
      <c r="NXZ16" s="2"/>
      <c r="NYA16" s="2"/>
      <c r="NYB16" s="2"/>
      <c r="NYC16" s="2"/>
      <c r="NYD16" s="2"/>
      <c r="NYE16" s="2"/>
      <c r="NYF16" s="2"/>
      <c r="NYG16" s="2"/>
      <c r="NYH16" s="2"/>
      <c r="NYI16" s="2"/>
      <c r="NYJ16" s="2"/>
      <c r="NYK16" s="2"/>
      <c r="NYL16" s="2"/>
      <c r="NYM16" s="2"/>
      <c r="NYN16" s="2"/>
      <c r="NYO16" s="2"/>
      <c r="NYP16" s="2"/>
      <c r="NYQ16" s="2"/>
      <c r="NYR16" s="2"/>
      <c r="NYS16" s="2"/>
      <c r="NYT16" s="2"/>
      <c r="NYU16" s="2"/>
      <c r="NYV16" s="2"/>
      <c r="NYW16" s="2"/>
      <c r="NYX16" s="2"/>
      <c r="NYY16" s="2"/>
      <c r="NYZ16" s="2"/>
      <c r="NZA16" s="2"/>
      <c r="NZB16" s="2"/>
      <c r="NZC16" s="2"/>
      <c r="NZD16" s="2"/>
      <c r="NZE16" s="2"/>
      <c r="NZF16" s="2"/>
      <c r="NZG16" s="2"/>
      <c r="NZH16" s="2"/>
      <c r="NZI16" s="2"/>
      <c r="NZJ16" s="2"/>
      <c r="NZK16" s="2"/>
      <c r="NZL16" s="2"/>
      <c r="NZM16" s="2"/>
      <c r="NZN16" s="2"/>
      <c r="NZO16" s="2"/>
      <c r="NZP16" s="2"/>
      <c r="NZQ16" s="2"/>
      <c r="NZR16" s="2"/>
      <c r="NZS16" s="2"/>
      <c r="NZT16" s="2"/>
      <c r="NZU16" s="2"/>
      <c r="NZV16" s="2"/>
      <c r="NZW16" s="2"/>
      <c r="NZX16" s="2"/>
      <c r="NZY16" s="2"/>
      <c r="NZZ16" s="2"/>
      <c r="OAA16" s="2"/>
      <c r="OAB16" s="2"/>
      <c r="OAC16" s="2"/>
      <c r="OAD16" s="2"/>
      <c r="OAE16" s="2"/>
      <c r="OAF16" s="2"/>
      <c r="OAG16" s="2"/>
      <c r="OAH16" s="2"/>
      <c r="OAI16" s="2"/>
      <c r="OAJ16" s="2"/>
      <c r="OAK16" s="2"/>
      <c r="OAL16" s="2"/>
      <c r="OAM16" s="2"/>
      <c r="OAN16" s="2"/>
      <c r="OAO16" s="2"/>
      <c r="OAP16" s="2"/>
      <c r="OAQ16" s="2"/>
      <c r="OAR16" s="2"/>
      <c r="OAS16" s="2"/>
      <c r="OAT16" s="2"/>
      <c r="OAU16" s="2"/>
      <c r="OAV16" s="2"/>
      <c r="OAW16" s="2"/>
      <c r="OAX16" s="2"/>
      <c r="OAY16" s="2"/>
      <c r="OAZ16" s="2"/>
      <c r="OBA16" s="2"/>
      <c r="OBB16" s="2"/>
      <c r="OBC16" s="2"/>
      <c r="OBD16" s="2"/>
      <c r="OBE16" s="2"/>
      <c r="OBF16" s="2"/>
      <c r="OBG16" s="2"/>
      <c r="OBH16" s="2"/>
      <c r="OBI16" s="2"/>
      <c r="OBJ16" s="2"/>
      <c r="OBK16" s="2"/>
      <c r="OBL16" s="2"/>
      <c r="OBM16" s="2"/>
      <c r="OBN16" s="2"/>
      <c r="OBO16" s="2"/>
      <c r="OBP16" s="2"/>
      <c r="OBQ16" s="2"/>
      <c r="OBR16" s="2"/>
      <c r="OBS16" s="2"/>
      <c r="OBT16" s="2"/>
      <c r="OBU16" s="2"/>
      <c r="OBV16" s="2"/>
      <c r="OBW16" s="2"/>
      <c r="OBX16" s="2"/>
      <c r="OBY16" s="2"/>
      <c r="OBZ16" s="2"/>
      <c r="OCA16" s="2"/>
      <c r="OCB16" s="2"/>
      <c r="OCC16" s="2"/>
      <c r="OCD16" s="2"/>
      <c r="OCE16" s="2"/>
      <c r="OCF16" s="2"/>
      <c r="OCG16" s="2"/>
      <c r="OCH16" s="2"/>
      <c r="OCI16" s="2"/>
      <c r="OCJ16" s="2"/>
      <c r="OCK16" s="2"/>
      <c r="OCL16" s="2"/>
      <c r="OCM16" s="2"/>
      <c r="OCN16" s="2"/>
      <c r="OCO16" s="2"/>
      <c r="OCP16" s="2"/>
      <c r="OCQ16" s="2"/>
      <c r="OCR16" s="2"/>
      <c r="OCS16" s="2"/>
      <c r="OCT16" s="2"/>
      <c r="OCU16" s="2"/>
      <c r="OCV16" s="2"/>
      <c r="OCW16" s="2"/>
      <c r="OCX16" s="2"/>
      <c r="OCY16" s="2"/>
      <c r="OCZ16" s="2"/>
      <c r="ODA16" s="2"/>
      <c r="ODB16" s="2"/>
      <c r="ODC16" s="2"/>
      <c r="ODD16" s="2"/>
      <c r="ODE16" s="2"/>
      <c r="ODF16" s="2"/>
      <c r="ODG16" s="2"/>
      <c r="ODH16" s="2"/>
      <c r="ODI16" s="2"/>
      <c r="ODJ16" s="2"/>
      <c r="ODK16" s="2"/>
      <c r="ODL16" s="2"/>
      <c r="ODM16" s="2"/>
      <c r="ODN16" s="2"/>
      <c r="ODO16" s="2"/>
      <c r="ODP16" s="2"/>
      <c r="ODQ16" s="2"/>
      <c r="ODR16" s="2"/>
      <c r="ODS16" s="2"/>
      <c r="ODT16" s="2"/>
      <c r="ODU16" s="2"/>
      <c r="ODV16" s="2"/>
      <c r="ODW16" s="2"/>
      <c r="ODX16" s="2"/>
      <c r="ODY16" s="2"/>
      <c r="ODZ16" s="2"/>
      <c r="OEA16" s="2"/>
      <c r="OEB16" s="2"/>
      <c r="OEC16" s="2"/>
      <c r="OED16" s="2"/>
      <c r="OEE16" s="2"/>
      <c r="OEF16" s="2"/>
      <c r="OEG16" s="2"/>
      <c r="OEH16" s="2"/>
      <c r="OEI16" s="2"/>
      <c r="OEJ16" s="2"/>
      <c r="OEK16" s="2"/>
      <c r="OEL16" s="2"/>
      <c r="OEM16" s="2"/>
      <c r="OEN16" s="2"/>
      <c r="OEO16" s="2"/>
      <c r="OEP16" s="2"/>
      <c r="OEQ16" s="2"/>
      <c r="OER16" s="2"/>
      <c r="OES16" s="2"/>
      <c r="OET16" s="2"/>
      <c r="OEU16" s="2"/>
      <c r="OEV16" s="2"/>
      <c r="OEW16" s="2"/>
      <c r="OEX16" s="2"/>
      <c r="OEY16" s="2"/>
      <c r="OEZ16" s="2"/>
      <c r="OFA16" s="2"/>
      <c r="OFB16" s="2"/>
      <c r="OFC16" s="2"/>
      <c r="OFD16" s="2"/>
      <c r="OFE16" s="2"/>
      <c r="OFF16" s="2"/>
      <c r="OFG16" s="2"/>
      <c r="OFH16" s="2"/>
      <c r="OFI16" s="2"/>
      <c r="OFJ16" s="2"/>
      <c r="OFK16" s="2"/>
      <c r="OFL16" s="2"/>
      <c r="OFM16" s="2"/>
      <c r="OFN16" s="2"/>
      <c r="OFO16" s="2"/>
      <c r="OFP16" s="2"/>
      <c r="OFQ16" s="2"/>
      <c r="OFR16" s="2"/>
      <c r="OFS16" s="2"/>
      <c r="OFT16" s="2"/>
      <c r="OFU16" s="2"/>
      <c r="OFV16" s="2"/>
      <c r="OFW16" s="2"/>
      <c r="OFX16" s="2"/>
      <c r="OFY16" s="2"/>
      <c r="OFZ16" s="2"/>
      <c r="OGA16" s="2"/>
      <c r="OGB16" s="2"/>
      <c r="OGC16" s="2"/>
      <c r="OGD16" s="2"/>
      <c r="OGE16" s="2"/>
      <c r="OGF16" s="2"/>
      <c r="OGG16" s="2"/>
      <c r="OGH16" s="2"/>
      <c r="OGI16" s="2"/>
      <c r="OGJ16" s="2"/>
      <c r="OGK16" s="2"/>
      <c r="OGL16" s="2"/>
      <c r="OGM16" s="2"/>
      <c r="OGN16" s="2"/>
      <c r="OGO16" s="2"/>
      <c r="OGP16" s="2"/>
      <c r="OGQ16" s="2"/>
      <c r="OGR16" s="2"/>
      <c r="OGS16" s="2"/>
      <c r="OGT16" s="2"/>
      <c r="OGU16" s="2"/>
      <c r="OGV16" s="2"/>
      <c r="OGW16" s="2"/>
      <c r="OGX16" s="2"/>
      <c r="OGY16" s="2"/>
      <c r="OGZ16" s="2"/>
      <c r="OHA16" s="2"/>
      <c r="OHB16" s="2"/>
      <c r="OHC16" s="2"/>
      <c r="OHD16" s="2"/>
      <c r="OHE16" s="2"/>
      <c r="OHF16" s="2"/>
      <c r="OHG16" s="2"/>
      <c r="OHH16" s="2"/>
      <c r="OHI16" s="2"/>
      <c r="OHJ16" s="2"/>
      <c r="OHK16" s="2"/>
      <c r="OHL16" s="2"/>
      <c r="OHM16" s="2"/>
      <c r="OHN16" s="2"/>
      <c r="OHO16" s="2"/>
      <c r="OHP16" s="2"/>
      <c r="OHQ16" s="2"/>
      <c r="OHR16" s="2"/>
      <c r="OHS16" s="2"/>
      <c r="OHT16" s="2"/>
      <c r="OHU16" s="2"/>
      <c r="OHV16" s="2"/>
      <c r="OHW16" s="2"/>
      <c r="OHX16" s="2"/>
      <c r="OHY16" s="2"/>
      <c r="OHZ16" s="2"/>
      <c r="OIA16" s="2"/>
      <c r="OIB16" s="2"/>
      <c r="OIC16" s="2"/>
      <c r="OID16" s="2"/>
      <c r="OIE16" s="2"/>
      <c r="OIF16" s="2"/>
      <c r="OIG16" s="2"/>
      <c r="OIH16" s="2"/>
      <c r="OII16" s="2"/>
      <c r="OIJ16" s="2"/>
      <c r="OIK16" s="2"/>
      <c r="OIL16" s="2"/>
      <c r="OIM16" s="2"/>
      <c r="OIN16" s="2"/>
      <c r="OIO16" s="2"/>
      <c r="OIP16" s="2"/>
      <c r="OIQ16" s="2"/>
      <c r="OIR16" s="2"/>
      <c r="OIS16" s="2"/>
      <c r="OIT16" s="2"/>
      <c r="OIU16" s="2"/>
      <c r="OIV16" s="2"/>
      <c r="OIW16" s="2"/>
      <c r="OIX16" s="2"/>
      <c r="OIY16" s="2"/>
      <c r="OIZ16" s="2"/>
      <c r="OJA16" s="2"/>
      <c r="OJB16" s="2"/>
      <c r="OJC16" s="2"/>
      <c r="OJD16" s="2"/>
      <c r="OJE16" s="2"/>
      <c r="OJF16" s="2"/>
      <c r="OJG16" s="2"/>
      <c r="OJH16" s="2"/>
      <c r="OJI16" s="2"/>
      <c r="OJJ16" s="2"/>
      <c r="OJK16" s="2"/>
      <c r="OJL16" s="2"/>
      <c r="OJM16" s="2"/>
      <c r="OJN16" s="2"/>
      <c r="OJO16" s="2"/>
      <c r="OJP16" s="2"/>
      <c r="OJQ16" s="2"/>
      <c r="OJR16" s="2"/>
      <c r="OJS16" s="2"/>
      <c r="OJT16" s="2"/>
      <c r="OJU16" s="2"/>
      <c r="OJV16" s="2"/>
      <c r="OJW16" s="2"/>
      <c r="OJX16" s="2"/>
      <c r="OJY16" s="2"/>
      <c r="OJZ16" s="2"/>
      <c r="OKA16" s="2"/>
      <c r="OKB16" s="2"/>
      <c r="OKC16" s="2"/>
      <c r="OKD16" s="2"/>
      <c r="OKE16" s="2"/>
      <c r="OKF16" s="2"/>
      <c r="OKG16" s="2"/>
      <c r="OKH16" s="2"/>
      <c r="OKI16" s="2"/>
      <c r="OKJ16" s="2"/>
      <c r="OKK16" s="2"/>
      <c r="OKL16" s="2"/>
      <c r="OKM16" s="2"/>
      <c r="OKN16" s="2"/>
      <c r="OKO16" s="2"/>
      <c r="OKP16" s="2"/>
      <c r="OKQ16" s="2"/>
      <c r="OKR16" s="2"/>
      <c r="OKS16" s="2"/>
      <c r="OKT16" s="2"/>
      <c r="OKU16" s="2"/>
      <c r="OKV16" s="2"/>
      <c r="OKW16" s="2"/>
      <c r="OKX16" s="2"/>
      <c r="OKY16" s="2"/>
      <c r="OKZ16" s="2"/>
      <c r="OLA16" s="2"/>
      <c r="OLB16" s="2"/>
      <c r="OLC16" s="2"/>
      <c r="OLD16" s="2"/>
      <c r="OLE16" s="2"/>
      <c r="OLF16" s="2"/>
      <c r="OLG16" s="2"/>
      <c r="OLH16" s="2"/>
      <c r="OLI16" s="2"/>
      <c r="OLJ16" s="2"/>
      <c r="OLK16" s="2"/>
      <c r="OLL16" s="2"/>
      <c r="OLM16" s="2"/>
      <c r="OLN16" s="2"/>
      <c r="OLO16" s="2"/>
      <c r="OLP16" s="2"/>
      <c r="OLQ16" s="2"/>
      <c r="OLR16" s="2"/>
      <c r="OLS16" s="2"/>
      <c r="OLT16" s="2"/>
      <c r="OLU16" s="2"/>
      <c r="OLV16" s="2"/>
      <c r="OLW16" s="2"/>
      <c r="OLX16" s="2"/>
      <c r="OLY16" s="2"/>
      <c r="OLZ16" s="2"/>
      <c r="OMA16" s="2"/>
      <c r="OMB16" s="2"/>
      <c r="OMC16" s="2"/>
      <c r="OMD16" s="2"/>
      <c r="OME16" s="2"/>
      <c r="OMF16" s="2"/>
      <c r="OMG16" s="2"/>
      <c r="OMH16" s="2"/>
      <c r="OMI16" s="2"/>
      <c r="OMJ16" s="2"/>
      <c r="OMK16" s="2"/>
      <c r="OML16" s="2"/>
      <c r="OMM16" s="2"/>
      <c r="OMN16" s="2"/>
      <c r="OMO16" s="2"/>
      <c r="OMP16" s="2"/>
      <c r="OMQ16" s="2"/>
      <c r="OMR16" s="2"/>
      <c r="OMS16" s="2"/>
      <c r="OMT16" s="2"/>
      <c r="OMU16" s="2"/>
      <c r="OMV16" s="2"/>
      <c r="OMW16" s="2"/>
      <c r="OMX16" s="2"/>
      <c r="OMY16" s="2"/>
      <c r="OMZ16" s="2"/>
      <c r="ONA16" s="2"/>
      <c r="ONB16" s="2"/>
      <c r="ONC16" s="2"/>
      <c r="OND16" s="2"/>
      <c r="ONE16" s="2"/>
      <c r="ONF16" s="2"/>
      <c r="ONG16" s="2"/>
      <c r="ONH16" s="2"/>
      <c r="ONI16" s="2"/>
      <c r="ONJ16" s="2"/>
      <c r="ONK16" s="2"/>
      <c r="ONL16" s="2"/>
      <c r="ONM16" s="2"/>
      <c r="ONN16" s="2"/>
      <c r="ONO16" s="2"/>
      <c r="ONP16" s="2"/>
      <c r="ONQ16" s="2"/>
      <c r="ONR16" s="2"/>
      <c r="ONS16" s="2"/>
      <c r="ONT16" s="2"/>
      <c r="ONU16" s="2"/>
      <c r="ONV16" s="2"/>
      <c r="ONW16" s="2"/>
      <c r="ONX16" s="2"/>
      <c r="ONY16" s="2"/>
      <c r="ONZ16" s="2"/>
      <c r="OOA16" s="2"/>
      <c r="OOB16" s="2"/>
      <c r="OOC16" s="2"/>
      <c r="OOD16" s="2"/>
      <c r="OOE16" s="2"/>
      <c r="OOF16" s="2"/>
      <c r="OOG16" s="2"/>
      <c r="OOH16" s="2"/>
      <c r="OOI16" s="2"/>
      <c r="OOJ16" s="2"/>
      <c r="OOK16" s="2"/>
      <c r="OOL16" s="2"/>
      <c r="OOM16" s="2"/>
      <c r="OON16" s="2"/>
      <c r="OOO16" s="2"/>
      <c r="OOP16" s="2"/>
      <c r="OOQ16" s="2"/>
      <c r="OOR16" s="2"/>
      <c r="OOS16" s="2"/>
      <c r="OOT16" s="2"/>
      <c r="OOU16" s="2"/>
      <c r="OOV16" s="2"/>
      <c r="OOW16" s="2"/>
      <c r="OOX16" s="2"/>
      <c r="OOY16" s="2"/>
      <c r="OOZ16" s="2"/>
      <c r="OPA16" s="2"/>
      <c r="OPB16" s="2"/>
      <c r="OPC16" s="2"/>
      <c r="OPD16" s="2"/>
      <c r="OPE16" s="2"/>
      <c r="OPF16" s="2"/>
      <c r="OPG16" s="2"/>
      <c r="OPH16" s="2"/>
      <c r="OPI16" s="2"/>
      <c r="OPJ16" s="2"/>
      <c r="OPK16" s="2"/>
      <c r="OPL16" s="2"/>
      <c r="OPM16" s="2"/>
      <c r="OPN16" s="2"/>
      <c r="OPO16" s="2"/>
      <c r="OPP16" s="2"/>
      <c r="OPQ16" s="2"/>
      <c r="OPR16" s="2"/>
      <c r="OPS16" s="2"/>
      <c r="OPT16" s="2"/>
      <c r="OPU16" s="2"/>
      <c r="OPV16" s="2"/>
      <c r="OPW16" s="2"/>
      <c r="OPX16" s="2"/>
      <c r="OPY16" s="2"/>
      <c r="OPZ16" s="2"/>
      <c r="OQA16" s="2"/>
      <c r="OQB16" s="2"/>
      <c r="OQC16" s="2"/>
      <c r="OQD16" s="2"/>
      <c r="OQE16" s="2"/>
      <c r="OQF16" s="2"/>
      <c r="OQG16" s="2"/>
      <c r="OQH16" s="2"/>
      <c r="OQI16" s="2"/>
      <c r="OQJ16" s="2"/>
      <c r="OQK16" s="2"/>
      <c r="OQL16" s="2"/>
      <c r="OQM16" s="2"/>
      <c r="OQN16" s="2"/>
      <c r="OQO16" s="2"/>
      <c r="OQP16" s="2"/>
      <c r="OQQ16" s="2"/>
      <c r="OQR16" s="2"/>
      <c r="OQS16" s="2"/>
      <c r="OQT16" s="2"/>
      <c r="OQU16" s="2"/>
      <c r="OQV16" s="2"/>
      <c r="OQW16" s="2"/>
      <c r="OQX16" s="2"/>
      <c r="OQY16" s="2"/>
      <c r="OQZ16" s="2"/>
      <c r="ORA16" s="2"/>
      <c r="ORB16" s="2"/>
      <c r="ORC16" s="2"/>
      <c r="ORD16" s="2"/>
      <c r="ORE16" s="2"/>
      <c r="ORF16" s="2"/>
      <c r="ORG16" s="2"/>
      <c r="ORH16" s="2"/>
      <c r="ORI16" s="2"/>
      <c r="ORJ16" s="2"/>
      <c r="ORK16" s="2"/>
      <c r="ORL16" s="2"/>
      <c r="ORM16" s="2"/>
      <c r="ORN16" s="2"/>
      <c r="ORO16" s="2"/>
      <c r="ORP16" s="2"/>
      <c r="ORQ16" s="2"/>
      <c r="ORR16" s="2"/>
      <c r="ORS16" s="2"/>
      <c r="ORT16" s="2"/>
      <c r="ORU16" s="2"/>
      <c r="ORV16" s="2"/>
      <c r="ORW16" s="2"/>
      <c r="ORX16" s="2"/>
      <c r="ORY16" s="2"/>
      <c r="ORZ16" s="2"/>
      <c r="OSA16" s="2"/>
      <c r="OSB16" s="2"/>
      <c r="OSC16" s="2"/>
      <c r="OSD16" s="2"/>
      <c r="OSE16" s="2"/>
      <c r="OSF16" s="2"/>
      <c r="OSG16" s="2"/>
      <c r="OSH16" s="2"/>
      <c r="OSI16" s="2"/>
      <c r="OSJ16" s="2"/>
      <c r="OSK16" s="2"/>
      <c r="OSL16" s="2"/>
      <c r="OSM16" s="2"/>
      <c r="OSN16" s="2"/>
      <c r="OSO16" s="2"/>
      <c r="OSP16" s="2"/>
      <c r="OSQ16" s="2"/>
      <c r="OSR16" s="2"/>
      <c r="OSS16" s="2"/>
      <c r="OST16" s="2"/>
      <c r="OSU16" s="2"/>
      <c r="OSV16" s="2"/>
      <c r="OSW16" s="2"/>
      <c r="OSX16" s="2"/>
      <c r="OSY16" s="2"/>
      <c r="OSZ16" s="2"/>
      <c r="OTA16" s="2"/>
      <c r="OTB16" s="2"/>
      <c r="OTC16" s="2"/>
      <c r="OTD16" s="2"/>
      <c r="OTE16" s="2"/>
      <c r="OTF16" s="2"/>
      <c r="OTG16" s="2"/>
      <c r="OTH16" s="2"/>
      <c r="OTI16" s="2"/>
      <c r="OTJ16" s="2"/>
      <c r="OTK16" s="2"/>
      <c r="OTL16" s="2"/>
      <c r="OTM16" s="2"/>
      <c r="OTN16" s="2"/>
      <c r="OTO16" s="2"/>
      <c r="OTP16" s="2"/>
      <c r="OTQ16" s="2"/>
      <c r="OTR16" s="2"/>
      <c r="OTS16" s="2"/>
      <c r="OTT16" s="2"/>
      <c r="OTU16" s="2"/>
      <c r="OTV16" s="2"/>
      <c r="OTW16" s="2"/>
      <c r="OTX16" s="2"/>
      <c r="OTY16" s="2"/>
      <c r="OTZ16" s="2"/>
      <c r="OUA16" s="2"/>
      <c r="OUB16" s="2"/>
      <c r="OUC16" s="2"/>
      <c r="OUD16" s="2"/>
      <c r="OUE16" s="2"/>
      <c r="OUF16" s="2"/>
      <c r="OUG16" s="2"/>
      <c r="OUH16" s="2"/>
      <c r="OUI16" s="2"/>
      <c r="OUJ16" s="2"/>
      <c r="OUK16" s="2"/>
      <c r="OUL16" s="2"/>
      <c r="OUM16" s="2"/>
      <c r="OUN16" s="2"/>
      <c r="OUO16" s="2"/>
      <c r="OUP16" s="2"/>
      <c r="OUQ16" s="2"/>
      <c r="OUR16" s="2"/>
      <c r="OUS16" s="2"/>
      <c r="OUT16" s="2"/>
      <c r="OUU16" s="2"/>
      <c r="OUV16" s="2"/>
      <c r="OUW16" s="2"/>
      <c r="OUX16" s="2"/>
      <c r="OUY16" s="2"/>
      <c r="OUZ16" s="2"/>
      <c r="OVA16" s="2"/>
      <c r="OVB16" s="2"/>
      <c r="OVC16" s="2"/>
      <c r="OVD16" s="2"/>
      <c r="OVE16" s="2"/>
      <c r="OVF16" s="2"/>
      <c r="OVG16" s="2"/>
      <c r="OVH16" s="2"/>
      <c r="OVI16" s="2"/>
      <c r="OVJ16" s="2"/>
      <c r="OVK16" s="2"/>
      <c r="OVL16" s="2"/>
      <c r="OVM16" s="2"/>
      <c r="OVN16" s="2"/>
      <c r="OVO16" s="2"/>
      <c r="OVP16" s="2"/>
      <c r="OVQ16" s="2"/>
      <c r="OVR16" s="2"/>
      <c r="OVS16" s="2"/>
      <c r="OVT16" s="2"/>
      <c r="OVU16" s="2"/>
      <c r="OVV16" s="2"/>
      <c r="OVW16" s="2"/>
      <c r="OVX16" s="2"/>
      <c r="OVY16" s="2"/>
      <c r="OVZ16" s="2"/>
      <c r="OWA16" s="2"/>
      <c r="OWB16" s="2"/>
      <c r="OWC16" s="2"/>
      <c r="OWD16" s="2"/>
      <c r="OWE16" s="2"/>
      <c r="OWF16" s="2"/>
      <c r="OWG16" s="2"/>
      <c r="OWH16" s="2"/>
      <c r="OWI16" s="2"/>
      <c r="OWJ16" s="2"/>
      <c r="OWK16" s="2"/>
      <c r="OWL16" s="2"/>
      <c r="OWM16" s="2"/>
      <c r="OWN16" s="2"/>
      <c r="OWO16" s="2"/>
      <c r="OWP16" s="2"/>
      <c r="OWQ16" s="2"/>
      <c r="OWR16" s="2"/>
      <c r="OWS16" s="2"/>
      <c r="OWT16" s="2"/>
      <c r="OWU16" s="2"/>
      <c r="OWV16" s="2"/>
      <c r="OWW16" s="2"/>
      <c r="OWX16" s="2"/>
      <c r="OWY16" s="2"/>
      <c r="OWZ16" s="2"/>
      <c r="OXA16" s="2"/>
      <c r="OXB16" s="2"/>
      <c r="OXC16" s="2"/>
      <c r="OXD16" s="2"/>
      <c r="OXE16" s="2"/>
      <c r="OXF16" s="2"/>
      <c r="OXG16" s="2"/>
      <c r="OXH16" s="2"/>
      <c r="OXI16" s="2"/>
      <c r="OXJ16" s="2"/>
      <c r="OXK16" s="2"/>
      <c r="OXL16" s="2"/>
      <c r="OXM16" s="2"/>
      <c r="OXN16" s="2"/>
      <c r="OXO16" s="2"/>
      <c r="OXP16" s="2"/>
      <c r="OXQ16" s="2"/>
      <c r="OXR16" s="2"/>
      <c r="OXS16" s="2"/>
      <c r="OXT16" s="2"/>
      <c r="OXU16" s="2"/>
      <c r="OXV16" s="2"/>
      <c r="OXW16" s="2"/>
      <c r="OXX16" s="2"/>
      <c r="OXY16" s="2"/>
      <c r="OXZ16" s="2"/>
      <c r="OYA16" s="2"/>
      <c r="OYB16" s="2"/>
      <c r="OYC16" s="2"/>
      <c r="OYD16" s="2"/>
      <c r="OYE16" s="2"/>
      <c r="OYF16" s="2"/>
      <c r="OYG16" s="2"/>
      <c r="OYH16" s="2"/>
      <c r="OYI16" s="2"/>
      <c r="OYJ16" s="2"/>
      <c r="OYK16" s="2"/>
      <c r="OYL16" s="2"/>
      <c r="OYM16" s="2"/>
      <c r="OYN16" s="2"/>
      <c r="OYO16" s="2"/>
      <c r="OYP16" s="2"/>
      <c r="OYQ16" s="2"/>
      <c r="OYR16" s="2"/>
      <c r="OYS16" s="2"/>
      <c r="OYT16" s="2"/>
      <c r="OYU16" s="2"/>
      <c r="OYV16" s="2"/>
      <c r="OYW16" s="2"/>
      <c r="OYX16" s="2"/>
      <c r="OYY16" s="2"/>
      <c r="OYZ16" s="2"/>
      <c r="OZA16" s="2"/>
      <c r="OZB16" s="2"/>
      <c r="OZC16" s="2"/>
      <c r="OZD16" s="2"/>
      <c r="OZE16" s="2"/>
      <c r="OZF16" s="2"/>
      <c r="OZG16" s="2"/>
      <c r="OZH16" s="2"/>
      <c r="OZI16" s="2"/>
      <c r="OZJ16" s="2"/>
      <c r="OZK16" s="2"/>
      <c r="OZL16" s="2"/>
      <c r="OZM16" s="2"/>
      <c r="OZN16" s="2"/>
      <c r="OZO16" s="2"/>
      <c r="OZP16" s="2"/>
      <c r="OZQ16" s="2"/>
      <c r="OZR16" s="2"/>
      <c r="OZS16" s="2"/>
      <c r="OZT16" s="2"/>
      <c r="OZU16" s="2"/>
      <c r="OZV16" s="2"/>
      <c r="OZW16" s="2"/>
      <c r="OZX16" s="2"/>
      <c r="OZY16" s="2"/>
      <c r="OZZ16" s="2"/>
      <c r="PAA16" s="2"/>
      <c r="PAB16" s="2"/>
      <c r="PAC16" s="2"/>
      <c r="PAD16" s="2"/>
      <c r="PAE16" s="2"/>
      <c r="PAF16" s="2"/>
      <c r="PAG16" s="2"/>
      <c r="PAH16" s="2"/>
      <c r="PAI16" s="2"/>
      <c r="PAJ16" s="2"/>
      <c r="PAK16" s="2"/>
      <c r="PAL16" s="2"/>
      <c r="PAM16" s="2"/>
      <c r="PAN16" s="2"/>
      <c r="PAO16" s="2"/>
      <c r="PAP16" s="2"/>
      <c r="PAQ16" s="2"/>
      <c r="PAR16" s="2"/>
      <c r="PAS16" s="2"/>
      <c r="PAT16" s="2"/>
      <c r="PAU16" s="2"/>
      <c r="PAV16" s="2"/>
      <c r="PAW16" s="2"/>
      <c r="PAX16" s="2"/>
      <c r="PAY16" s="2"/>
      <c r="PAZ16" s="2"/>
      <c r="PBA16" s="2"/>
      <c r="PBB16" s="2"/>
      <c r="PBC16" s="2"/>
      <c r="PBD16" s="2"/>
      <c r="PBE16" s="2"/>
      <c r="PBF16" s="2"/>
      <c r="PBG16" s="2"/>
      <c r="PBH16" s="2"/>
      <c r="PBI16" s="2"/>
      <c r="PBJ16" s="2"/>
      <c r="PBK16" s="2"/>
      <c r="PBL16" s="2"/>
      <c r="PBM16" s="2"/>
      <c r="PBN16" s="2"/>
      <c r="PBO16" s="2"/>
      <c r="PBP16" s="2"/>
      <c r="PBQ16" s="2"/>
      <c r="PBR16" s="2"/>
      <c r="PBS16" s="2"/>
      <c r="PBT16" s="2"/>
      <c r="PBU16" s="2"/>
      <c r="PBV16" s="2"/>
      <c r="PBW16" s="2"/>
      <c r="PBX16" s="2"/>
      <c r="PBY16" s="2"/>
      <c r="PBZ16" s="2"/>
      <c r="PCA16" s="2"/>
      <c r="PCB16" s="2"/>
      <c r="PCC16" s="2"/>
      <c r="PCD16" s="2"/>
      <c r="PCE16" s="2"/>
      <c r="PCF16" s="2"/>
      <c r="PCG16" s="2"/>
      <c r="PCH16" s="2"/>
      <c r="PCI16" s="2"/>
      <c r="PCJ16" s="2"/>
      <c r="PCK16" s="2"/>
      <c r="PCL16" s="2"/>
      <c r="PCM16" s="2"/>
      <c r="PCN16" s="2"/>
      <c r="PCO16" s="2"/>
      <c r="PCP16" s="2"/>
      <c r="PCQ16" s="2"/>
      <c r="PCR16" s="2"/>
      <c r="PCS16" s="2"/>
      <c r="PCT16" s="2"/>
      <c r="PCU16" s="2"/>
      <c r="PCV16" s="2"/>
      <c r="PCW16" s="2"/>
      <c r="PCX16" s="2"/>
      <c r="PCY16" s="2"/>
      <c r="PCZ16" s="2"/>
      <c r="PDA16" s="2"/>
      <c r="PDB16" s="2"/>
      <c r="PDC16" s="2"/>
      <c r="PDD16" s="2"/>
      <c r="PDE16" s="2"/>
      <c r="PDF16" s="2"/>
      <c r="PDG16" s="2"/>
      <c r="PDH16" s="2"/>
      <c r="PDI16" s="2"/>
      <c r="PDJ16" s="2"/>
      <c r="PDK16" s="2"/>
      <c r="PDL16" s="2"/>
      <c r="PDM16" s="2"/>
      <c r="PDN16" s="2"/>
      <c r="PDO16" s="2"/>
      <c r="PDP16" s="2"/>
      <c r="PDQ16" s="2"/>
      <c r="PDR16" s="2"/>
      <c r="PDS16" s="2"/>
      <c r="PDT16" s="2"/>
      <c r="PDU16" s="2"/>
      <c r="PDV16" s="2"/>
      <c r="PDW16" s="2"/>
      <c r="PDX16" s="2"/>
      <c r="PDY16" s="2"/>
      <c r="PDZ16" s="2"/>
      <c r="PEA16" s="2"/>
      <c r="PEB16" s="2"/>
      <c r="PEC16" s="2"/>
      <c r="PED16" s="2"/>
      <c r="PEE16" s="2"/>
      <c r="PEF16" s="2"/>
      <c r="PEG16" s="2"/>
      <c r="PEH16" s="2"/>
      <c r="PEI16" s="2"/>
      <c r="PEJ16" s="2"/>
      <c r="PEK16" s="2"/>
      <c r="PEL16" s="2"/>
      <c r="PEM16" s="2"/>
      <c r="PEN16" s="2"/>
      <c r="PEO16" s="2"/>
      <c r="PEP16" s="2"/>
      <c r="PEQ16" s="2"/>
      <c r="PER16" s="2"/>
      <c r="PES16" s="2"/>
      <c r="PET16" s="2"/>
      <c r="PEU16" s="2"/>
      <c r="PEV16" s="2"/>
      <c r="PEW16" s="2"/>
      <c r="PEX16" s="2"/>
      <c r="PEY16" s="2"/>
      <c r="PEZ16" s="2"/>
      <c r="PFA16" s="2"/>
      <c r="PFB16" s="2"/>
      <c r="PFC16" s="2"/>
      <c r="PFD16" s="2"/>
      <c r="PFE16" s="2"/>
      <c r="PFF16" s="2"/>
      <c r="PFG16" s="2"/>
      <c r="PFH16" s="2"/>
      <c r="PFI16" s="2"/>
      <c r="PFJ16" s="2"/>
      <c r="PFK16" s="2"/>
      <c r="PFL16" s="2"/>
      <c r="PFM16" s="2"/>
      <c r="PFN16" s="2"/>
      <c r="PFO16" s="2"/>
      <c r="PFP16" s="2"/>
      <c r="PFQ16" s="2"/>
      <c r="PFR16" s="2"/>
      <c r="PFS16" s="2"/>
      <c r="PFT16" s="2"/>
      <c r="PFU16" s="2"/>
      <c r="PFV16" s="2"/>
      <c r="PFW16" s="2"/>
      <c r="PFX16" s="2"/>
      <c r="PFY16" s="2"/>
      <c r="PFZ16" s="2"/>
      <c r="PGA16" s="2"/>
      <c r="PGB16" s="2"/>
      <c r="PGC16" s="2"/>
      <c r="PGD16" s="2"/>
      <c r="PGE16" s="2"/>
      <c r="PGF16" s="2"/>
      <c r="PGG16" s="2"/>
      <c r="PGH16" s="2"/>
      <c r="PGI16" s="2"/>
      <c r="PGJ16" s="2"/>
      <c r="PGK16" s="2"/>
      <c r="PGL16" s="2"/>
      <c r="PGM16" s="2"/>
      <c r="PGN16" s="2"/>
      <c r="PGO16" s="2"/>
      <c r="PGP16" s="2"/>
      <c r="PGQ16" s="2"/>
      <c r="PGR16" s="2"/>
      <c r="PGS16" s="2"/>
      <c r="PGT16" s="2"/>
      <c r="PGU16" s="2"/>
      <c r="PGV16" s="2"/>
      <c r="PGW16" s="2"/>
      <c r="PGX16" s="2"/>
      <c r="PGY16" s="2"/>
      <c r="PGZ16" s="2"/>
      <c r="PHA16" s="2"/>
      <c r="PHB16" s="2"/>
      <c r="PHC16" s="2"/>
      <c r="PHD16" s="2"/>
      <c r="PHE16" s="2"/>
      <c r="PHF16" s="2"/>
      <c r="PHG16" s="2"/>
      <c r="PHH16" s="2"/>
      <c r="PHI16" s="2"/>
      <c r="PHJ16" s="2"/>
      <c r="PHK16" s="2"/>
      <c r="PHL16" s="2"/>
      <c r="PHM16" s="2"/>
      <c r="PHN16" s="2"/>
      <c r="PHO16" s="2"/>
      <c r="PHP16" s="2"/>
      <c r="PHQ16" s="2"/>
      <c r="PHR16" s="2"/>
      <c r="PHS16" s="2"/>
      <c r="PHT16" s="2"/>
      <c r="PHU16" s="2"/>
      <c r="PHV16" s="2"/>
      <c r="PHW16" s="2"/>
      <c r="PHX16" s="2"/>
      <c r="PHY16" s="2"/>
      <c r="PHZ16" s="2"/>
      <c r="PIA16" s="2"/>
      <c r="PIB16" s="2"/>
      <c r="PIC16" s="2"/>
      <c r="PID16" s="2"/>
      <c r="PIE16" s="2"/>
      <c r="PIF16" s="2"/>
      <c r="PIG16" s="2"/>
      <c r="PIH16" s="2"/>
      <c r="PII16" s="2"/>
      <c r="PIJ16" s="2"/>
      <c r="PIK16" s="2"/>
      <c r="PIL16" s="2"/>
      <c r="PIM16" s="2"/>
      <c r="PIN16" s="2"/>
      <c r="PIO16" s="2"/>
      <c r="PIP16" s="2"/>
      <c r="PIQ16" s="2"/>
      <c r="PIR16" s="2"/>
      <c r="PIS16" s="2"/>
      <c r="PIT16" s="2"/>
      <c r="PIU16" s="2"/>
      <c r="PIV16" s="2"/>
      <c r="PIW16" s="2"/>
      <c r="PIX16" s="2"/>
      <c r="PIY16" s="2"/>
      <c r="PIZ16" s="2"/>
      <c r="PJA16" s="2"/>
      <c r="PJB16" s="2"/>
      <c r="PJC16" s="2"/>
      <c r="PJD16" s="2"/>
      <c r="PJE16" s="2"/>
      <c r="PJF16" s="2"/>
      <c r="PJG16" s="2"/>
      <c r="PJH16" s="2"/>
      <c r="PJI16" s="2"/>
      <c r="PJJ16" s="2"/>
      <c r="PJK16" s="2"/>
      <c r="PJL16" s="2"/>
      <c r="PJM16" s="2"/>
      <c r="PJN16" s="2"/>
      <c r="PJO16" s="2"/>
      <c r="PJP16" s="2"/>
      <c r="PJQ16" s="2"/>
      <c r="PJR16" s="2"/>
      <c r="PJS16" s="2"/>
      <c r="PJT16" s="2"/>
      <c r="PJU16" s="2"/>
      <c r="PJV16" s="2"/>
      <c r="PJW16" s="2"/>
      <c r="PJX16" s="2"/>
      <c r="PJY16" s="2"/>
      <c r="PJZ16" s="2"/>
      <c r="PKA16" s="2"/>
      <c r="PKB16" s="2"/>
      <c r="PKC16" s="2"/>
      <c r="PKD16" s="2"/>
      <c r="PKE16" s="2"/>
      <c r="PKF16" s="2"/>
      <c r="PKG16" s="2"/>
      <c r="PKH16" s="2"/>
      <c r="PKI16" s="2"/>
      <c r="PKJ16" s="2"/>
      <c r="PKK16" s="2"/>
      <c r="PKL16" s="2"/>
      <c r="PKM16" s="2"/>
      <c r="PKN16" s="2"/>
      <c r="PKO16" s="2"/>
      <c r="PKP16" s="2"/>
      <c r="PKQ16" s="2"/>
      <c r="PKR16" s="2"/>
      <c r="PKS16" s="2"/>
      <c r="PKT16" s="2"/>
      <c r="PKU16" s="2"/>
      <c r="PKV16" s="2"/>
      <c r="PKW16" s="2"/>
      <c r="PKX16" s="2"/>
      <c r="PKY16" s="2"/>
      <c r="PKZ16" s="2"/>
      <c r="PLA16" s="2"/>
      <c r="PLB16" s="2"/>
      <c r="PLC16" s="2"/>
      <c r="PLD16" s="2"/>
      <c r="PLE16" s="2"/>
      <c r="PLF16" s="2"/>
      <c r="PLG16" s="2"/>
      <c r="PLH16" s="2"/>
      <c r="PLI16" s="2"/>
      <c r="PLJ16" s="2"/>
      <c r="PLK16" s="2"/>
      <c r="PLL16" s="2"/>
      <c r="PLM16" s="2"/>
      <c r="PLN16" s="2"/>
      <c r="PLO16" s="2"/>
      <c r="PLP16" s="2"/>
      <c r="PLQ16" s="2"/>
      <c r="PLR16" s="2"/>
      <c r="PLS16" s="2"/>
      <c r="PLT16" s="2"/>
      <c r="PLU16" s="2"/>
      <c r="PLV16" s="2"/>
      <c r="PLW16" s="2"/>
      <c r="PLX16" s="2"/>
      <c r="PLY16" s="2"/>
      <c r="PLZ16" s="2"/>
      <c r="PMA16" s="2"/>
      <c r="PMB16" s="2"/>
      <c r="PMC16" s="2"/>
      <c r="PMD16" s="2"/>
      <c r="PME16" s="2"/>
      <c r="PMF16" s="2"/>
      <c r="PMG16" s="2"/>
      <c r="PMH16" s="2"/>
      <c r="PMI16" s="2"/>
      <c r="PMJ16" s="2"/>
      <c r="PMK16" s="2"/>
      <c r="PML16" s="2"/>
      <c r="PMM16" s="2"/>
      <c r="PMN16" s="2"/>
      <c r="PMO16" s="2"/>
      <c r="PMP16" s="2"/>
      <c r="PMQ16" s="2"/>
      <c r="PMR16" s="2"/>
      <c r="PMS16" s="2"/>
      <c r="PMT16" s="2"/>
      <c r="PMU16" s="2"/>
      <c r="PMV16" s="2"/>
      <c r="PMW16" s="2"/>
      <c r="PMX16" s="2"/>
      <c r="PMY16" s="2"/>
      <c r="PMZ16" s="2"/>
      <c r="PNA16" s="2"/>
      <c r="PNB16" s="2"/>
      <c r="PNC16" s="2"/>
      <c r="PND16" s="2"/>
      <c r="PNE16" s="2"/>
      <c r="PNF16" s="2"/>
      <c r="PNG16" s="2"/>
      <c r="PNH16" s="2"/>
      <c r="PNI16" s="2"/>
      <c r="PNJ16" s="2"/>
      <c r="PNK16" s="2"/>
      <c r="PNL16" s="2"/>
      <c r="PNM16" s="2"/>
      <c r="PNN16" s="2"/>
      <c r="PNO16" s="2"/>
      <c r="PNP16" s="2"/>
      <c r="PNQ16" s="2"/>
      <c r="PNR16" s="2"/>
      <c r="PNS16" s="2"/>
      <c r="PNT16" s="2"/>
      <c r="PNU16" s="2"/>
      <c r="PNV16" s="2"/>
      <c r="PNW16" s="2"/>
      <c r="PNX16" s="2"/>
      <c r="PNY16" s="2"/>
      <c r="PNZ16" s="2"/>
      <c r="POA16" s="2"/>
      <c r="POB16" s="2"/>
      <c r="POC16" s="2"/>
      <c r="POD16" s="2"/>
      <c r="POE16" s="2"/>
      <c r="POF16" s="2"/>
      <c r="POG16" s="2"/>
      <c r="POH16" s="2"/>
      <c r="POI16" s="2"/>
      <c r="POJ16" s="2"/>
      <c r="POK16" s="2"/>
      <c r="POL16" s="2"/>
      <c r="POM16" s="2"/>
      <c r="PON16" s="2"/>
      <c r="POO16" s="2"/>
      <c r="POP16" s="2"/>
      <c r="POQ16" s="2"/>
      <c r="POR16" s="2"/>
      <c r="POS16" s="2"/>
      <c r="POT16" s="2"/>
      <c r="POU16" s="2"/>
      <c r="POV16" s="2"/>
      <c r="POW16" s="2"/>
      <c r="POX16" s="2"/>
      <c r="POY16" s="2"/>
      <c r="POZ16" s="2"/>
      <c r="PPA16" s="2"/>
      <c r="PPB16" s="2"/>
      <c r="PPC16" s="2"/>
      <c r="PPD16" s="2"/>
      <c r="PPE16" s="2"/>
      <c r="PPF16" s="2"/>
      <c r="PPG16" s="2"/>
      <c r="PPH16" s="2"/>
      <c r="PPI16" s="2"/>
      <c r="PPJ16" s="2"/>
      <c r="PPK16" s="2"/>
      <c r="PPL16" s="2"/>
      <c r="PPM16" s="2"/>
      <c r="PPN16" s="2"/>
      <c r="PPO16" s="2"/>
      <c r="PPP16" s="2"/>
      <c r="PPQ16" s="2"/>
      <c r="PPR16" s="2"/>
      <c r="PPS16" s="2"/>
      <c r="PPT16" s="2"/>
      <c r="PPU16" s="2"/>
      <c r="PPV16" s="2"/>
      <c r="PPW16" s="2"/>
      <c r="PPX16" s="2"/>
      <c r="PPY16" s="2"/>
      <c r="PPZ16" s="2"/>
      <c r="PQA16" s="2"/>
      <c r="PQB16" s="2"/>
      <c r="PQC16" s="2"/>
      <c r="PQD16" s="2"/>
      <c r="PQE16" s="2"/>
      <c r="PQF16" s="2"/>
      <c r="PQG16" s="2"/>
      <c r="PQH16" s="2"/>
      <c r="PQI16" s="2"/>
      <c r="PQJ16" s="2"/>
      <c r="PQK16" s="2"/>
      <c r="PQL16" s="2"/>
      <c r="PQM16" s="2"/>
      <c r="PQN16" s="2"/>
      <c r="PQO16" s="2"/>
      <c r="PQP16" s="2"/>
      <c r="PQQ16" s="2"/>
      <c r="PQR16" s="2"/>
      <c r="PQS16" s="2"/>
      <c r="PQT16" s="2"/>
      <c r="PQU16" s="2"/>
      <c r="PQV16" s="2"/>
      <c r="PQW16" s="2"/>
      <c r="PQX16" s="2"/>
      <c r="PQY16" s="2"/>
      <c r="PQZ16" s="2"/>
      <c r="PRA16" s="2"/>
      <c r="PRB16" s="2"/>
      <c r="PRC16" s="2"/>
      <c r="PRD16" s="2"/>
      <c r="PRE16" s="2"/>
      <c r="PRF16" s="2"/>
      <c r="PRG16" s="2"/>
      <c r="PRH16" s="2"/>
      <c r="PRI16" s="2"/>
      <c r="PRJ16" s="2"/>
      <c r="PRK16" s="2"/>
      <c r="PRL16" s="2"/>
      <c r="PRM16" s="2"/>
      <c r="PRN16" s="2"/>
      <c r="PRO16" s="2"/>
      <c r="PRP16" s="2"/>
      <c r="PRQ16" s="2"/>
      <c r="PRR16" s="2"/>
      <c r="PRS16" s="2"/>
      <c r="PRT16" s="2"/>
      <c r="PRU16" s="2"/>
      <c r="PRV16" s="2"/>
      <c r="PRW16" s="2"/>
      <c r="PRX16" s="2"/>
      <c r="PRY16" s="2"/>
      <c r="PRZ16" s="2"/>
      <c r="PSA16" s="2"/>
      <c r="PSB16" s="2"/>
      <c r="PSC16" s="2"/>
      <c r="PSD16" s="2"/>
      <c r="PSE16" s="2"/>
      <c r="PSF16" s="2"/>
      <c r="PSG16" s="2"/>
      <c r="PSH16" s="2"/>
      <c r="PSI16" s="2"/>
      <c r="PSJ16" s="2"/>
      <c r="PSK16" s="2"/>
      <c r="PSL16" s="2"/>
      <c r="PSM16" s="2"/>
      <c r="PSN16" s="2"/>
      <c r="PSO16" s="2"/>
      <c r="PSP16" s="2"/>
      <c r="PSQ16" s="2"/>
      <c r="PSR16" s="2"/>
      <c r="PSS16" s="2"/>
      <c r="PST16" s="2"/>
      <c r="PSU16" s="2"/>
      <c r="PSV16" s="2"/>
      <c r="PSW16" s="2"/>
      <c r="PSX16" s="2"/>
      <c r="PSY16" s="2"/>
      <c r="PSZ16" s="2"/>
      <c r="PTA16" s="2"/>
      <c r="PTB16" s="2"/>
      <c r="PTC16" s="2"/>
      <c r="PTD16" s="2"/>
      <c r="PTE16" s="2"/>
      <c r="PTF16" s="2"/>
      <c r="PTG16" s="2"/>
      <c r="PTH16" s="2"/>
      <c r="PTI16" s="2"/>
      <c r="PTJ16" s="2"/>
      <c r="PTK16" s="2"/>
      <c r="PTL16" s="2"/>
      <c r="PTM16" s="2"/>
      <c r="PTN16" s="2"/>
      <c r="PTO16" s="2"/>
      <c r="PTP16" s="2"/>
      <c r="PTQ16" s="2"/>
      <c r="PTR16" s="2"/>
      <c r="PTS16" s="2"/>
      <c r="PTT16" s="2"/>
      <c r="PTU16" s="2"/>
      <c r="PTV16" s="2"/>
      <c r="PTW16" s="2"/>
      <c r="PTX16" s="2"/>
      <c r="PTY16" s="2"/>
      <c r="PTZ16" s="2"/>
      <c r="PUA16" s="2"/>
      <c r="PUB16" s="2"/>
      <c r="PUC16" s="2"/>
      <c r="PUD16" s="2"/>
      <c r="PUE16" s="2"/>
      <c r="PUF16" s="2"/>
      <c r="PUG16" s="2"/>
      <c r="PUH16" s="2"/>
      <c r="PUI16" s="2"/>
      <c r="PUJ16" s="2"/>
      <c r="PUK16" s="2"/>
      <c r="PUL16" s="2"/>
      <c r="PUM16" s="2"/>
      <c r="PUN16" s="2"/>
      <c r="PUO16" s="2"/>
      <c r="PUP16" s="2"/>
      <c r="PUQ16" s="2"/>
      <c r="PUR16" s="2"/>
      <c r="PUS16" s="2"/>
      <c r="PUT16" s="2"/>
      <c r="PUU16" s="2"/>
      <c r="PUV16" s="2"/>
      <c r="PUW16" s="2"/>
      <c r="PUX16" s="2"/>
      <c r="PUY16" s="2"/>
      <c r="PUZ16" s="2"/>
      <c r="PVA16" s="2"/>
      <c r="PVB16" s="2"/>
      <c r="PVC16" s="2"/>
      <c r="PVD16" s="2"/>
      <c r="PVE16" s="2"/>
      <c r="PVF16" s="2"/>
      <c r="PVG16" s="2"/>
      <c r="PVH16" s="2"/>
      <c r="PVI16" s="2"/>
      <c r="PVJ16" s="2"/>
      <c r="PVK16" s="2"/>
      <c r="PVL16" s="2"/>
      <c r="PVM16" s="2"/>
      <c r="PVN16" s="2"/>
      <c r="PVO16" s="2"/>
      <c r="PVP16" s="2"/>
      <c r="PVQ16" s="2"/>
      <c r="PVR16" s="2"/>
      <c r="PVS16" s="2"/>
      <c r="PVT16" s="2"/>
      <c r="PVU16" s="2"/>
      <c r="PVV16" s="2"/>
      <c r="PVW16" s="2"/>
      <c r="PVX16" s="2"/>
      <c r="PVY16" s="2"/>
      <c r="PVZ16" s="2"/>
      <c r="PWA16" s="2"/>
      <c r="PWB16" s="2"/>
      <c r="PWC16" s="2"/>
      <c r="PWD16" s="2"/>
      <c r="PWE16" s="2"/>
      <c r="PWF16" s="2"/>
      <c r="PWG16" s="2"/>
      <c r="PWH16" s="2"/>
      <c r="PWI16" s="2"/>
      <c r="PWJ16" s="2"/>
      <c r="PWK16" s="2"/>
      <c r="PWL16" s="2"/>
      <c r="PWM16" s="2"/>
      <c r="PWN16" s="2"/>
      <c r="PWO16" s="2"/>
      <c r="PWP16" s="2"/>
      <c r="PWQ16" s="2"/>
      <c r="PWR16" s="2"/>
      <c r="PWS16" s="2"/>
      <c r="PWT16" s="2"/>
      <c r="PWU16" s="2"/>
      <c r="PWV16" s="2"/>
      <c r="PWW16" s="2"/>
      <c r="PWX16" s="2"/>
      <c r="PWY16" s="2"/>
      <c r="PWZ16" s="2"/>
      <c r="PXA16" s="2"/>
      <c r="PXB16" s="2"/>
      <c r="PXC16" s="2"/>
      <c r="PXD16" s="2"/>
      <c r="PXE16" s="2"/>
      <c r="PXF16" s="2"/>
      <c r="PXG16" s="2"/>
      <c r="PXH16" s="2"/>
      <c r="PXI16" s="2"/>
      <c r="PXJ16" s="2"/>
      <c r="PXK16" s="2"/>
      <c r="PXL16" s="2"/>
      <c r="PXM16" s="2"/>
      <c r="PXN16" s="2"/>
      <c r="PXO16" s="2"/>
      <c r="PXP16" s="2"/>
      <c r="PXQ16" s="2"/>
      <c r="PXR16" s="2"/>
      <c r="PXS16" s="2"/>
      <c r="PXT16" s="2"/>
      <c r="PXU16" s="2"/>
      <c r="PXV16" s="2"/>
      <c r="PXW16" s="2"/>
      <c r="PXX16" s="2"/>
      <c r="PXY16" s="2"/>
      <c r="PXZ16" s="2"/>
      <c r="PYA16" s="2"/>
      <c r="PYB16" s="2"/>
      <c r="PYC16" s="2"/>
      <c r="PYD16" s="2"/>
      <c r="PYE16" s="2"/>
      <c r="PYF16" s="2"/>
      <c r="PYG16" s="2"/>
      <c r="PYH16" s="2"/>
      <c r="PYI16" s="2"/>
      <c r="PYJ16" s="2"/>
      <c r="PYK16" s="2"/>
      <c r="PYL16" s="2"/>
      <c r="PYM16" s="2"/>
      <c r="PYN16" s="2"/>
      <c r="PYO16" s="2"/>
      <c r="PYP16" s="2"/>
      <c r="PYQ16" s="2"/>
      <c r="PYR16" s="2"/>
      <c r="PYS16" s="2"/>
      <c r="PYT16" s="2"/>
      <c r="PYU16" s="2"/>
      <c r="PYV16" s="2"/>
      <c r="PYW16" s="2"/>
      <c r="PYX16" s="2"/>
      <c r="PYY16" s="2"/>
      <c r="PYZ16" s="2"/>
      <c r="PZA16" s="2"/>
      <c r="PZB16" s="2"/>
      <c r="PZC16" s="2"/>
      <c r="PZD16" s="2"/>
      <c r="PZE16" s="2"/>
      <c r="PZF16" s="2"/>
      <c r="PZG16" s="2"/>
      <c r="PZH16" s="2"/>
      <c r="PZI16" s="2"/>
      <c r="PZJ16" s="2"/>
      <c r="PZK16" s="2"/>
      <c r="PZL16" s="2"/>
      <c r="PZM16" s="2"/>
      <c r="PZN16" s="2"/>
      <c r="PZO16" s="2"/>
      <c r="PZP16" s="2"/>
      <c r="PZQ16" s="2"/>
      <c r="PZR16" s="2"/>
      <c r="PZS16" s="2"/>
      <c r="PZT16" s="2"/>
      <c r="PZU16" s="2"/>
      <c r="PZV16" s="2"/>
      <c r="PZW16" s="2"/>
      <c r="PZX16" s="2"/>
      <c r="PZY16" s="2"/>
      <c r="PZZ16" s="2"/>
      <c r="QAA16" s="2"/>
      <c r="QAB16" s="2"/>
      <c r="QAC16" s="2"/>
      <c r="QAD16" s="2"/>
      <c r="QAE16" s="2"/>
      <c r="QAF16" s="2"/>
      <c r="QAG16" s="2"/>
      <c r="QAH16" s="2"/>
      <c r="QAI16" s="2"/>
      <c r="QAJ16" s="2"/>
      <c r="QAK16" s="2"/>
      <c r="QAL16" s="2"/>
      <c r="QAM16" s="2"/>
      <c r="QAN16" s="2"/>
      <c r="QAO16" s="2"/>
      <c r="QAP16" s="2"/>
      <c r="QAQ16" s="2"/>
      <c r="QAR16" s="2"/>
      <c r="QAS16" s="2"/>
      <c r="QAT16" s="2"/>
      <c r="QAU16" s="2"/>
      <c r="QAV16" s="2"/>
      <c r="QAW16" s="2"/>
      <c r="QAX16" s="2"/>
      <c r="QAY16" s="2"/>
      <c r="QAZ16" s="2"/>
      <c r="QBA16" s="2"/>
      <c r="QBB16" s="2"/>
      <c r="QBC16" s="2"/>
      <c r="QBD16" s="2"/>
      <c r="QBE16" s="2"/>
      <c r="QBF16" s="2"/>
      <c r="QBG16" s="2"/>
      <c r="QBH16" s="2"/>
      <c r="QBI16" s="2"/>
      <c r="QBJ16" s="2"/>
      <c r="QBK16" s="2"/>
      <c r="QBL16" s="2"/>
      <c r="QBM16" s="2"/>
      <c r="QBN16" s="2"/>
      <c r="QBO16" s="2"/>
      <c r="QBP16" s="2"/>
      <c r="QBQ16" s="2"/>
      <c r="QBR16" s="2"/>
      <c r="QBS16" s="2"/>
      <c r="QBT16" s="2"/>
      <c r="QBU16" s="2"/>
      <c r="QBV16" s="2"/>
      <c r="QBW16" s="2"/>
      <c r="QBX16" s="2"/>
      <c r="QBY16" s="2"/>
      <c r="QBZ16" s="2"/>
      <c r="QCA16" s="2"/>
      <c r="QCB16" s="2"/>
      <c r="QCC16" s="2"/>
      <c r="QCD16" s="2"/>
      <c r="QCE16" s="2"/>
      <c r="QCF16" s="2"/>
      <c r="QCG16" s="2"/>
      <c r="QCH16" s="2"/>
      <c r="QCI16" s="2"/>
      <c r="QCJ16" s="2"/>
      <c r="QCK16" s="2"/>
      <c r="QCL16" s="2"/>
      <c r="QCM16" s="2"/>
      <c r="QCN16" s="2"/>
      <c r="QCO16" s="2"/>
      <c r="QCP16" s="2"/>
      <c r="QCQ16" s="2"/>
      <c r="QCR16" s="2"/>
      <c r="QCS16" s="2"/>
      <c r="QCT16" s="2"/>
      <c r="QCU16" s="2"/>
      <c r="QCV16" s="2"/>
      <c r="QCW16" s="2"/>
      <c r="QCX16" s="2"/>
      <c r="QCY16" s="2"/>
      <c r="QCZ16" s="2"/>
      <c r="QDA16" s="2"/>
      <c r="QDB16" s="2"/>
      <c r="QDC16" s="2"/>
      <c r="QDD16" s="2"/>
      <c r="QDE16" s="2"/>
      <c r="QDF16" s="2"/>
      <c r="QDG16" s="2"/>
      <c r="QDH16" s="2"/>
      <c r="QDI16" s="2"/>
      <c r="QDJ16" s="2"/>
      <c r="QDK16" s="2"/>
      <c r="QDL16" s="2"/>
      <c r="QDM16" s="2"/>
      <c r="QDN16" s="2"/>
      <c r="QDO16" s="2"/>
      <c r="QDP16" s="2"/>
      <c r="QDQ16" s="2"/>
      <c r="QDR16" s="2"/>
      <c r="QDS16" s="2"/>
      <c r="QDT16" s="2"/>
      <c r="QDU16" s="2"/>
      <c r="QDV16" s="2"/>
      <c r="QDW16" s="2"/>
      <c r="QDX16" s="2"/>
      <c r="QDY16" s="2"/>
      <c r="QDZ16" s="2"/>
      <c r="QEA16" s="2"/>
      <c r="QEB16" s="2"/>
      <c r="QEC16" s="2"/>
      <c r="QED16" s="2"/>
      <c r="QEE16" s="2"/>
      <c r="QEF16" s="2"/>
      <c r="QEG16" s="2"/>
      <c r="QEH16" s="2"/>
      <c r="QEI16" s="2"/>
      <c r="QEJ16" s="2"/>
      <c r="QEK16" s="2"/>
      <c r="QEL16" s="2"/>
      <c r="QEM16" s="2"/>
      <c r="QEN16" s="2"/>
      <c r="QEO16" s="2"/>
      <c r="QEP16" s="2"/>
      <c r="QEQ16" s="2"/>
      <c r="QER16" s="2"/>
      <c r="QES16" s="2"/>
      <c r="QET16" s="2"/>
      <c r="QEU16" s="2"/>
      <c r="QEV16" s="2"/>
      <c r="QEW16" s="2"/>
      <c r="QEX16" s="2"/>
      <c r="QEY16" s="2"/>
      <c r="QEZ16" s="2"/>
      <c r="QFA16" s="2"/>
      <c r="QFB16" s="2"/>
      <c r="QFC16" s="2"/>
      <c r="QFD16" s="2"/>
      <c r="QFE16" s="2"/>
      <c r="QFF16" s="2"/>
      <c r="QFG16" s="2"/>
      <c r="QFH16" s="2"/>
      <c r="QFI16" s="2"/>
      <c r="QFJ16" s="2"/>
      <c r="QFK16" s="2"/>
      <c r="QFL16" s="2"/>
      <c r="QFM16" s="2"/>
      <c r="QFN16" s="2"/>
      <c r="QFO16" s="2"/>
      <c r="QFP16" s="2"/>
      <c r="QFQ16" s="2"/>
      <c r="QFR16" s="2"/>
      <c r="QFS16" s="2"/>
      <c r="QFT16" s="2"/>
      <c r="QFU16" s="2"/>
      <c r="QFV16" s="2"/>
      <c r="QFW16" s="2"/>
      <c r="QFX16" s="2"/>
      <c r="QFY16" s="2"/>
      <c r="QFZ16" s="2"/>
      <c r="QGA16" s="2"/>
      <c r="QGB16" s="2"/>
      <c r="QGC16" s="2"/>
      <c r="QGD16" s="2"/>
      <c r="QGE16" s="2"/>
      <c r="QGF16" s="2"/>
      <c r="QGG16" s="2"/>
      <c r="QGH16" s="2"/>
      <c r="QGI16" s="2"/>
      <c r="QGJ16" s="2"/>
      <c r="QGK16" s="2"/>
      <c r="QGL16" s="2"/>
      <c r="QGM16" s="2"/>
      <c r="QGN16" s="2"/>
      <c r="QGO16" s="2"/>
      <c r="QGP16" s="2"/>
      <c r="QGQ16" s="2"/>
      <c r="QGR16" s="2"/>
      <c r="QGS16" s="2"/>
      <c r="QGT16" s="2"/>
      <c r="QGU16" s="2"/>
      <c r="QGV16" s="2"/>
      <c r="QGW16" s="2"/>
      <c r="QGX16" s="2"/>
      <c r="QGY16" s="2"/>
      <c r="QGZ16" s="2"/>
      <c r="QHA16" s="2"/>
      <c r="QHB16" s="2"/>
      <c r="QHC16" s="2"/>
      <c r="QHD16" s="2"/>
      <c r="QHE16" s="2"/>
      <c r="QHF16" s="2"/>
      <c r="QHG16" s="2"/>
      <c r="QHH16" s="2"/>
      <c r="QHI16" s="2"/>
      <c r="QHJ16" s="2"/>
      <c r="QHK16" s="2"/>
      <c r="QHL16" s="2"/>
      <c r="QHM16" s="2"/>
      <c r="QHN16" s="2"/>
      <c r="QHO16" s="2"/>
      <c r="QHP16" s="2"/>
      <c r="QHQ16" s="2"/>
      <c r="QHR16" s="2"/>
      <c r="QHS16" s="2"/>
      <c r="QHT16" s="2"/>
      <c r="QHU16" s="2"/>
      <c r="QHV16" s="2"/>
      <c r="QHW16" s="2"/>
      <c r="QHX16" s="2"/>
      <c r="QHY16" s="2"/>
      <c r="QHZ16" s="2"/>
      <c r="QIA16" s="2"/>
      <c r="QIB16" s="2"/>
      <c r="QIC16" s="2"/>
      <c r="QID16" s="2"/>
      <c r="QIE16" s="2"/>
      <c r="QIF16" s="2"/>
      <c r="QIG16" s="2"/>
      <c r="QIH16" s="2"/>
      <c r="QII16" s="2"/>
      <c r="QIJ16" s="2"/>
      <c r="QIK16" s="2"/>
      <c r="QIL16" s="2"/>
      <c r="QIM16" s="2"/>
      <c r="QIN16" s="2"/>
      <c r="QIO16" s="2"/>
      <c r="QIP16" s="2"/>
      <c r="QIQ16" s="2"/>
      <c r="QIR16" s="2"/>
      <c r="QIS16" s="2"/>
      <c r="QIT16" s="2"/>
      <c r="QIU16" s="2"/>
      <c r="QIV16" s="2"/>
      <c r="QIW16" s="2"/>
      <c r="QIX16" s="2"/>
      <c r="QIY16" s="2"/>
      <c r="QIZ16" s="2"/>
      <c r="QJA16" s="2"/>
      <c r="QJB16" s="2"/>
      <c r="QJC16" s="2"/>
      <c r="QJD16" s="2"/>
      <c r="QJE16" s="2"/>
      <c r="QJF16" s="2"/>
      <c r="QJG16" s="2"/>
      <c r="QJH16" s="2"/>
      <c r="QJI16" s="2"/>
      <c r="QJJ16" s="2"/>
      <c r="QJK16" s="2"/>
      <c r="QJL16" s="2"/>
      <c r="QJM16" s="2"/>
      <c r="QJN16" s="2"/>
      <c r="QJO16" s="2"/>
      <c r="QJP16" s="2"/>
      <c r="QJQ16" s="2"/>
      <c r="QJR16" s="2"/>
      <c r="QJS16" s="2"/>
      <c r="QJT16" s="2"/>
      <c r="QJU16" s="2"/>
      <c r="QJV16" s="2"/>
      <c r="QJW16" s="2"/>
      <c r="QJX16" s="2"/>
      <c r="QJY16" s="2"/>
      <c r="QJZ16" s="2"/>
      <c r="QKA16" s="2"/>
      <c r="QKB16" s="2"/>
      <c r="QKC16" s="2"/>
      <c r="QKD16" s="2"/>
      <c r="QKE16" s="2"/>
      <c r="QKF16" s="2"/>
      <c r="QKG16" s="2"/>
      <c r="QKH16" s="2"/>
      <c r="QKI16" s="2"/>
      <c r="QKJ16" s="2"/>
      <c r="QKK16" s="2"/>
      <c r="QKL16" s="2"/>
      <c r="QKM16" s="2"/>
      <c r="QKN16" s="2"/>
      <c r="QKO16" s="2"/>
      <c r="QKP16" s="2"/>
      <c r="QKQ16" s="2"/>
      <c r="QKR16" s="2"/>
      <c r="QKS16" s="2"/>
      <c r="QKT16" s="2"/>
      <c r="QKU16" s="2"/>
      <c r="QKV16" s="2"/>
      <c r="QKW16" s="2"/>
      <c r="QKX16" s="2"/>
      <c r="QKY16" s="2"/>
      <c r="QKZ16" s="2"/>
      <c r="QLA16" s="2"/>
      <c r="QLB16" s="2"/>
      <c r="QLC16" s="2"/>
      <c r="QLD16" s="2"/>
      <c r="QLE16" s="2"/>
      <c r="QLF16" s="2"/>
      <c r="QLG16" s="2"/>
      <c r="QLH16" s="2"/>
      <c r="QLI16" s="2"/>
      <c r="QLJ16" s="2"/>
      <c r="QLK16" s="2"/>
      <c r="QLL16" s="2"/>
      <c r="QLM16" s="2"/>
      <c r="QLN16" s="2"/>
      <c r="QLO16" s="2"/>
      <c r="QLP16" s="2"/>
      <c r="QLQ16" s="2"/>
      <c r="QLR16" s="2"/>
      <c r="QLS16" s="2"/>
      <c r="QLT16" s="2"/>
      <c r="QLU16" s="2"/>
      <c r="QLV16" s="2"/>
      <c r="QLW16" s="2"/>
      <c r="QLX16" s="2"/>
      <c r="QLY16" s="2"/>
      <c r="QLZ16" s="2"/>
      <c r="QMA16" s="2"/>
      <c r="QMB16" s="2"/>
      <c r="QMC16" s="2"/>
      <c r="QMD16" s="2"/>
      <c r="QME16" s="2"/>
      <c r="QMF16" s="2"/>
      <c r="QMG16" s="2"/>
      <c r="QMH16" s="2"/>
      <c r="QMI16" s="2"/>
      <c r="QMJ16" s="2"/>
      <c r="QMK16" s="2"/>
      <c r="QML16" s="2"/>
      <c r="QMM16" s="2"/>
      <c r="QMN16" s="2"/>
      <c r="QMO16" s="2"/>
      <c r="QMP16" s="2"/>
      <c r="QMQ16" s="2"/>
      <c r="QMR16" s="2"/>
      <c r="QMS16" s="2"/>
      <c r="QMT16" s="2"/>
      <c r="QMU16" s="2"/>
      <c r="QMV16" s="2"/>
      <c r="QMW16" s="2"/>
      <c r="QMX16" s="2"/>
      <c r="QMY16" s="2"/>
      <c r="QMZ16" s="2"/>
      <c r="QNA16" s="2"/>
      <c r="QNB16" s="2"/>
      <c r="QNC16" s="2"/>
      <c r="QND16" s="2"/>
      <c r="QNE16" s="2"/>
      <c r="QNF16" s="2"/>
      <c r="QNG16" s="2"/>
      <c r="QNH16" s="2"/>
      <c r="QNI16" s="2"/>
      <c r="QNJ16" s="2"/>
      <c r="QNK16" s="2"/>
      <c r="QNL16" s="2"/>
      <c r="QNM16" s="2"/>
      <c r="QNN16" s="2"/>
      <c r="QNO16" s="2"/>
      <c r="QNP16" s="2"/>
      <c r="QNQ16" s="2"/>
      <c r="QNR16" s="2"/>
      <c r="QNS16" s="2"/>
      <c r="QNT16" s="2"/>
      <c r="QNU16" s="2"/>
      <c r="QNV16" s="2"/>
      <c r="QNW16" s="2"/>
      <c r="QNX16" s="2"/>
      <c r="QNY16" s="2"/>
      <c r="QNZ16" s="2"/>
      <c r="QOA16" s="2"/>
      <c r="QOB16" s="2"/>
      <c r="QOC16" s="2"/>
      <c r="QOD16" s="2"/>
      <c r="QOE16" s="2"/>
      <c r="QOF16" s="2"/>
      <c r="QOG16" s="2"/>
      <c r="QOH16" s="2"/>
      <c r="QOI16" s="2"/>
      <c r="QOJ16" s="2"/>
      <c r="QOK16" s="2"/>
      <c r="QOL16" s="2"/>
      <c r="QOM16" s="2"/>
      <c r="QON16" s="2"/>
      <c r="QOO16" s="2"/>
      <c r="QOP16" s="2"/>
      <c r="QOQ16" s="2"/>
      <c r="QOR16" s="2"/>
      <c r="QOS16" s="2"/>
      <c r="QOT16" s="2"/>
      <c r="QOU16" s="2"/>
      <c r="QOV16" s="2"/>
      <c r="QOW16" s="2"/>
      <c r="QOX16" s="2"/>
      <c r="QOY16" s="2"/>
      <c r="QOZ16" s="2"/>
      <c r="QPA16" s="2"/>
      <c r="QPB16" s="2"/>
      <c r="QPC16" s="2"/>
      <c r="QPD16" s="2"/>
      <c r="QPE16" s="2"/>
      <c r="QPF16" s="2"/>
      <c r="QPG16" s="2"/>
      <c r="QPH16" s="2"/>
      <c r="QPI16" s="2"/>
      <c r="QPJ16" s="2"/>
      <c r="QPK16" s="2"/>
      <c r="QPL16" s="2"/>
      <c r="QPM16" s="2"/>
      <c r="QPN16" s="2"/>
      <c r="QPO16" s="2"/>
      <c r="QPP16" s="2"/>
      <c r="QPQ16" s="2"/>
      <c r="QPR16" s="2"/>
      <c r="QPS16" s="2"/>
      <c r="QPT16" s="2"/>
      <c r="QPU16" s="2"/>
      <c r="QPV16" s="2"/>
      <c r="QPW16" s="2"/>
      <c r="QPX16" s="2"/>
      <c r="QPY16" s="2"/>
      <c r="QPZ16" s="2"/>
      <c r="QQA16" s="2"/>
      <c r="QQB16" s="2"/>
      <c r="QQC16" s="2"/>
      <c r="QQD16" s="2"/>
      <c r="QQE16" s="2"/>
      <c r="QQF16" s="2"/>
      <c r="QQG16" s="2"/>
      <c r="QQH16" s="2"/>
      <c r="QQI16" s="2"/>
      <c r="QQJ16" s="2"/>
      <c r="QQK16" s="2"/>
      <c r="QQL16" s="2"/>
      <c r="QQM16" s="2"/>
      <c r="QQN16" s="2"/>
      <c r="QQO16" s="2"/>
      <c r="QQP16" s="2"/>
      <c r="QQQ16" s="2"/>
      <c r="QQR16" s="2"/>
      <c r="QQS16" s="2"/>
      <c r="QQT16" s="2"/>
      <c r="QQU16" s="2"/>
      <c r="QQV16" s="2"/>
      <c r="QQW16" s="2"/>
      <c r="QQX16" s="2"/>
      <c r="QQY16" s="2"/>
      <c r="QQZ16" s="2"/>
      <c r="QRA16" s="2"/>
      <c r="QRB16" s="2"/>
      <c r="QRC16" s="2"/>
      <c r="QRD16" s="2"/>
      <c r="QRE16" s="2"/>
      <c r="QRF16" s="2"/>
      <c r="QRG16" s="2"/>
      <c r="QRH16" s="2"/>
      <c r="QRI16" s="2"/>
      <c r="QRJ16" s="2"/>
      <c r="QRK16" s="2"/>
      <c r="QRL16" s="2"/>
      <c r="QRM16" s="2"/>
      <c r="QRN16" s="2"/>
      <c r="QRO16" s="2"/>
      <c r="QRP16" s="2"/>
      <c r="QRQ16" s="2"/>
      <c r="QRR16" s="2"/>
      <c r="QRS16" s="2"/>
      <c r="QRT16" s="2"/>
      <c r="QRU16" s="2"/>
      <c r="QRV16" s="2"/>
      <c r="QRW16" s="2"/>
      <c r="QRX16" s="2"/>
      <c r="QRY16" s="2"/>
      <c r="QRZ16" s="2"/>
      <c r="QSA16" s="2"/>
      <c r="QSB16" s="2"/>
      <c r="QSC16" s="2"/>
      <c r="QSD16" s="2"/>
      <c r="QSE16" s="2"/>
      <c r="QSF16" s="2"/>
      <c r="QSG16" s="2"/>
      <c r="QSH16" s="2"/>
      <c r="QSI16" s="2"/>
      <c r="QSJ16" s="2"/>
      <c r="QSK16" s="2"/>
      <c r="QSL16" s="2"/>
      <c r="QSM16" s="2"/>
      <c r="QSN16" s="2"/>
      <c r="QSO16" s="2"/>
      <c r="QSP16" s="2"/>
      <c r="QSQ16" s="2"/>
      <c r="QSR16" s="2"/>
      <c r="QSS16" s="2"/>
      <c r="QST16" s="2"/>
      <c r="QSU16" s="2"/>
      <c r="QSV16" s="2"/>
      <c r="QSW16" s="2"/>
      <c r="QSX16" s="2"/>
      <c r="QSY16" s="2"/>
      <c r="QSZ16" s="2"/>
      <c r="QTA16" s="2"/>
      <c r="QTB16" s="2"/>
      <c r="QTC16" s="2"/>
      <c r="QTD16" s="2"/>
      <c r="QTE16" s="2"/>
      <c r="QTF16" s="2"/>
      <c r="QTG16" s="2"/>
      <c r="QTH16" s="2"/>
      <c r="QTI16" s="2"/>
      <c r="QTJ16" s="2"/>
      <c r="QTK16" s="2"/>
      <c r="QTL16" s="2"/>
      <c r="QTM16" s="2"/>
      <c r="QTN16" s="2"/>
      <c r="QTO16" s="2"/>
      <c r="QTP16" s="2"/>
      <c r="QTQ16" s="2"/>
      <c r="QTR16" s="2"/>
      <c r="QTS16" s="2"/>
      <c r="QTT16" s="2"/>
      <c r="QTU16" s="2"/>
      <c r="QTV16" s="2"/>
      <c r="QTW16" s="2"/>
      <c r="QTX16" s="2"/>
      <c r="QTY16" s="2"/>
      <c r="QTZ16" s="2"/>
      <c r="QUA16" s="2"/>
      <c r="QUB16" s="2"/>
      <c r="QUC16" s="2"/>
      <c r="QUD16" s="2"/>
      <c r="QUE16" s="2"/>
      <c r="QUF16" s="2"/>
      <c r="QUG16" s="2"/>
      <c r="QUH16" s="2"/>
      <c r="QUI16" s="2"/>
      <c r="QUJ16" s="2"/>
      <c r="QUK16" s="2"/>
      <c r="QUL16" s="2"/>
      <c r="QUM16" s="2"/>
      <c r="QUN16" s="2"/>
      <c r="QUO16" s="2"/>
      <c r="QUP16" s="2"/>
      <c r="QUQ16" s="2"/>
      <c r="QUR16" s="2"/>
      <c r="QUS16" s="2"/>
      <c r="QUT16" s="2"/>
      <c r="QUU16" s="2"/>
      <c r="QUV16" s="2"/>
      <c r="QUW16" s="2"/>
      <c r="QUX16" s="2"/>
      <c r="QUY16" s="2"/>
      <c r="QUZ16" s="2"/>
      <c r="QVA16" s="2"/>
      <c r="QVB16" s="2"/>
      <c r="QVC16" s="2"/>
      <c r="QVD16" s="2"/>
      <c r="QVE16" s="2"/>
      <c r="QVF16" s="2"/>
      <c r="QVG16" s="2"/>
      <c r="QVH16" s="2"/>
      <c r="QVI16" s="2"/>
      <c r="QVJ16" s="2"/>
      <c r="QVK16" s="2"/>
      <c r="QVL16" s="2"/>
      <c r="QVM16" s="2"/>
      <c r="QVN16" s="2"/>
      <c r="QVO16" s="2"/>
      <c r="QVP16" s="2"/>
      <c r="QVQ16" s="2"/>
      <c r="QVR16" s="2"/>
      <c r="QVS16" s="2"/>
      <c r="QVT16" s="2"/>
      <c r="QVU16" s="2"/>
      <c r="QVV16" s="2"/>
      <c r="QVW16" s="2"/>
      <c r="QVX16" s="2"/>
      <c r="QVY16" s="2"/>
      <c r="QVZ16" s="2"/>
      <c r="QWA16" s="2"/>
      <c r="QWB16" s="2"/>
      <c r="QWC16" s="2"/>
      <c r="QWD16" s="2"/>
      <c r="QWE16" s="2"/>
      <c r="QWF16" s="2"/>
      <c r="QWG16" s="2"/>
      <c r="QWH16" s="2"/>
      <c r="QWI16" s="2"/>
      <c r="QWJ16" s="2"/>
      <c r="QWK16" s="2"/>
      <c r="QWL16" s="2"/>
      <c r="QWM16" s="2"/>
      <c r="QWN16" s="2"/>
      <c r="QWO16" s="2"/>
      <c r="QWP16" s="2"/>
      <c r="QWQ16" s="2"/>
      <c r="QWR16" s="2"/>
      <c r="QWS16" s="2"/>
      <c r="QWT16" s="2"/>
      <c r="QWU16" s="2"/>
      <c r="QWV16" s="2"/>
      <c r="QWW16" s="2"/>
      <c r="QWX16" s="2"/>
      <c r="QWY16" s="2"/>
      <c r="QWZ16" s="2"/>
      <c r="QXA16" s="2"/>
      <c r="QXB16" s="2"/>
      <c r="QXC16" s="2"/>
      <c r="QXD16" s="2"/>
      <c r="QXE16" s="2"/>
      <c r="QXF16" s="2"/>
      <c r="QXG16" s="2"/>
      <c r="QXH16" s="2"/>
      <c r="QXI16" s="2"/>
      <c r="QXJ16" s="2"/>
      <c r="QXK16" s="2"/>
      <c r="QXL16" s="2"/>
      <c r="QXM16" s="2"/>
      <c r="QXN16" s="2"/>
      <c r="QXO16" s="2"/>
      <c r="QXP16" s="2"/>
      <c r="QXQ16" s="2"/>
      <c r="QXR16" s="2"/>
      <c r="QXS16" s="2"/>
      <c r="QXT16" s="2"/>
      <c r="QXU16" s="2"/>
      <c r="QXV16" s="2"/>
      <c r="QXW16" s="2"/>
      <c r="QXX16" s="2"/>
      <c r="QXY16" s="2"/>
      <c r="QXZ16" s="2"/>
      <c r="QYA16" s="2"/>
      <c r="QYB16" s="2"/>
      <c r="QYC16" s="2"/>
      <c r="QYD16" s="2"/>
      <c r="QYE16" s="2"/>
      <c r="QYF16" s="2"/>
      <c r="QYG16" s="2"/>
      <c r="QYH16" s="2"/>
      <c r="QYI16" s="2"/>
      <c r="QYJ16" s="2"/>
      <c r="QYK16" s="2"/>
      <c r="QYL16" s="2"/>
      <c r="QYM16" s="2"/>
      <c r="QYN16" s="2"/>
      <c r="QYO16" s="2"/>
      <c r="QYP16" s="2"/>
      <c r="QYQ16" s="2"/>
      <c r="QYR16" s="2"/>
      <c r="QYS16" s="2"/>
      <c r="QYT16" s="2"/>
      <c r="QYU16" s="2"/>
      <c r="QYV16" s="2"/>
      <c r="QYW16" s="2"/>
      <c r="QYX16" s="2"/>
      <c r="QYY16" s="2"/>
      <c r="QYZ16" s="2"/>
      <c r="QZA16" s="2"/>
      <c r="QZB16" s="2"/>
      <c r="QZC16" s="2"/>
      <c r="QZD16" s="2"/>
      <c r="QZE16" s="2"/>
      <c r="QZF16" s="2"/>
      <c r="QZG16" s="2"/>
      <c r="QZH16" s="2"/>
      <c r="QZI16" s="2"/>
      <c r="QZJ16" s="2"/>
      <c r="QZK16" s="2"/>
      <c r="QZL16" s="2"/>
      <c r="QZM16" s="2"/>
      <c r="QZN16" s="2"/>
      <c r="QZO16" s="2"/>
      <c r="QZP16" s="2"/>
      <c r="QZQ16" s="2"/>
      <c r="QZR16" s="2"/>
      <c r="QZS16" s="2"/>
      <c r="QZT16" s="2"/>
      <c r="QZU16" s="2"/>
      <c r="QZV16" s="2"/>
      <c r="QZW16" s="2"/>
      <c r="QZX16" s="2"/>
      <c r="QZY16" s="2"/>
      <c r="QZZ16" s="2"/>
      <c r="RAA16" s="2"/>
      <c r="RAB16" s="2"/>
      <c r="RAC16" s="2"/>
      <c r="RAD16" s="2"/>
      <c r="RAE16" s="2"/>
      <c r="RAF16" s="2"/>
      <c r="RAG16" s="2"/>
      <c r="RAH16" s="2"/>
      <c r="RAI16" s="2"/>
      <c r="RAJ16" s="2"/>
      <c r="RAK16" s="2"/>
      <c r="RAL16" s="2"/>
      <c r="RAM16" s="2"/>
      <c r="RAN16" s="2"/>
      <c r="RAO16" s="2"/>
      <c r="RAP16" s="2"/>
      <c r="RAQ16" s="2"/>
      <c r="RAR16" s="2"/>
      <c r="RAS16" s="2"/>
      <c r="RAT16" s="2"/>
      <c r="RAU16" s="2"/>
      <c r="RAV16" s="2"/>
      <c r="RAW16" s="2"/>
      <c r="RAX16" s="2"/>
      <c r="RAY16" s="2"/>
      <c r="RAZ16" s="2"/>
      <c r="RBA16" s="2"/>
      <c r="RBB16" s="2"/>
      <c r="RBC16" s="2"/>
      <c r="RBD16" s="2"/>
      <c r="RBE16" s="2"/>
      <c r="RBF16" s="2"/>
      <c r="RBG16" s="2"/>
      <c r="RBH16" s="2"/>
      <c r="RBI16" s="2"/>
      <c r="RBJ16" s="2"/>
      <c r="RBK16" s="2"/>
      <c r="RBL16" s="2"/>
      <c r="RBM16" s="2"/>
      <c r="RBN16" s="2"/>
      <c r="RBO16" s="2"/>
      <c r="RBP16" s="2"/>
      <c r="RBQ16" s="2"/>
      <c r="RBR16" s="2"/>
      <c r="RBS16" s="2"/>
      <c r="RBT16" s="2"/>
      <c r="RBU16" s="2"/>
      <c r="RBV16" s="2"/>
      <c r="RBW16" s="2"/>
      <c r="RBX16" s="2"/>
      <c r="RBY16" s="2"/>
      <c r="RBZ16" s="2"/>
      <c r="RCA16" s="2"/>
      <c r="RCB16" s="2"/>
      <c r="RCC16" s="2"/>
      <c r="RCD16" s="2"/>
      <c r="RCE16" s="2"/>
      <c r="RCF16" s="2"/>
      <c r="RCG16" s="2"/>
      <c r="RCH16" s="2"/>
      <c r="RCI16" s="2"/>
      <c r="RCJ16" s="2"/>
      <c r="RCK16" s="2"/>
      <c r="RCL16" s="2"/>
      <c r="RCM16" s="2"/>
      <c r="RCN16" s="2"/>
      <c r="RCO16" s="2"/>
      <c r="RCP16" s="2"/>
      <c r="RCQ16" s="2"/>
      <c r="RCR16" s="2"/>
      <c r="RCS16" s="2"/>
      <c r="RCT16" s="2"/>
      <c r="RCU16" s="2"/>
      <c r="RCV16" s="2"/>
      <c r="RCW16" s="2"/>
      <c r="RCX16" s="2"/>
      <c r="RCY16" s="2"/>
      <c r="RCZ16" s="2"/>
      <c r="RDA16" s="2"/>
      <c r="RDB16" s="2"/>
      <c r="RDC16" s="2"/>
      <c r="RDD16" s="2"/>
      <c r="RDE16" s="2"/>
      <c r="RDF16" s="2"/>
      <c r="RDG16" s="2"/>
      <c r="RDH16" s="2"/>
      <c r="RDI16" s="2"/>
      <c r="RDJ16" s="2"/>
      <c r="RDK16" s="2"/>
      <c r="RDL16" s="2"/>
      <c r="RDM16" s="2"/>
      <c r="RDN16" s="2"/>
      <c r="RDO16" s="2"/>
      <c r="RDP16" s="2"/>
      <c r="RDQ16" s="2"/>
      <c r="RDR16" s="2"/>
      <c r="RDS16" s="2"/>
      <c r="RDT16" s="2"/>
      <c r="RDU16" s="2"/>
      <c r="RDV16" s="2"/>
      <c r="RDW16" s="2"/>
      <c r="RDX16" s="2"/>
      <c r="RDY16" s="2"/>
      <c r="RDZ16" s="2"/>
      <c r="REA16" s="2"/>
      <c r="REB16" s="2"/>
      <c r="REC16" s="2"/>
      <c r="RED16" s="2"/>
      <c r="REE16" s="2"/>
      <c r="REF16" s="2"/>
      <c r="REG16" s="2"/>
      <c r="REH16" s="2"/>
      <c r="REI16" s="2"/>
      <c r="REJ16" s="2"/>
      <c r="REK16" s="2"/>
      <c r="REL16" s="2"/>
      <c r="REM16" s="2"/>
      <c r="REN16" s="2"/>
      <c r="REO16" s="2"/>
      <c r="REP16" s="2"/>
      <c r="REQ16" s="2"/>
      <c r="RER16" s="2"/>
      <c r="RES16" s="2"/>
      <c r="RET16" s="2"/>
      <c r="REU16" s="2"/>
      <c r="REV16" s="2"/>
      <c r="REW16" s="2"/>
      <c r="REX16" s="2"/>
      <c r="REY16" s="2"/>
      <c r="REZ16" s="2"/>
      <c r="RFA16" s="2"/>
      <c r="RFB16" s="2"/>
      <c r="RFC16" s="2"/>
      <c r="RFD16" s="2"/>
      <c r="RFE16" s="2"/>
      <c r="RFF16" s="2"/>
      <c r="RFG16" s="2"/>
      <c r="RFH16" s="2"/>
      <c r="RFI16" s="2"/>
      <c r="RFJ16" s="2"/>
      <c r="RFK16" s="2"/>
      <c r="RFL16" s="2"/>
      <c r="RFM16" s="2"/>
      <c r="RFN16" s="2"/>
      <c r="RFO16" s="2"/>
      <c r="RFP16" s="2"/>
      <c r="RFQ16" s="2"/>
      <c r="RFR16" s="2"/>
      <c r="RFS16" s="2"/>
      <c r="RFT16" s="2"/>
      <c r="RFU16" s="2"/>
      <c r="RFV16" s="2"/>
      <c r="RFW16" s="2"/>
      <c r="RFX16" s="2"/>
      <c r="RFY16" s="2"/>
      <c r="RFZ16" s="2"/>
      <c r="RGA16" s="2"/>
      <c r="RGB16" s="2"/>
      <c r="RGC16" s="2"/>
      <c r="RGD16" s="2"/>
      <c r="RGE16" s="2"/>
      <c r="RGF16" s="2"/>
      <c r="RGG16" s="2"/>
      <c r="RGH16" s="2"/>
      <c r="RGI16" s="2"/>
      <c r="RGJ16" s="2"/>
      <c r="RGK16" s="2"/>
      <c r="RGL16" s="2"/>
      <c r="RGM16" s="2"/>
      <c r="RGN16" s="2"/>
      <c r="RGO16" s="2"/>
      <c r="RGP16" s="2"/>
      <c r="RGQ16" s="2"/>
      <c r="RGR16" s="2"/>
      <c r="RGS16" s="2"/>
      <c r="RGT16" s="2"/>
      <c r="RGU16" s="2"/>
      <c r="RGV16" s="2"/>
      <c r="RGW16" s="2"/>
      <c r="RGX16" s="2"/>
      <c r="RGY16" s="2"/>
      <c r="RGZ16" s="2"/>
      <c r="RHA16" s="2"/>
      <c r="RHB16" s="2"/>
      <c r="RHC16" s="2"/>
      <c r="RHD16" s="2"/>
      <c r="RHE16" s="2"/>
      <c r="RHF16" s="2"/>
      <c r="RHG16" s="2"/>
      <c r="RHH16" s="2"/>
      <c r="RHI16" s="2"/>
      <c r="RHJ16" s="2"/>
      <c r="RHK16" s="2"/>
      <c r="RHL16" s="2"/>
      <c r="RHM16" s="2"/>
      <c r="RHN16" s="2"/>
      <c r="RHO16" s="2"/>
      <c r="RHP16" s="2"/>
      <c r="RHQ16" s="2"/>
      <c r="RHR16" s="2"/>
      <c r="RHS16" s="2"/>
      <c r="RHT16" s="2"/>
      <c r="RHU16" s="2"/>
      <c r="RHV16" s="2"/>
      <c r="RHW16" s="2"/>
      <c r="RHX16" s="2"/>
      <c r="RHY16" s="2"/>
      <c r="RHZ16" s="2"/>
      <c r="RIA16" s="2"/>
      <c r="RIB16" s="2"/>
      <c r="RIC16" s="2"/>
      <c r="RID16" s="2"/>
      <c r="RIE16" s="2"/>
      <c r="RIF16" s="2"/>
      <c r="RIG16" s="2"/>
      <c r="RIH16" s="2"/>
      <c r="RII16" s="2"/>
      <c r="RIJ16" s="2"/>
      <c r="RIK16" s="2"/>
      <c r="RIL16" s="2"/>
      <c r="RIM16" s="2"/>
      <c r="RIN16" s="2"/>
      <c r="RIO16" s="2"/>
      <c r="RIP16" s="2"/>
      <c r="RIQ16" s="2"/>
      <c r="RIR16" s="2"/>
      <c r="RIS16" s="2"/>
      <c r="RIT16" s="2"/>
      <c r="RIU16" s="2"/>
      <c r="RIV16" s="2"/>
      <c r="RIW16" s="2"/>
      <c r="RIX16" s="2"/>
      <c r="RIY16" s="2"/>
      <c r="RIZ16" s="2"/>
      <c r="RJA16" s="2"/>
      <c r="RJB16" s="2"/>
      <c r="RJC16" s="2"/>
      <c r="RJD16" s="2"/>
      <c r="RJE16" s="2"/>
      <c r="RJF16" s="2"/>
      <c r="RJG16" s="2"/>
      <c r="RJH16" s="2"/>
      <c r="RJI16" s="2"/>
      <c r="RJJ16" s="2"/>
      <c r="RJK16" s="2"/>
      <c r="RJL16" s="2"/>
      <c r="RJM16" s="2"/>
      <c r="RJN16" s="2"/>
      <c r="RJO16" s="2"/>
      <c r="RJP16" s="2"/>
      <c r="RJQ16" s="2"/>
      <c r="RJR16" s="2"/>
      <c r="RJS16" s="2"/>
      <c r="RJT16" s="2"/>
      <c r="RJU16" s="2"/>
      <c r="RJV16" s="2"/>
      <c r="RJW16" s="2"/>
      <c r="RJX16" s="2"/>
      <c r="RJY16" s="2"/>
      <c r="RJZ16" s="2"/>
      <c r="RKA16" s="2"/>
      <c r="RKB16" s="2"/>
      <c r="RKC16" s="2"/>
      <c r="RKD16" s="2"/>
      <c r="RKE16" s="2"/>
      <c r="RKF16" s="2"/>
      <c r="RKG16" s="2"/>
      <c r="RKH16" s="2"/>
      <c r="RKI16" s="2"/>
      <c r="RKJ16" s="2"/>
      <c r="RKK16" s="2"/>
      <c r="RKL16" s="2"/>
      <c r="RKM16" s="2"/>
      <c r="RKN16" s="2"/>
      <c r="RKO16" s="2"/>
      <c r="RKP16" s="2"/>
      <c r="RKQ16" s="2"/>
      <c r="RKR16" s="2"/>
      <c r="RKS16" s="2"/>
      <c r="RKT16" s="2"/>
      <c r="RKU16" s="2"/>
      <c r="RKV16" s="2"/>
      <c r="RKW16" s="2"/>
      <c r="RKX16" s="2"/>
      <c r="RKY16" s="2"/>
      <c r="RKZ16" s="2"/>
      <c r="RLA16" s="2"/>
      <c r="RLB16" s="2"/>
      <c r="RLC16" s="2"/>
      <c r="RLD16" s="2"/>
      <c r="RLE16" s="2"/>
      <c r="RLF16" s="2"/>
      <c r="RLG16" s="2"/>
      <c r="RLH16" s="2"/>
      <c r="RLI16" s="2"/>
      <c r="RLJ16" s="2"/>
      <c r="RLK16" s="2"/>
      <c r="RLL16" s="2"/>
      <c r="RLM16" s="2"/>
      <c r="RLN16" s="2"/>
      <c r="RLO16" s="2"/>
      <c r="RLP16" s="2"/>
      <c r="RLQ16" s="2"/>
      <c r="RLR16" s="2"/>
      <c r="RLS16" s="2"/>
      <c r="RLT16" s="2"/>
      <c r="RLU16" s="2"/>
      <c r="RLV16" s="2"/>
      <c r="RLW16" s="2"/>
      <c r="RLX16" s="2"/>
      <c r="RLY16" s="2"/>
      <c r="RLZ16" s="2"/>
      <c r="RMA16" s="2"/>
      <c r="RMB16" s="2"/>
      <c r="RMC16" s="2"/>
      <c r="RMD16" s="2"/>
      <c r="RME16" s="2"/>
      <c r="RMF16" s="2"/>
      <c r="RMG16" s="2"/>
      <c r="RMH16" s="2"/>
      <c r="RMI16" s="2"/>
      <c r="RMJ16" s="2"/>
      <c r="RMK16" s="2"/>
      <c r="RML16" s="2"/>
      <c r="RMM16" s="2"/>
      <c r="RMN16" s="2"/>
      <c r="RMO16" s="2"/>
      <c r="RMP16" s="2"/>
      <c r="RMQ16" s="2"/>
      <c r="RMR16" s="2"/>
      <c r="RMS16" s="2"/>
      <c r="RMT16" s="2"/>
      <c r="RMU16" s="2"/>
      <c r="RMV16" s="2"/>
      <c r="RMW16" s="2"/>
      <c r="RMX16" s="2"/>
      <c r="RMY16" s="2"/>
      <c r="RMZ16" s="2"/>
      <c r="RNA16" s="2"/>
      <c r="RNB16" s="2"/>
      <c r="RNC16" s="2"/>
      <c r="RND16" s="2"/>
      <c r="RNE16" s="2"/>
      <c r="RNF16" s="2"/>
      <c r="RNG16" s="2"/>
      <c r="RNH16" s="2"/>
      <c r="RNI16" s="2"/>
      <c r="RNJ16" s="2"/>
      <c r="RNK16" s="2"/>
      <c r="RNL16" s="2"/>
      <c r="RNM16" s="2"/>
      <c r="RNN16" s="2"/>
      <c r="RNO16" s="2"/>
      <c r="RNP16" s="2"/>
      <c r="RNQ16" s="2"/>
      <c r="RNR16" s="2"/>
      <c r="RNS16" s="2"/>
      <c r="RNT16" s="2"/>
      <c r="RNU16" s="2"/>
      <c r="RNV16" s="2"/>
      <c r="RNW16" s="2"/>
      <c r="RNX16" s="2"/>
      <c r="RNY16" s="2"/>
      <c r="RNZ16" s="2"/>
      <c r="ROA16" s="2"/>
      <c r="ROB16" s="2"/>
      <c r="ROC16" s="2"/>
      <c r="ROD16" s="2"/>
      <c r="ROE16" s="2"/>
      <c r="ROF16" s="2"/>
      <c r="ROG16" s="2"/>
      <c r="ROH16" s="2"/>
      <c r="ROI16" s="2"/>
      <c r="ROJ16" s="2"/>
      <c r="ROK16" s="2"/>
      <c r="ROL16" s="2"/>
      <c r="ROM16" s="2"/>
      <c r="RON16" s="2"/>
      <c r="ROO16" s="2"/>
      <c r="ROP16" s="2"/>
      <c r="ROQ16" s="2"/>
      <c r="ROR16" s="2"/>
      <c r="ROS16" s="2"/>
      <c r="ROT16" s="2"/>
      <c r="ROU16" s="2"/>
      <c r="ROV16" s="2"/>
      <c r="ROW16" s="2"/>
      <c r="ROX16" s="2"/>
      <c r="ROY16" s="2"/>
      <c r="ROZ16" s="2"/>
      <c r="RPA16" s="2"/>
      <c r="RPB16" s="2"/>
      <c r="RPC16" s="2"/>
      <c r="RPD16" s="2"/>
      <c r="RPE16" s="2"/>
      <c r="RPF16" s="2"/>
      <c r="RPG16" s="2"/>
      <c r="RPH16" s="2"/>
      <c r="RPI16" s="2"/>
      <c r="RPJ16" s="2"/>
      <c r="RPK16" s="2"/>
      <c r="RPL16" s="2"/>
      <c r="RPM16" s="2"/>
      <c r="RPN16" s="2"/>
      <c r="RPO16" s="2"/>
      <c r="RPP16" s="2"/>
      <c r="RPQ16" s="2"/>
      <c r="RPR16" s="2"/>
      <c r="RPS16" s="2"/>
      <c r="RPT16" s="2"/>
      <c r="RPU16" s="2"/>
      <c r="RPV16" s="2"/>
      <c r="RPW16" s="2"/>
      <c r="RPX16" s="2"/>
      <c r="RPY16" s="2"/>
      <c r="RPZ16" s="2"/>
      <c r="RQA16" s="2"/>
      <c r="RQB16" s="2"/>
      <c r="RQC16" s="2"/>
      <c r="RQD16" s="2"/>
      <c r="RQE16" s="2"/>
      <c r="RQF16" s="2"/>
      <c r="RQG16" s="2"/>
      <c r="RQH16" s="2"/>
      <c r="RQI16" s="2"/>
      <c r="RQJ16" s="2"/>
      <c r="RQK16" s="2"/>
      <c r="RQL16" s="2"/>
      <c r="RQM16" s="2"/>
      <c r="RQN16" s="2"/>
      <c r="RQO16" s="2"/>
      <c r="RQP16" s="2"/>
      <c r="RQQ16" s="2"/>
      <c r="RQR16" s="2"/>
      <c r="RQS16" s="2"/>
      <c r="RQT16" s="2"/>
      <c r="RQU16" s="2"/>
      <c r="RQV16" s="2"/>
      <c r="RQW16" s="2"/>
      <c r="RQX16" s="2"/>
      <c r="RQY16" s="2"/>
      <c r="RQZ16" s="2"/>
      <c r="RRA16" s="2"/>
      <c r="RRB16" s="2"/>
      <c r="RRC16" s="2"/>
      <c r="RRD16" s="2"/>
      <c r="RRE16" s="2"/>
      <c r="RRF16" s="2"/>
      <c r="RRG16" s="2"/>
      <c r="RRH16" s="2"/>
      <c r="RRI16" s="2"/>
      <c r="RRJ16" s="2"/>
      <c r="RRK16" s="2"/>
      <c r="RRL16" s="2"/>
      <c r="RRM16" s="2"/>
      <c r="RRN16" s="2"/>
      <c r="RRO16" s="2"/>
      <c r="RRP16" s="2"/>
      <c r="RRQ16" s="2"/>
      <c r="RRR16" s="2"/>
      <c r="RRS16" s="2"/>
      <c r="RRT16" s="2"/>
      <c r="RRU16" s="2"/>
      <c r="RRV16" s="2"/>
      <c r="RRW16" s="2"/>
      <c r="RRX16" s="2"/>
      <c r="RRY16" s="2"/>
      <c r="RRZ16" s="2"/>
      <c r="RSA16" s="2"/>
      <c r="RSB16" s="2"/>
      <c r="RSC16" s="2"/>
      <c r="RSD16" s="2"/>
      <c r="RSE16" s="2"/>
      <c r="RSF16" s="2"/>
      <c r="RSG16" s="2"/>
      <c r="RSH16" s="2"/>
      <c r="RSI16" s="2"/>
      <c r="RSJ16" s="2"/>
      <c r="RSK16" s="2"/>
      <c r="RSL16" s="2"/>
      <c r="RSM16" s="2"/>
      <c r="RSN16" s="2"/>
      <c r="RSO16" s="2"/>
      <c r="RSP16" s="2"/>
      <c r="RSQ16" s="2"/>
      <c r="RSR16" s="2"/>
      <c r="RSS16" s="2"/>
      <c r="RST16" s="2"/>
      <c r="RSU16" s="2"/>
      <c r="RSV16" s="2"/>
      <c r="RSW16" s="2"/>
      <c r="RSX16" s="2"/>
      <c r="RSY16" s="2"/>
      <c r="RSZ16" s="2"/>
      <c r="RTA16" s="2"/>
      <c r="RTB16" s="2"/>
      <c r="RTC16" s="2"/>
      <c r="RTD16" s="2"/>
      <c r="RTE16" s="2"/>
      <c r="RTF16" s="2"/>
      <c r="RTG16" s="2"/>
      <c r="RTH16" s="2"/>
      <c r="RTI16" s="2"/>
      <c r="RTJ16" s="2"/>
      <c r="RTK16" s="2"/>
      <c r="RTL16" s="2"/>
      <c r="RTM16" s="2"/>
      <c r="RTN16" s="2"/>
      <c r="RTO16" s="2"/>
      <c r="RTP16" s="2"/>
      <c r="RTQ16" s="2"/>
      <c r="RTR16" s="2"/>
      <c r="RTS16" s="2"/>
      <c r="RTT16" s="2"/>
      <c r="RTU16" s="2"/>
      <c r="RTV16" s="2"/>
      <c r="RTW16" s="2"/>
      <c r="RTX16" s="2"/>
      <c r="RTY16" s="2"/>
      <c r="RTZ16" s="2"/>
      <c r="RUA16" s="2"/>
      <c r="RUB16" s="2"/>
      <c r="RUC16" s="2"/>
      <c r="RUD16" s="2"/>
      <c r="RUE16" s="2"/>
      <c r="RUF16" s="2"/>
      <c r="RUG16" s="2"/>
      <c r="RUH16" s="2"/>
      <c r="RUI16" s="2"/>
      <c r="RUJ16" s="2"/>
      <c r="RUK16" s="2"/>
      <c r="RUL16" s="2"/>
      <c r="RUM16" s="2"/>
      <c r="RUN16" s="2"/>
      <c r="RUO16" s="2"/>
      <c r="RUP16" s="2"/>
      <c r="RUQ16" s="2"/>
      <c r="RUR16" s="2"/>
      <c r="RUS16" s="2"/>
      <c r="RUT16" s="2"/>
      <c r="RUU16" s="2"/>
      <c r="RUV16" s="2"/>
      <c r="RUW16" s="2"/>
      <c r="RUX16" s="2"/>
      <c r="RUY16" s="2"/>
      <c r="RUZ16" s="2"/>
      <c r="RVA16" s="2"/>
      <c r="RVB16" s="2"/>
      <c r="RVC16" s="2"/>
      <c r="RVD16" s="2"/>
      <c r="RVE16" s="2"/>
      <c r="RVF16" s="2"/>
      <c r="RVG16" s="2"/>
      <c r="RVH16" s="2"/>
      <c r="RVI16" s="2"/>
      <c r="RVJ16" s="2"/>
      <c r="RVK16" s="2"/>
      <c r="RVL16" s="2"/>
      <c r="RVM16" s="2"/>
      <c r="RVN16" s="2"/>
      <c r="RVO16" s="2"/>
      <c r="RVP16" s="2"/>
      <c r="RVQ16" s="2"/>
      <c r="RVR16" s="2"/>
      <c r="RVS16" s="2"/>
      <c r="RVT16" s="2"/>
      <c r="RVU16" s="2"/>
      <c r="RVV16" s="2"/>
      <c r="RVW16" s="2"/>
      <c r="RVX16" s="2"/>
      <c r="RVY16" s="2"/>
      <c r="RVZ16" s="2"/>
      <c r="RWA16" s="2"/>
      <c r="RWB16" s="2"/>
      <c r="RWC16" s="2"/>
      <c r="RWD16" s="2"/>
      <c r="RWE16" s="2"/>
      <c r="RWF16" s="2"/>
      <c r="RWG16" s="2"/>
      <c r="RWH16" s="2"/>
      <c r="RWI16" s="2"/>
      <c r="RWJ16" s="2"/>
      <c r="RWK16" s="2"/>
      <c r="RWL16" s="2"/>
      <c r="RWM16" s="2"/>
      <c r="RWN16" s="2"/>
      <c r="RWO16" s="2"/>
      <c r="RWP16" s="2"/>
      <c r="RWQ16" s="2"/>
      <c r="RWR16" s="2"/>
      <c r="RWS16" s="2"/>
      <c r="RWT16" s="2"/>
      <c r="RWU16" s="2"/>
      <c r="RWV16" s="2"/>
      <c r="RWW16" s="2"/>
      <c r="RWX16" s="2"/>
      <c r="RWY16" s="2"/>
      <c r="RWZ16" s="2"/>
      <c r="RXA16" s="2"/>
      <c r="RXB16" s="2"/>
      <c r="RXC16" s="2"/>
      <c r="RXD16" s="2"/>
      <c r="RXE16" s="2"/>
      <c r="RXF16" s="2"/>
      <c r="RXG16" s="2"/>
      <c r="RXH16" s="2"/>
      <c r="RXI16" s="2"/>
      <c r="RXJ16" s="2"/>
      <c r="RXK16" s="2"/>
      <c r="RXL16" s="2"/>
      <c r="RXM16" s="2"/>
      <c r="RXN16" s="2"/>
      <c r="RXO16" s="2"/>
      <c r="RXP16" s="2"/>
      <c r="RXQ16" s="2"/>
      <c r="RXR16" s="2"/>
      <c r="RXS16" s="2"/>
      <c r="RXT16" s="2"/>
      <c r="RXU16" s="2"/>
      <c r="RXV16" s="2"/>
      <c r="RXW16" s="2"/>
      <c r="RXX16" s="2"/>
      <c r="RXY16" s="2"/>
      <c r="RXZ16" s="2"/>
      <c r="RYA16" s="2"/>
      <c r="RYB16" s="2"/>
      <c r="RYC16" s="2"/>
      <c r="RYD16" s="2"/>
      <c r="RYE16" s="2"/>
      <c r="RYF16" s="2"/>
      <c r="RYG16" s="2"/>
      <c r="RYH16" s="2"/>
      <c r="RYI16" s="2"/>
      <c r="RYJ16" s="2"/>
      <c r="RYK16" s="2"/>
      <c r="RYL16" s="2"/>
      <c r="RYM16" s="2"/>
      <c r="RYN16" s="2"/>
      <c r="RYO16" s="2"/>
      <c r="RYP16" s="2"/>
      <c r="RYQ16" s="2"/>
      <c r="RYR16" s="2"/>
      <c r="RYS16" s="2"/>
      <c r="RYT16" s="2"/>
      <c r="RYU16" s="2"/>
      <c r="RYV16" s="2"/>
      <c r="RYW16" s="2"/>
      <c r="RYX16" s="2"/>
      <c r="RYY16" s="2"/>
      <c r="RYZ16" s="2"/>
      <c r="RZA16" s="2"/>
      <c r="RZB16" s="2"/>
      <c r="RZC16" s="2"/>
      <c r="RZD16" s="2"/>
      <c r="RZE16" s="2"/>
      <c r="RZF16" s="2"/>
      <c r="RZG16" s="2"/>
      <c r="RZH16" s="2"/>
      <c r="RZI16" s="2"/>
      <c r="RZJ16" s="2"/>
      <c r="RZK16" s="2"/>
      <c r="RZL16" s="2"/>
      <c r="RZM16" s="2"/>
      <c r="RZN16" s="2"/>
      <c r="RZO16" s="2"/>
      <c r="RZP16" s="2"/>
      <c r="RZQ16" s="2"/>
      <c r="RZR16" s="2"/>
      <c r="RZS16" s="2"/>
      <c r="RZT16" s="2"/>
      <c r="RZU16" s="2"/>
      <c r="RZV16" s="2"/>
      <c r="RZW16" s="2"/>
      <c r="RZX16" s="2"/>
      <c r="RZY16" s="2"/>
      <c r="RZZ16" s="2"/>
      <c r="SAA16" s="2"/>
      <c r="SAB16" s="2"/>
      <c r="SAC16" s="2"/>
      <c r="SAD16" s="2"/>
      <c r="SAE16" s="2"/>
      <c r="SAF16" s="2"/>
      <c r="SAG16" s="2"/>
      <c r="SAH16" s="2"/>
      <c r="SAI16" s="2"/>
      <c r="SAJ16" s="2"/>
      <c r="SAK16" s="2"/>
      <c r="SAL16" s="2"/>
      <c r="SAM16" s="2"/>
      <c r="SAN16" s="2"/>
      <c r="SAO16" s="2"/>
      <c r="SAP16" s="2"/>
      <c r="SAQ16" s="2"/>
      <c r="SAR16" s="2"/>
      <c r="SAS16" s="2"/>
      <c r="SAT16" s="2"/>
      <c r="SAU16" s="2"/>
      <c r="SAV16" s="2"/>
      <c r="SAW16" s="2"/>
      <c r="SAX16" s="2"/>
      <c r="SAY16" s="2"/>
      <c r="SAZ16" s="2"/>
      <c r="SBA16" s="2"/>
      <c r="SBB16" s="2"/>
      <c r="SBC16" s="2"/>
      <c r="SBD16" s="2"/>
      <c r="SBE16" s="2"/>
      <c r="SBF16" s="2"/>
      <c r="SBG16" s="2"/>
      <c r="SBH16" s="2"/>
      <c r="SBI16" s="2"/>
      <c r="SBJ16" s="2"/>
      <c r="SBK16" s="2"/>
      <c r="SBL16" s="2"/>
      <c r="SBM16" s="2"/>
      <c r="SBN16" s="2"/>
      <c r="SBO16" s="2"/>
      <c r="SBP16" s="2"/>
      <c r="SBQ16" s="2"/>
      <c r="SBR16" s="2"/>
      <c r="SBS16" s="2"/>
      <c r="SBT16" s="2"/>
      <c r="SBU16" s="2"/>
      <c r="SBV16" s="2"/>
      <c r="SBW16" s="2"/>
      <c r="SBX16" s="2"/>
      <c r="SBY16" s="2"/>
      <c r="SBZ16" s="2"/>
      <c r="SCA16" s="2"/>
      <c r="SCB16" s="2"/>
      <c r="SCC16" s="2"/>
      <c r="SCD16" s="2"/>
      <c r="SCE16" s="2"/>
      <c r="SCF16" s="2"/>
      <c r="SCG16" s="2"/>
      <c r="SCH16" s="2"/>
      <c r="SCI16" s="2"/>
      <c r="SCJ16" s="2"/>
      <c r="SCK16" s="2"/>
      <c r="SCL16" s="2"/>
      <c r="SCM16" s="2"/>
      <c r="SCN16" s="2"/>
      <c r="SCO16" s="2"/>
      <c r="SCP16" s="2"/>
      <c r="SCQ16" s="2"/>
      <c r="SCR16" s="2"/>
      <c r="SCS16" s="2"/>
      <c r="SCT16" s="2"/>
      <c r="SCU16" s="2"/>
      <c r="SCV16" s="2"/>
      <c r="SCW16" s="2"/>
      <c r="SCX16" s="2"/>
      <c r="SCY16" s="2"/>
      <c r="SCZ16" s="2"/>
      <c r="SDA16" s="2"/>
      <c r="SDB16" s="2"/>
      <c r="SDC16" s="2"/>
      <c r="SDD16" s="2"/>
      <c r="SDE16" s="2"/>
      <c r="SDF16" s="2"/>
      <c r="SDG16" s="2"/>
      <c r="SDH16" s="2"/>
      <c r="SDI16" s="2"/>
      <c r="SDJ16" s="2"/>
      <c r="SDK16" s="2"/>
      <c r="SDL16" s="2"/>
      <c r="SDM16" s="2"/>
      <c r="SDN16" s="2"/>
      <c r="SDO16" s="2"/>
      <c r="SDP16" s="2"/>
      <c r="SDQ16" s="2"/>
      <c r="SDR16" s="2"/>
      <c r="SDS16" s="2"/>
      <c r="SDT16" s="2"/>
      <c r="SDU16" s="2"/>
      <c r="SDV16" s="2"/>
      <c r="SDW16" s="2"/>
      <c r="SDX16" s="2"/>
      <c r="SDY16" s="2"/>
      <c r="SDZ16" s="2"/>
      <c r="SEA16" s="2"/>
      <c r="SEB16" s="2"/>
      <c r="SEC16" s="2"/>
      <c r="SED16" s="2"/>
      <c r="SEE16" s="2"/>
      <c r="SEF16" s="2"/>
      <c r="SEG16" s="2"/>
      <c r="SEH16" s="2"/>
      <c r="SEI16" s="2"/>
      <c r="SEJ16" s="2"/>
      <c r="SEK16" s="2"/>
      <c r="SEL16" s="2"/>
      <c r="SEM16" s="2"/>
      <c r="SEN16" s="2"/>
      <c r="SEO16" s="2"/>
      <c r="SEP16" s="2"/>
      <c r="SEQ16" s="2"/>
      <c r="SER16" s="2"/>
      <c r="SES16" s="2"/>
      <c r="SET16" s="2"/>
      <c r="SEU16" s="2"/>
      <c r="SEV16" s="2"/>
      <c r="SEW16" s="2"/>
      <c r="SEX16" s="2"/>
      <c r="SEY16" s="2"/>
      <c r="SEZ16" s="2"/>
      <c r="SFA16" s="2"/>
      <c r="SFB16" s="2"/>
      <c r="SFC16" s="2"/>
      <c r="SFD16" s="2"/>
      <c r="SFE16" s="2"/>
      <c r="SFF16" s="2"/>
      <c r="SFG16" s="2"/>
      <c r="SFH16" s="2"/>
      <c r="SFI16" s="2"/>
      <c r="SFJ16" s="2"/>
      <c r="SFK16" s="2"/>
      <c r="SFL16" s="2"/>
      <c r="SFM16" s="2"/>
      <c r="SFN16" s="2"/>
      <c r="SFO16" s="2"/>
      <c r="SFP16" s="2"/>
      <c r="SFQ16" s="2"/>
      <c r="SFR16" s="2"/>
      <c r="SFS16" s="2"/>
      <c r="SFT16" s="2"/>
      <c r="SFU16" s="2"/>
      <c r="SFV16" s="2"/>
      <c r="SFW16" s="2"/>
      <c r="SFX16" s="2"/>
      <c r="SFY16" s="2"/>
      <c r="SFZ16" s="2"/>
      <c r="SGA16" s="2"/>
      <c r="SGB16" s="2"/>
      <c r="SGC16" s="2"/>
      <c r="SGD16" s="2"/>
      <c r="SGE16" s="2"/>
      <c r="SGF16" s="2"/>
      <c r="SGG16" s="2"/>
      <c r="SGH16" s="2"/>
      <c r="SGI16" s="2"/>
      <c r="SGJ16" s="2"/>
      <c r="SGK16" s="2"/>
      <c r="SGL16" s="2"/>
      <c r="SGM16" s="2"/>
      <c r="SGN16" s="2"/>
      <c r="SGO16" s="2"/>
      <c r="SGP16" s="2"/>
      <c r="SGQ16" s="2"/>
      <c r="SGR16" s="2"/>
      <c r="SGS16" s="2"/>
      <c r="SGT16" s="2"/>
      <c r="SGU16" s="2"/>
      <c r="SGV16" s="2"/>
      <c r="SGW16" s="2"/>
      <c r="SGX16" s="2"/>
      <c r="SGY16" s="2"/>
      <c r="SGZ16" s="2"/>
      <c r="SHA16" s="2"/>
      <c r="SHB16" s="2"/>
      <c r="SHC16" s="2"/>
      <c r="SHD16" s="2"/>
      <c r="SHE16" s="2"/>
      <c r="SHF16" s="2"/>
      <c r="SHG16" s="2"/>
      <c r="SHH16" s="2"/>
      <c r="SHI16" s="2"/>
      <c r="SHJ16" s="2"/>
      <c r="SHK16" s="2"/>
      <c r="SHL16" s="2"/>
      <c r="SHM16" s="2"/>
      <c r="SHN16" s="2"/>
      <c r="SHO16" s="2"/>
      <c r="SHP16" s="2"/>
      <c r="SHQ16" s="2"/>
      <c r="SHR16" s="2"/>
      <c r="SHS16" s="2"/>
      <c r="SHT16" s="2"/>
      <c r="SHU16" s="2"/>
      <c r="SHV16" s="2"/>
      <c r="SHW16" s="2"/>
      <c r="SHX16" s="2"/>
      <c r="SHY16" s="2"/>
      <c r="SHZ16" s="2"/>
      <c r="SIA16" s="2"/>
      <c r="SIB16" s="2"/>
      <c r="SIC16" s="2"/>
      <c r="SID16" s="2"/>
      <c r="SIE16" s="2"/>
      <c r="SIF16" s="2"/>
      <c r="SIG16" s="2"/>
      <c r="SIH16" s="2"/>
      <c r="SII16" s="2"/>
      <c r="SIJ16" s="2"/>
      <c r="SIK16" s="2"/>
      <c r="SIL16" s="2"/>
      <c r="SIM16" s="2"/>
      <c r="SIN16" s="2"/>
      <c r="SIO16" s="2"/>
      <c r="SIP16" s="2"/>
      <c r="SIQ16" s="2"/>
      <c r="SIR16" s="2"/>
      <c r="SIS16" s="2"/>
      <c r="SIT16" s="2"/>
      <c r="SIU16" s="2"/>
      <c r="SIV16" s="2"/>
      <c r="SIW16" s="2"/>
      <c r="SIX16" s="2"/>
      <c r="SIY16" s="2"/>
      <c r="SIZ16" s="2"/>
      <c r="SJA16" s="2"/>
      <c r="SJB16" s="2"/>
      <c r="SJC16" s="2"/>
      <c r="SJD16" s="2"/>
      <c r="SJE16" s="2"/>
      <c r="SJF16" s="2"/>
      <c r="SJG16" s="2"/>
      <c r="SJH16" s="2"/>
      <c r="SJI16" s="2"/>
      <c r="SJJ16" s="2"/>
      <c r="SJK16" s="2"/>
      <c r="SJL16" s="2"/>
      <c r="SJM16" s="2"/>
      <c r="SJN16" s="2"/>
      <c r="SJO16" s="2"/>
      <c r="SJP16" s="2"/>
      <c r="SJQ16" s="2"/>
      <c r="SJR16" s="2"/>
      <c r="SJS16" s="2"/>
      <c r="SJT16" s="2"/>
      <c r="SJU16" s="2"/>
      <c r="SJV16" s="2"/>
      <c r="SJW16" s="2"/>
      <c r="SJX16" s="2"/>
      <c r="SJY16" s="2"/>
      <c r="SJZ16" s="2"/>
      <c r="SKA16" s="2"/>
      <c r="SKB16" s="2"/>
      <c r="SKC16" s="2"/>
      <c r="SKD16" s="2"/>
      <c r="SKE16" s="2"/>
      <c r="SKF16" s="2"/>
      <c r="SKG16" s="2"/>
      <c r="SKH16" s="2"/>
      <c r="SKI16" s="2"/>
      <c r="SKJ16" s="2"/>
      <c r="SKK16" s="2"/>
      <c r="SKL16" s="2"/>
      <c r="SKM16" s="2"/>
      <c r="SKN16" s="2"/>
      <c r="SKO16" s="2"/>
      <c r="SKP16" s="2"/>
      <c r="SKQ16" s="2"/>
      <c r="SKR16" s="2"/>
      <c r="SKS16" s="2"/>
      <c r="SKT16" s="2"/>
      <c r="SKU16" s="2"/>
      <c r="SKV16" s="2"/>
      <c r="SKW16" s="2"/>
      <c r="SKX16" s="2"/>
      <c r="SKY16" s="2"/>
      <c r="SKZ16" s="2"/>
      <c r="SLA16" s="2"/>
      <c r="SLB16" s="2"/>
      <c r="SLC16" s="2"/>
      <c r="SLD16" s="2"/>
      <c r="SLE16" s="2"/>
      <c r="SLF16" s="2"/>
      <c r="SLG16" s="2"/>
      <c r="SLH16" s="2"/>
      <c r="SLI16" s="2"/>
      <c r="SLJ16" s="2"/>
      <c r="SLK16" s="2"/>
      <c r="SLL16" s="2"/>
      <c r="SLM16" s="2"/>
      <c r="SLN16" s="2"/>
      <c r="SLO16" s="2"/>
      <c r="SLP16" s="2"/>
      <c r="SLQ16" s="2"/>
      <c r="SLR16" s="2"/>
      <c r="SLS16" s="2"/>
      <c r="SLT16" s="2"/>
      <c r="SLU16" s="2"/>
      <c r="SLV16" s="2"/>
      <c r="SLW16" s="2"/>
      <c r="SLX16" s="2"/>
      <c r="SLY16" s="2"/>
      <c r="SLZ16" s="2"/>
      <c r="SMA16" s="2"/>
      <c r="SMB16" s="2"/>
      <c r="SMC16" s="2"/>
      <c r="SMD16" s="2"/>
      <c r="SME16" s="2"/>
      <c r="SMF16" s="2"/>
      <c r="SMG16" s="2"/>
      <c r="SMH16" s="2"/>
      <c r="SMI16" s="2"/>
      <c r="SMJ16" s="2"/>
      <c r="SMK16" s="2"/>
      <c r="SML16" s="2"/>
      <c r="SMM16" s="2"/>
      <c r="SMN16" s="2"/>
      <c r="SMO16" s="2"/>
      <c r="SMP16" s="2"/>
      <c r="SMQ16" s="2"/>
      <c r="SMR16" s="2"/>
      <c r="SMS16" s="2"/>
      <c r="SMT16" s="2"/>
      <c r="SMU16" s="2"/>
      <c r="SMV16" s="2"/>
      <c r="SMW16" s="2"/>
      <c r="SMX16" s="2"/>
      <c r="SMY16" s="2"/>
      <c r="SMZ16" s="2"/>
      <c r="SNA16" s="2"/>
      <c r="SNB16" s="2"/>
      <c r="SNC16" s="2"/>
      <c r="SND16" s="2"/>
      <c r="SNE16" s="2"/>
      <c r="SNF16" s="2"/>
      <c r="SNG16" s="2"/>
      <c r="SNH16" s="2"/>
      <c r="SNI16" s="2"/>
      <c r="SNJ16" s="2"/>
      <c r="SNK16" s="2"/>
      <c r="SNL16" s="2"/>
      <c r="SNM16" s="2"/>
      <c r="SNN16" s="2"/>
      <c r="SNO16" s="2"/>
      <c r="SNP16" s="2"/>
      <c r="SNQ16" s="2"/>
      <c r="SNR16" s="2"/>
      <c r="SNS16" s="2"/>
      <c r="SNT16" s="2"/>
      <c r="SNU16" s="2"/>
      <c r="SNV16" s="2"/>
      <c r="SNW16" s="2"/>
      <c r="SNX16" s="2"/>
      <c r="SNY16" s="2"/>
      <c r="SNZ16" s="2"/>
      <c r="SOA16" s="2"/>
      <c r="SOB16" s="2"/>
      <c r="SOC16" s="2"/>
      <c r="SOD16" s="2"/>
      <c r="SOE16" s="2"/>
      <c r="SOF16" s="2"/>
      <c r="SOG16" s="2"/>
      <c r="SOH16" s="2"/>
      <c r="SOI16" s="2"/>
      <c r="SOJ16" s="2"/>
      <c r="SOK16" s="2"/>
      <c r="SOL16" s="2"/>
      <c r="SOM16" s="2"/>
      <c r="SON16" s="2"/>
      <c r="SOO16" s="2"/>
      <c r="SOP16" s="2"/>
      <c r="SOQ16" s="2"/>
      <c r="SOR16" s="2"/>
      <c r="SOS16" s="2"/>
      <c r="SOT16" s="2"/>
      <c r="SOU16" s="2"/>
      <c r="SOV16" s="2"/>
      <c r="SOW16" s="2"/>
      <c r="SOX16" s="2"/>
      <c r="SOY16" s="2"/>
      <c r="SOZ16" s="2"/>
      <c r="SPA16" s="2"/>
      <c r="SPB16" s="2"/>
      <c r="SPC16" s="2"/>
      <c r="SPD16" s="2"/>
      <c r="SPE16" s="2"/>
      <c r="SPF16" s="2"/>
      <c r="SPG16" s="2"/>
      <c r="SPH16" s="2"/>
      <c r="SPI16" s="2"/>
      <c r="SPJ16" s="2"/>
      <c r="SPK16" s="2"/>
      <c r="SPL16" s="2"/>
      <c r="SPM16" s="2"/>
      <c r="SPN16" s="2"/>
      <c r="SPO16" s="2"/>
      <c r="SPP16" s="2"/>
      <c r="SPQ16" s="2"/>
      <c r="SPR16" s="2"/>
      <c r="SPS16" s="2"/>
      <c r="SPT16" s="2"/>
      <c r="SPU16" s="2"/>
      <c r="SPV16" s="2"/>
      <c r="SPW16" s="2"/>
      <c r="SPX16" s="2"/>
      <c r="SPY16" s="2"/>
      <c r="SPZ16" s="2"/>
      <c r="SQA16" s="2"/>
      <c r="SQB16" s="2"/>
      <c r="SQC16" s="2"/>
      <c r="SQD16" s="2"/>
      <c r="SQE16" s="2"/>
      <c r="SQF16" s="2"/>
      <c r="SQG16" s="2"/>
      <c r="SQH16" s="2"/>
      <c r="SQI16" s="2"/>
      <c r="SQJ16" s="2"/>
      <c r="SQK16" s="2"/>
      <c r="SQL16" s="2"/>
      <c r="SQM16" s="2"/>
      <c r="SQN16" s="2"/>
      <c r="SQO16" s="2"/>
      <c r="SQP16" s="2"/>
      <c r="SQQ16" s="2"/>
      <c r="SQR16" s="2"/>
      <c r="SQS16" s="2"/>
      <c r="SQT16" s="2"/>
      <c r="SQU16" s="2"/>
      <c r="SQV16" s="2"/>
      <c r="SQW16" s="2"/>
      <c r="SQX16" s="2"/>
      <c r="SQY16" s="2"/>
      <c r="SQZ16" s="2"/>
      <c r="SRA16" s="2"/>
      <c r="SRB16" s="2"/>
      <c r="SRC16" s="2"/>
      <c r="SRD16" s="2"/>
      <c r="SRE16" s="2"/>
      <c r="SRF16" s="2"/>
      <c r="SRG16" s="2"/>
      <c r="SRH16" s="2"/>
      <c r="SRI16" s="2"/>
      <c r="SRJ16" s="2"/>
      <c r="SRK16" s="2"/>
      <c r="SRL16" s="2"/>
      <c r="SRM16" s="2"/>
      <c r="SRN16" s="2"/>
      <c r="SRO16" s="2"/>
      <c r="SRP16" s="2"/>
      <c r="SRQ16" s="2"/>
      <c r="SRR16" s="2"/>
      <c r="SRS16" s="2"/>
      <c r="SRT16" s="2"/>
      <c r="SRU16" s="2"/>
      <c r="SRV16" s="2"/>
      <c r="SRW16" s="2"/>
      <c r="SRX16" s="2"/>
      <c r="SRY16" s="2"/>
      <c r="SRZ16" s="2"/>
      <c r="SSA16" s="2"/>
      <c r="SSB16" s="2"/>
      <c r="SSC16" s="2"/>
      <c r="SSD16" s="2"/>
      <c r="SSE16" s="2"/>
      <c r="SSF16" s="2"/>
      <c r="SSG16" s="2"/>
      <c r="SSH16" s="2"/>
      <c r="SSI16" s="2"/>
      <c r="SSJ16" s="2"/>
      <c r="SSK16" s="2"/>
      <c r="SSL16" s="2"/>
      <c r="SSM16" s="2"/>
      <c r="SSN16" s="2"/>
      <c r="SSO16" s="2"/>
      <c r="SSP16" s="2"/>
      <c r="SSQ16" s="2"/>
      <c r="SSR16" s="2"/>
      <c r="SSS16" s="2"/>
      <c r="SST16" s="2"/>
      <c r="SSU16" s="2"/>
      <c r="SSV16" s="2"/>
      <c r="SSW16" s="2"/>
      <c r="SSX16" s="2"/>
      <c r="SSY16" s="2"/>
      <c r="SSZ16" s="2"/>
      <c r="STA16" s="2"/>
      <c r="STB16" s="2"/>
      <c r="STC16" s="2"/>
      <c r="STD16" s="2"/>
      <c r="STE16" s="2"/>
      <c r="STF16" s="2"/>
      <c r="STG16" s="2"/>
      <c r="STH16" s="2"/>
      <c r="STI16" s="2"/>
      <c r="STJ16" s="2"/>
      <c r="STK16" s="2"/>
      <c r="STL16" s="2"/>
      <c r="STM16" s="2"/>
      <c r="STN16" s="2"/>
      <c r="STO16" s="2"/>
      <c r="STP16" s="2"/>
      <c r="STQ16" s="2"/>
      <c r="STR16" s="2"/>
      <c r="STS16" s="2"/>
      <c r="STT16" s="2"/>
      <c r="STU16" s="2"/>
      <c r="STV16" s="2"/>
      <c r="STW16" s="2"/>
      <c r="STX16" s="2"/>
      <c r="STY16" s="2"/>
      <c r="STZ16" s="2"/>
      <c r="SUA16" s="2"/>
      <c r="SUB16" s="2"/>
      <c r="SUC16" s="2"/>
      <c r="SUD16" s="2"/>
      <c r="SUE16" s="2"/>
      <c r="SUF16" s="2"/>
      <c r="SUG16" s="2"/>
      <c r="SUH16" s="2"/>
      <c r="SUI16" s="2"/>
      <c r="SUJ16" s="2"/>
      <c r="SUK16" s="2"/>
      <c r="SUL16" s="2"/>
      <c r="SUM16" s="2"/>
      <c r="SUN16" s="2"/>
      <c r="SUO16" s="2"/>
      <c r="SUP16" s="2"/>
      <c r="SUQ16" s="2"/>
      <c r="SUR16" s="2"/>
      <c r="SUS16" s="2"/>
      <c r="SUT16" s="2"/>
      <c r="SUU16" s="2"/>
      <c r="SUV16" s="2"/>
      <c r="SUW16" s="2"/>
      <c r="SUX16" s="2"/>
      <c r="SUY16" s="2"/>
      <c r="SUZ16" s="2"/>
      <c r="SVA16" s="2"/>
      <c r="SVB16" s="2"/>
      <c r="SVC16" s="2"/>
      <c r="SVD16" s="2"/>
      <c r="SVE16" s="2"/>
      <c r="SVF16" s="2"/>
      <c r="SVG16" s="2"/>
      <c r="SVH16" s="2"/>
      <c r="SVI16" s="2"/>
      <c r="SVJ16" s="2"/>
      <c r="SVK16" s="2"/>
      <c r="SVL16" s="2"/>
      <c r="SVM16" s="2"/>
      <c r="SVN16" s="2"/>
      <c r="SVO16" s="2"/>
      <c r="SVP16" s="2"/>
      <c r="SVQ16" s="2"/>
      <c r="SVR16" s="2"/>
      <c r="SVS16" s="2"/>
      <c r="SVT16" s="2"/>
      <c r="SVU16" s="2"/>
      <c r="SVV16" s="2"/>
      <c r="SVW16" s="2"/>
      <c r="SVX16" s="2"/>
      <c r="SVY16" s="2"/>
      <c r="SVZ16" s="2"/>
      <c r="SWA16" s="2"/>
      <c r="SWB16" s="2"/>
      <c r="SWC16" s="2"/>
      <c r="SWD16" s="2"/>
      <c r="SWE16" s="2"/>
      <c r="SWF16" s="2"/>
      <c r="SWG16" s="2"/>
      <c r="SWH16" s="2"/>
      <c r="SWI16" s="2"/>
      <c r="SWJ16" s="2"/>
      <c r="SWK16" s="2"/>
      <c r="SWL16" s="2"/>
      <c r="SWM16" s="2"/>
      <c r="SWN16" s="2"/>
      <c r="SWO16" s="2"/>
      <c r="SWP16" s="2"/>
      <c r="SWQ16" s="2"/>
      <c r="SWR16" s="2"/>
      <c r="SWS16" s="2"/>
      <c r="SWT16" s="2"/>
      <c r="SWU16" s="2"/>
      <c r="SWV16" s="2"/>
      <c r="SWW16" s="2"/>
      <c r="SWX16" s="2"/>
      <c r="SWY16" s="2"/>
      <c r="SWZ16" s="2"/>
      <c r="SXA16" s="2"/>
      <c r="SXB16" s="2"/>
      <c r="SXC16" s="2"/>
      <c r="SXD16" s="2"/>
      <c r="SXE16" s="2"/>
      <c r="SXF16" s="2"/>
      <c r="SXG16" s="2"/>
      <c r="SXH16" s="2"/>
      <c r="SXI16" s="2"/>
      <c r="SXJ16" s="2"/>
      <c r="SXK16" s="2"/>
      <c r="SXL16" s="2"/>
      <c r="SXM16" s="2"/>
      <c r="SXN16" s="2"/>
      <c r="SXO16" s="2"/>
      <c r="SXP16" s="2"/>
      <c r="SXQ16" s="2"/>
      <c r="SXR16" s="2"/>
      <c r="SXS16" s="2"/>
      <c r="SXT16" s="2"/>
      <c r="SXU16" s="2"/>
      <c r="SXV16" s="2"/>
      <c r="SXW16" s="2"/>
      <c r="SXX16" s="2"/>
      <c r="SXY16" s="2"/>
      <c r="SXZ16" s="2"/>
      <c r="SYA16" s="2"/>
      <c r="SYB16" s="2"/>
      <c r="SYC16" s="2"/>
      <c r="SYD16" s="2"/>
      <c r="SYE16" s="2"/>
      <c r="SYF16" s="2"/>
      <c r="SYG16" s="2"/>
      <c r="SYH16" s="2"/>
      <c r="SYI16" s="2"/>
      <c r="SYJ16" s="2"/>
      <c r="SYK16" s="2"/>
      <c r="SYL16" s="2"/>
      <c r="SYM16" s="2"/>
      <c r="SYN16" s="2"/>
      <c r="SYO16" s="2"/>
      <c r="SYP16" s="2"/>
      <c r="SYQ16" s="2"/>
      <c r="SYR16" s="2"/>
      <c r="SYS16" s="2"/>
      <c r="SYT16" s="2"/>
      <c r="SYU16" s="2"/>
      <c r="SYV16" s="2"/>
      <c r="SYW16" s="2"/>
      <c r="SYX16" s="2"/>
      <c r="SYY16" s="2"/>
      <c r="SYZ16" s="2"/>
      <c r="SZA16" s="2"/>
      <c r="SZB16" s="2"/>
      <c r="SZC16" s="2"/>
      <c r="SZD16" s="2"/>
      <c r="SZE16" s="2"/>
      <c r="SZF16" s="2"/>
      <c r="SZG16" s="2"/>
      <c r="SZH16" s="2"/>
      <c r="SZI16" s="2"/>
      <c r="SZJ16" s="2"/>
      <c r="SZK16" s="2"/>
      <c r="SZL16" s="2"/>
      <c r="SZM16" s="2"/>
      <c r="SZN16" s="2"/>
      <c r="SZO16" s="2"/>
      <c r="SZP16" s="2"/>
      <c r="SZQ16" s="2"/>
      <c r="SZR16" s="2"/>
      <c r="SZS16" s="2"/>
      <c r="SZT16" s="2"/>
      <c r="SZU16" s="2"/>
      <c r="SZV16" s="2"/>
      <c r="SZW16" s="2"/>
      <c r="SZX16" s="2"/>
      <c r="SZY16" s="2"/>
      <c r="SZZ16" s="2"/>
      <c r="TAA16" s="2"/>
      <c r="TAB16" s="2"/>
      <c r="TAC16" s="2"/>
      <c r="TAD16" s="2"/>
      <c r="TAE16" s="2"/>
      <c r="TAF16" s="2"/>
      <c r="TAG16" s="2"/>
      <c r="TAH16" s="2"/>
      <c r="TAI16" s="2"/>
      <c r="TAJ16" s="2"/>
      <c r="TAK16" s="2"/>
      <c r="TAL16" s="2"/>
      <c r="TAM16" s="2"/>
      <c r="TAN16" s="2"/>
      <c r="TAO16" s="2"/>
      <c r="TAP16" s="2"/>
      <c r="TAQ16" s="2"/>
      <c r="TAR16" s="2"/>
      <c r="TAS16" s="2"/>
      <c r="TAT16" s="2"/>
      <c r="TAU16" s="2"/>
      <c r="TAV16" s="2"/>
      <c r="TAW16" s="2"/>
      <c r="TAX16" s="2"/>
      <c r="TAY16" s="2"/>
      <c r="TAZ16" s="2"/>
      <c r="TBA16" s="2"/>
      <c r="TBB16" s="2"/>
      <c r="TBC16" s="2"/>
      <c r="TBD16" s="2"/>
      <c r="TBE16" s="2"/>
      <c r="TBF16" s="2"/>
      <c r="TBG16" s="2"/>
      <c r="TBH16" s="2"/>
      <c r="TBI16" s="2"/>
      <c r="TBJ16" s="2"/>
      <c r="TBK16" s="2"/>
      <c r="TBL16" s="2"/>
      <c r="TBM16" s="2"/>
      <c r="TBN16" s="2"/>
      <c r="TBO16" s="2"/>
      <c r="TBP16" s="2"/>
      <c r="TBQ16" s="2"/>
      <c r="TBR16" s="2"/>
      <c r="TBS16" s="2"/>
      <c r="TBT16" s="2"/>
      <c r="TBU16" s="2"/>
      <c r="TBV16" s="2"/>
      <c r="TBW16" s="2"/>
      <c r="TBX16" s="2"/>
      <c r="TBY16" s="2"/>
      <c r="TBZ16" s="2"/>
      <c r="TCA16" s="2"/>
      <c r="TCB16" s="2"/>
      <c r="TCC16" s="2"/>
      <c r="TCD16" s="2"/>
      <c r="TCE16" s="2"/>
      <c r="TCF16" s="2"/>
      <c r="TCG16" s="2"/>
      <c r="TCH16" s="2"/>
      <c r="TCI16" s="2"/>
      <c r="TCJ16" s="2"/>
      <c r="TCK16" s="2"/>
      <c r="TCL16" s="2"/>
      <c r="TCM16" s="2"/>
      <c r="TCN16" s="2"/>
      <c r="TCO16" s="2"/>
      <c r="TCP16" s="2"/>
      <c r="TCQ16" s="2"/>
      <c r="TCR16" s="2"/>
      <c r="TCS16" s="2"/>
      <c r="TCT16" s="2"/>
      <c r="TCU16" s="2"/>
      <c r="TCV16" s="2"/>
      <c r="TCW16" s="2"/>
      <c r="TCX16" s="2"/>
      <c r="TCY16" s="2"/>
      <c r="TCZ16" s="2"/>
      <c r="TDA16" s="2"/>
      <c r="TDB16" s="2"/>
      <c r="TDC16" s="2"/>
      <c r="TDD16" s="2"/>
      <c r="TDE16" s="2"/>
      <c r="TDF16" s="2"/>
      <c r="TDG16" s="2"/>
      <c r="TDH16" s="2"/>
      <c r="TDI16" s="2"/>
      <c r="TDJ16" s="2"/>
      <c r="TDK16" s="2"/>
      <c r="TDL16" s="2"/>
      <c r="TDM16" s="2"/>
      <c r="TDN16" s="2"/>
      <c r="TDO16" s="2"/>
      <c r="TDP16" s="2"/>
      <c r="TDQ16" s="2"/>
      <c r="TDR16" s="2"/>
      <c r="TDS16" s="2"/>
      <c r="TDT16" s="2"/>
      <c r="TDU16" s="2"/>
      <c r="TDV16" s="2"/>
      <c r="TDW16" s="2"/>
      <c r="TDX16" s="2"/>
      <c r="TDY16" s="2"/>
      <c r="TDZ16" s="2"/>
      <c r="TEA16" s="2"/>
      <c r="TEB16" s="2"/>
      <c r="TEC16" s="2"/>
      <c r="TED16" s="2"/>
      <c r="TEE16" s="2"/>
      <c r="TEF16" s="2"/>
      <c r="TEG16" s="2"/>
      <c r="TEH16" s="2"/>
      <c r="TEI16" s="2"/>
      <c r="TEJ16" s="2"/>
      <c r="TEK16" s="2"/>
      <c r="TEL16" s="2"/>
      <c r="TEM16" s="2"/>
      <c r="TEN16" s="2"/>
      <c r="TEO16" s="2"/>
      <c r="TEP16" s="2"/>
      <c r="TEQ16" s="2"/>
      <c r="TER16" s="2"/>
      <c r="TES16" s="2"/>
      <c r="TET16" s="2"/>
      <c r="TEU16" s="2"/>
      <c r="TEV16" s="2"/>
      <c r="TEW16" s="2"/>
      <c r="TEX16" s="2"/>
      <c r="TEY16" s="2"/>
      <c r="TEZ16" s="2"/>
      <c r="TFA16" s="2"/>
      <c r="TFB16" s="2"/>
      <c r="TFC16" s="2"/>
      <c r="TFD16" s="2"/>
      <c r="TFE16" s="2"/>
      <c r="TFF16" s="2"/>
      <c r="TFG16" s="2"/>
      <c r="TFH16" s="2"/>
      <c r="TFI16" s="2"/>
      <c r="TFJ16" s="2"/>
      <c r="TFK16" s="2"/>
      <c r="TFL16" s="2"/>
      <c r="TFM16" s="2"/>
      <c r="TFN16" s="2"/>
      <c r="TFO16" s="2"/>
      <c r="TFP16" s="2"/>
      <c r="TFQ16" s="2"/>
      <c r="TFR16" s="2"/>
      <c r="TFS16" s="2"/>
      <c r="TFT16" s="2"/>
      <c r="TFU16" s="2"/>
      <c r="TFV16" s="2"/>
      <c r="TFW16" s="2"/>
      <c r="TFX16" s="2"/>
      <c r="TFY16" s="2"/>
      <c r="TFZ16" s="2"/>
      <c r="TGA16" s="2"/>
      <c r="TGB16" s="2"/>
      <c r="TGC16" s="2"/>
      <c r="TGD16" s="2"/>
      <c r="TGE16" s="2"/>
      <c r="TGF16" s="2"/>
      <c r="TGG16" s="2"/>
      <c r="TGH16" s="2"/>
      <c r="TGI16" s="2"/>
      <c r="TGJ16" s="2"/>
      <c r="TGK16" s="2"/>
      <c r="TGL16" s="2"/>
      <c r="TGM16" s="2"/>
      <c r="TGN16" s="2"/>
      <c r="TGO16" s="2"/>
      <c r="TGP16" s="2"/>
      <c r="TGQ16" s="2"/>
      <c r="TGR16" s="2"/>
      <c r="TGS16" s="2"/>
      <c r="TGT16" s="2"/>
      <c r="TGU16" s="2"/>
      <c r="TGV16" s="2"/>
      <c r="TGW16" s="2"/>
      <c r="TGX16" s="2"/>
      <c r="TGY16" s="2"/>
      <c r="TGZ16" s="2"/>
      <c r="THA16" s="2"/>
      <c r="THB16" s="2"/>
      <c r="THC16" s="2"/>
      <c r="THD16" s="2"/>
      <c r="THE16" s="2"/>
      <c r="THF16" s="2"/>
      <c r="THG16" s="2"/>
      <c r="THH16" s="2"/>
      <c r="THI16" s="2"/>
      <c r="THJ16" s="2"/>
      <c r="THK16" s="2"/>
      <c r="THL16" s="2"/>
      <c r="THM16" s="2"/>
      <c r="THN16" s="2"/>
      <c r="THO16" s="2"/>
      <c r="THP16" s="2"/>
      <c r="THQ16" s="2"/>
      <c r="THR16" s="2"/>
      <c r="THS16" s="2"/>
      <c r="THT16" s="2"/>
      <c r="THU16" s="2"/>
      <c r="THV16" s="2"/>
      <c r="THW16" s="2"/>
      <c r="THX16" s="2"/>
      <c r="THY16" s="2"/>
      <c r="THZ16" s="2"/>
      <c r="TIA16" s="2"/>
      <c r="TIB16" s="2"/>
      <c r="TIC16" s="2"/>
      <c r="TID16" s="2"/>
      <c r="TIE16" s="2"/>
      <c r="TIF16" s="2"/>
      <c r="TIG16" s="2"/>
      <c r="TIH16" s="2"/>
      <c r="TII16" s="2"/>
      <c r="TIJ16" s="2"/>
      <c r="TIK16" s="2"/>
      <c r="TIL16" s="2"/>
      <c r="TIM16" s="2"/>
      <c r="TIN16" s="2"/>
      <c r="TIO16" s="2"/>
      <c r="TIP16" s="2"/>
      <c r="TIQ16" s="2"/>
      <c r="TIR16" s="2"/>
      <c r="TIS16" s="2"/>
      <c r="TIT16" s="2"/>
      <c r="TIU16" s="2"/>
      <c r="TIV16" s="2"/>
      <c r="TIW16" s="2"/>
      <c r="TIX16" s="2"/>
      <c r="TIY16" s="2"/>
      <c r="TIZ16" s="2"/>
      <c r="TJA16" s="2"/>
      <c r="TJB16" s="2"/>
      <c r="TJC16" s="2"/>
      <c r="TJD16" s="2"/>
      <c r="TJE16" s="2"/>
      <c r="TJF16" s="2"/>
      <c r="TJG16" s="2"/>
      <c r="TJH16" s="2"/>
      <c r="TJI16" s="2"/>
      <c r="TJJ16" s="2"/>
      <c r="TJK16" s="2"/>
      <c r="TJL16" s="2"/>
      <c r="TJM16" s="2"/>
      <c r="TJN16" s="2"/>
      <c r="TJO16" s="2"/>
      <c r="TJP16" s="2"/>
      <c r="TJQ16" s="2"/>
      <c r="TJR16" s="2"/>
      <c r="TJS16" s="2"/>
      <c r="TJT16" s="2"/>
      <c r="TJU16" s="2"/>
      <c r="TJV16" s="2"/>
      <c r="TJW16" s="2"/>
      <c r="TJX16" s="2"/>
      <c r="TJY16" s="2"/>
      <c r="TJZ16" s="2"/>
      <c r="TKA16" s="2"/>
      <c r="TKB16" s="2"/>
      <c r="TKC16" s="2"/>
      <c r="TKD16" s="2"/>
      <c r="TKE16" s="2"/>
      <c r="TKF16" s="2"/>
      <c r="TKG16" s="2"/>
      <c r="TKH16" s="2"/>
      <c r="TKI16" s="2"/>
      <c r="TKJ16" s="2"/>
      <c r="TKK16" s="2"/>
      <c r="TKL16" s="2"/>
      <c r="TKM16" s="2"/>
      <c r="TKN16" s="2"/>
      <c r="TKO16" s="2"/>
      <c r="TKP16" s="2"/>
      <c r="TKQ16" s="2"/>
      <c r="TKR16" s="2"/>
      <c r="TKS16" s="2"/>
      <c r="TKT16" s="2"/>
      <c r="TKU16" s="2"/>
      <c r="TKV16" s="2"/>
      <c r="TKW16" s="2"/>
      <c r="TKX16" s="2"/>
      <c r="TKY16" s="2"/>
      <c r="TKZ16" s="2"/>
      <c r="TLA16" s="2"/>
      <c r="TLB16" s="2"/>
      <c r="TLC16" s="2"/>
      <c r="TLD16" s="2"/>
      <c r="TLE16" s="2"/>
      <c r="TLF16" s="2"/>
      <c r="TLG16" s="2"/>
      <c r="TLH16" s="2"/>
      <c r="TLI16" s="2"/>
      <c r="TLJ16" s="2"/>
      <c r="TLK16" s="2"/>
      <c r="TLL16" s="2"/>
      <c r="TLM16" s="2"/>
      <c r="TLN16" s="2"/>
      <c r="TLO16" s="2"/>
      <c r="TLP16" s="2"/>
      <c r="TLQ16" s="2"/>
      <c r="TLR16" s="2"/>
      <c r="TLS16" s="2"/>
      <c r="TLT16" s="2"/>
      <c r="TLU16" s="2"/>
      <c r="TLV16" s="2"/>
      <c r="TLW16" s="2"/>
      <c r="TLX16" s="2"/>
      <c r="TLY16" s="2"/>
      <c r="TLZ16" s="2"/>
      <c r="TMA16" s="2"/>
      <c r="TMB16" s="2"/>
      <c r="TMC16" s="2"/>
      <c r="TMD16" s="2"/>
      <c r="TME16" s="2"/>
      <c r="TMF16" s="2"/>
      <c r="TMG16" s="2"/>
      <c r="TMH16" s="2"/>
      <c r="TMI16" s="2"/>
      <c r="TMJ16" s="2"/>
      <c r="TMK16" s="2"/>
      <c r="TML16" s="2"/>
      <c r="TMM16" s="2"/>
      <c r="TMN16" s="2"/>
      <c r="TMO16" s="2"/>
      <c r="TMP16" s="2"/>
      <c r="TMQ16" s="2"/>
      <c r="TMR16" s="2"/>
      <c r="TMS16" s="2"/>
      <c r="TMT16" s="2"/>
      <c r="TMU16" s="2"/>
      <c r="TMV16" s="2"/>
      <c r="TMW16" s="2"/>
      <c r="TMX16" s="2"/>
      <c r="TMY16" s="2"/>
      <c r="TMZ16" s="2"/>
      <c r="TNA16" s="2"/>
      <c r="TNB16" s="2"/>
      <c r="TNC16" s="2"/>
      <c r="TND16" s="2"/>
      <c r="TNE16" s="2"/>
      <c r="TNF16" s="2"/>
      <c r="TNG16" s="2"/>
      <c r="TNH16" s="2"/>
      <c r="TNI16" s="2"/>
      <c r="TNJ16" s="2"/>
      <c r="TNK16" s="2"/>
      <c r="TNL16" s="2"/>
      <c r="TNM16" s="2"/>
      <c r="TNN16" s="2"/>
      <c r="TNO16" s="2"/>
      <c r="TNP16" s="2"/>
      <c r="TNQ16" s="2"/>
      <c r="TNR16" s="2"/>
      <c r="TNS16" s="2"/>
      <c r="TNT16" s="2"/>
      <c r="TNU16" s="2"/>
      <c r="TNV16" s="2"/>
      <c r="TNW16" s="2"/>
      <c r="TNX16" s="2"/>
      <c r="TNY16" s="2"/>
      <c r="TNZ16" s="2"/>
      <c r="TOA16" s="2"/>
      <c r="TOB16" s="2"/>
      <c r="TOC16" s="2"/>
      <c r="TOD16" s="2"/>
      <c r="TOE16" s="2"/>
      <c r="TOF16" s="2"/>
      <c r="TOG16" s="2"/>
      <c r="TOH16" s="2"/>
      <c r="TOI16" s="2"/>
      <c r="TOJ16" s="2"/>
      <c r="TOK16" s="2"/>
      <c r="TOL16" s="2"/>
      <c r="TOM16" s="2"/>
      <c r="TON16" s="2"/>
      <c r="TOO16" s="2"/>
      <c r="TOP16" s="2"/>
      <c r="TOQ16" s="2"/>
      <c r="TOR16" s="2"/>
      <c r="TOS16" s="2"/>
      <c r="TOT16" s="2"/>
      <c r="TOU16" s="2"/>
      <c r="TOV16" s="2"/>
      <c r="TOW16" s="2"/>
      <c r="TOX16" s="2"/>
      <c r="TOY16" s="2"/>
      <c r="TOZ16" s="2"/>
      <c r="TPA16" s="2"/>
      <c r="TPB16" s="2"/>
      <c r="TPC16" s="2"/>
      <c r="TPD16" s="2"/>
      <c r="TPE16" s="2"/>
      <c r="TPF16" s="2"/>
      <c r="TPG16" s="2"/>
      <c r="TPH16" s="2"/>
      <c r="TPI16" s="2"/>
      <c r="TPJ16" s="2"/>
      <c r="TPK16" s="2"/>
      <c r="TPL16" s="2"/>
      <c r="TPM16" s="2"/>
      <c r="TPN16" s="2"/>
      <c r="TPO16" s="2"/>
      <c r="TPP16" s="2"/>
      <c r="TPQ16" s="2"/>
      <c r="TPR16" s="2"/>
      <c r="TPS16" s="2"/>
      <c r="TPT16" s="2"/>
      <c r="TPU16" s="2"/>
      <c r="TPV16" s="2"/>
      <c r="TPW16" s="2"/>
      <c r="TPX16" s="2"/>
      <c r="TPY16" s="2"/>
      <c r="TPZ16" s="2"/>
      <c r="TQA16" s="2"/>
      <c r="TQB16" s="2"/>
      <c r="TQC16" s="2"/>
      <c r="TQD16" s="2"/>
      <c r="TQE16" s="2"/>
      <c r="TQF16" s="2"/>
      <c r="TQG16" s="2"/>
      <c r="TQH16" s="2"/>
      <c r="TQI16" s="2"/>
      <c r="TQJ16" s="2"/>
      <c r="TQK16" s="2"/>
      <c r="TQL16" s="2"/>
      <c r="TQM16" s="2"/>
      <c r="TQN16" s="2"/>
      <c r="TQO16" s="2"/>
      <c r="TQP16" s="2"/>
      <c r="TQQ16" s="2"/>
      <c r="TQR16" s="2"/>
      <c r="TQS16" s="2"/>
      <c r="TQT16" s="2"/>
      <c r="TQU16" s="2"/>
      <c r="TQV16" s="2"/>
      <c r="TQW16" s="2"/>
      <c r="TQX16" s="2"/>
      <c r="TQY16" s="2"/>
      <c r="TQZ16" s="2"/>
      <c r="TRA16" s="2"/>
      <c r="TRB16" s="2"/>
      <c r="TRC16" s="2"/>
      <c r="TRD16" s="2"/>
      <c r="TRE16" s="2"/>
      <c r="TRF16" s="2"/>
      <c r="TRG16" s="2"/>
      <c r="TRH16" s="2"/>
      <c r="TRI16" s="2"/>
      <c r="TRJ16" s="2"/>
      <c r="TRK16" s="2"/>
      <c r="TRL16" s="2"/>
      <c r="TRM16" s="2"/>
      <c r="TRN16" s="2"/>
      <c r="TRO16" s="2"/>
      <c r="TRP16" s="2"/>
      <c r="TRQ16" s="2"/>
      <c r="TRR16" s="2"/>
      <c r="TRS16" s="2"/>
      <c r="TRT16" s="2"/>
      <c r="TRU16" s="2"/>
      <c r="TRV16" s="2"/>
      <c r="TRW16" s="2"/>
      <c r="TRX16" s="2"/>
      <c r="TRY16" s="2"/>
      <c r="TRZ16" s="2"/>
      <c r="TSA16" s="2"/>
      <c r="TSB16" s="2"/>
      <c r="TSC16" s="2"/>
      <c r="TSD16" s="2"/>
      <c r="TSE16" s="2"/>
      <c r="TSF16" s="2"/>
      <c r="TSG16" s="2"/>
      <c r="TSH16" s="2"/>
      <c r="TSI16" s="2"/>
      <c r="TSJ16" s="2"/>
      <c r="TSK16" s="2"/>
      <c r="TSL16" s="2"/>
      <c r="TSM16" s="2"/>
      <c r="TSN16" s="2"/>
      <c r="TSO16" s="2"/>
      <c r="TSP16" s="2"/>
      <c r="TSQ16" s="2"/>
      <c r="TSR16" s="2"/>
      <c r="TSS16" s="2"/>
      <c r="TST16" s="2"/>
      <c r="TSU16" s="2"/>
      <c r="TSV16" s="2"/>
      <c r="TSW16" s="2"/>
      <c r="TSX16" s="2"/>
      <c r="TSY16" s="2"/>
      <c r="TSZ16" s="2"/>
      <c r="TTA16" s="2"/>
      <c r="TTB16" s="2"/>
      <c r="TTC16" s="2"/>
      <c r="TTD16" s="2"/>
      <c r="TTE16" s="2"/>
      <c r="TTF16" s="2"/>
      <c r="TTG16" s="2"/>
      <c r="TTH16" s="2"/>
      <c r="TTI16" s="2"/>
      <c r="TTJ16" s="2"/>
      <c r="TTK16" s="2"/>
      <c r="TTL16" s="2"/>
      <c r="TTM16" s="2"/>
      <c r="TTN16" s="2"/>
      <c r="TTO16" s="2"/>
      <c r="TTP16" s="2"/>
      <c r="TTQ16" s="2"/>
      <c r="TTR16" s="2"/>
      <c r="TTS16" s="2"/>
      <c r="TTT16" s="2"/>
      <c r="TTU16" s="2"/>
      <c r="TTV16" s="2"/>
      <c r="TTW16" s="2"/>
      <c r="TTX16" s="2"/>
      <c r="TTY16" s="2"/>
      <c r="TTZ16" s="2"/>
      <c r="TUA16" s="2"/>
      <c r="TUB16" s="2"/>
      <c r="TUC16" s="2"/>
      <c r="TUD16" s="2"/>
      <c r="TUE16" s="2"/>
      <c r="TUF16" s="2"/>
      <c r="TUG16" s="2"/>
      <c r="TUH16" s="2"/>
      <c r="TUI16" s="2"/>
      <c r="TUJ16" s="2"/>
      <c r="TUK16" s="2"/>
      <c r="TUL16" s="2"/>
      <c r="TUM16" s="2"/>
      <c r="TUN16" s="2"/>
      <c r="TUO16" s="2"/>
      <c r="TUP16" s="2"/>
      <c r="TUQ16" s="2"/>
      <c r="TUR16" s="2"/>
      <c r="TUS16" s="2"/>
      <c r="TUT16" s="2"/>
      <c r="TUU16" s="2"/>
      <c r="TUV16" s="2"/>
      <c r="TUW16" s="2"/>
      <c r="TUX16" s="2"/>
      <c r="TUY16" s="2"/>
      <c r="TUZ16" s="2"/>
      <c r="TVA16" s="2"/>
      <c r="TVB16" s="2"/>
      <c r="TVC16" s="2"/>
      <c r="TVD16" s="2"/>
      <c r="TVE16" s="2"/>
      <c r="TVF16" s="2"/>
      <c r="TVG16" s="2"/>
      <c r="TVH16" s="2"/>
      <c r="TVI16" s="2"/>
      <c r="TVJ16" s="2"/>
      <c r="TVK16" s="2"/>
      <c r="TVL16" s="2"/>
      <c r="TVM16" s="2"/>
      <c r="TVN16" s="2"/>
      <c r="TVO16" s="2"/>
      <c r="TVP16" s="2"/>
      <c r="TVQ16" s="2"/>
      <c r="TVR16" s="2"/>
      <c r="TVS16" s="2"/>
      <c r="TVT16" s="2"/>
      <c r="TVU16" s="2"/>
      <c r="TVV16" s="2"/>
      <c r="TVW16" s="2"/>
      <c r="TVX16" s="2"/>
      <c r="TVY16" s="2"/>
      <c r="TVZ16" s="2"/>
      <c r="TWA16" s="2"/>
      <c r="TWB16" s="2"/>
      <c r="TWC16" s="2"/>
      <c r="TWD16" s="2"/>
      <c r="TWE16" s="2"/>
      <c r="TWF16" s="2"/>
      <c r="TWG16" s="2"/>
      <c r="TWH16" s="2"/>
      <c r="TWI16" s="2"/>
      <c r="TWJ16" s="2"/>
      <c r="TWK16" s="2"/>
      <c r="TWL16" s="2"/>
      <c r="TWM16" s="2"/>
      <c r="TWN16" s="2"/>
      <c r="TWO16" s="2"/>
      <c r="TWP16" s="2"/>
      <c r="TWQ16" s="2"/>
      <c r="TWR16" s="2"/>
      <c r="TWS16" s="2"/>
      <c r="TWT16" s="2"/>
      <c r="TWU16" s="2"/>
      <c r="TWV16" s="2"/>
      <c r="TWW16" s="2"/>
      <c r="TWX16" s="2"/>
      <c r="TWY16" s="2"/>
      <c r="TWZ16" s="2"/>
      <c r="TXA16" s="2"/>
      <c r="TXB16" s="2"/>
      <c r="TXC16" s="2"/>
      <c r="TXD16" s="2"/>
      <c r="TXE16" s="2"/>
      <c r="TXF16" s="2"/>
      <c r="TXG16" s="2"/>
      <c r="TXH16" s="2"/>
      <c r="TXI16" s="2"/>
      <c r="TXJ16" s="2"/>
      <c r="TXK16" s="2"/>
      <c r="TXL16" s="2"/>
      <c r="TXM16" s="2"/>
      <c r="TXN16" s="2"/>
      <c r="TXO16" s="2"/>
      <c r="TXP16" s="2"/>
      <c r="TXQ16" s="2"/>
      <c r="TXR16" s="2"/>
      <c r="TXS16" s="2"/>
      <c r="TXT16" s="2"/>
      <c r="TXU16" s="2"/>
      <c r="TXV16" s="2"/>
      <c r="TXW16" s="2"/>
      <c r="TXX16" s="2"/>
      <c r="TXY16" s="2"/>
      <c r="TXZ16" s="2"/>
      <c r="TYA16" s="2"/>
      <c r="TYB16" s="2"/>
      <c r="TYC16" s="2"/>
      <c r="TYD16" s="2"/>
      <c r="TYE16" s="2"/>
      <c r="TYF16" s="2"/>
      <c r="TYG16" s="2"/>
      <c r="TYH16" s="2"/>
      <c r="TYI16" s="2"/>
      <c r="TYJ16" s="2"/>
      <c r="TYK16" s="2"/>
      <c r="TYL16" s="2"/>
      <c r="TYM16" s="2"/>
      <c r="TYN16" s="2"/>
      <c r="TYO16" s="2"/>
      <c r="TYP16" s="2"/>
      <c r="TYQ16" s="2"/>
      <c r="TYR16" s="2"/>
      <c r="TYS16" s="2"/>
      <c r="TYT16" s="2"/>
      <c r="TYU16" s="2"/>
      <c r="TYV16" s="2"/>
      <c r="TYW16" s="2"/>
      <c r="TYX16" s="2"/>
      <c r="TYY16" s="2"/>
      <c r="TYZ16" s="2"/>
      <c r="TZA16" s="2"/>
      <c r="TZB16" s="2"/>
      <c r="TZC16" s="2"/>
      <c r="TZD16" s="2"/>
      <c r="TZE16" s="2"/>
      <c r="TZF16" s="2"/>
      <c r="TZG16" s="2"/>
      <c r="TZH16" s="2"/>
      <c r="TZI16" s="2"/>
      <c r="TZJ16" s="2"/>
      <c r="TZK16" s="2"/>
      <c r="TZL16" s="2"/>
      <c r="TZM16" s="2"/>
      <c r="TZN16" s="2"/>
      <c r="TZO16" s="2"/>
      <c r="TZP16" s="2"/>
      <c r="TZQ16" s="2"/>
      <c r="TZR16" s="2"/>
      <c r="TZS16" s="2"/>
      <c r="TZT16" s="2"/>
      <c r="TZU16" s="2"/>
      <c r="TZV16" s="2"/>
      <c r="TZW16" s="2"/>
      <c r="TZX16" s="2"/>
      <c r="TZY16" s="2"/>
      <c r="TZZ16" s="2"/>
      <c r="UAA16" s="2"/>
      <c r="UAB16" s="2"/>
      <c r="UAC16" s="2"/>
      <c r="UAD16" s="2"/>
      <c r="UAE16" s="2"/>
      <c r="UAF16" s="2"/>
      <c r="UAG16" s="2"/>
      <c r="UAH16" s="2"/>
      <c r="UAI16" s="2"/>
      <c r="UAJ16" s="2"/>
      <c r="UAK16" s="2"/>
      <c r="UAL16" s="2"/>
      <c r="UAM16" s="2"/>
      <c r="UAN16" s="2"/>
      <c r="UAO16" s="2"/>
      <c r="UAP16" s="2"/>
      <c r="UAQ16" s="2"/>
      <c r="UAR16" s="2"/>
      <c r="UAS16" s="2"/>
      <c r="UAT16" s="2"/>
      <c r="UAU16" s="2"/>
      <c r="UAV16" s="2"/>
      <c r="UAW16" s="2"/>
      <c r="UAX16" s="2"/>
      <c r="UAY16" s="2"/>
      <c r="UAZ16" s="2"/>
      <c r="UBA16" s="2"/>
      <c r="UBB16" s="2"/>
      <c r="UBC16" s="2"/>
      <c r="UBD16" s="2"/>
      <c r="UBE16" s="2"/>
      <c r="UBF16" s="2"/>
      <c r="UBG16" s="2"/>
      <c r="UBH16" s="2"/>
      <c r="UBI16" s="2"/>
      <c r="UBJ16" s="2"/>
      <c r="UBK16" s="2"/>
      <c r="UBL16" s="2"/>
      <c r="UBM16" s="2"/>
      <c r="UBN16" s="2"/>
      <c r="UBO16" s="2"/>
      <c r="UBP16" s="2"/>
      <c r="UBQ16" s="2"/>
      <c r="UBR16" s="2"/>
      <c r="UBS16" s="2"/>
      <c r="UBT16" s="2"/>
      <c r="UBU16" s="2"/>
      <c r="UBV16" s="2"/>
      <c r="UBW16" s="2"/>
      <c r="UBX16" s="2"/>
      <c r="UBY16" s="2"/>
      <c r="UBZ16" s="2"/>
      <c r="UCA16" s="2"/>
      <c r="UCB16" s="2"/>
      <c r="UCC16" s="2"/>
      <c r="UCD16" s="2"/>
      <c r="UCE16" s="2"/>
      <c r="UCF16" s="2"/>
      <c r="UCG16" s="2"/>
      <c r="UCH16" s="2"/>
      <c r="UCI16" s="2"/>
      <c r="UCJ16" s="2"/>
      <c r="UCK16" s="2"/>
      <c r="UCL16" s="2"/>
      <c r="UCM16" s="2"/>
      <c r="UCN16" s="2"/>
      <c r="UCO16" s="2"/>
      <c r="UCP16" s="2"/>
      <c r="UCQ16" s="2"/>
      <c r="UCR16" s="2"/>
      <c r="UCS16" s="2"/>
      <c r="UCT16" s="2"/>
      <c r="UCU16" s="2"/>
      <c r="UCV16" s="2"/>
      <c r="UCW16" s="2"/>
      <c r="UCX16" s="2"/>
      <c r="UCY16" s="2"/>
      <c r="UCZ16" s="2"/>
      <c r="UDA16" s="2"/>
      <c r="UDB16" s="2"/>
      <c r="UDC16" s="2"/>
      <c r="UDD16" s="2"/>
      <c r="UDE16" s="2"/>
      <c r="UDF16" s="2"/>
      <c r="UDG16" s="2"/>
      <c r="UDH16" s="2"/>
      <c r="UDI16" s="2"/>
      <c r="UDJ16" s="2"/>
      <c r="UDK16" s="2"/>
      <c r="UDL16" s="2"/>
      <c r="UDM16" s="2"/>
      <c r="UDN16" s="2"/>
      <c r="UDO16" s="2"/>
      <c r="UDP16" s="2"/>
      <c r="UDQ16" s="2"/>
      <c r="UDR16" s="2"/>
      <c r="UDS16" s="2"/>
      <c r="UDT16" s="2"/>
      <c r="UDU16" s="2"/>
      <c r="UDV16" s="2"/>
      <c r="UDW16" s="2"/>
      <c r="UDX16" s="2"/>
      <c r="UDY16" s="2"/>
      <c r="UDZ16" s="2"/>
      <c r="UEA16" s="2"/>
      <c r="UEB16" s="2"/>
      <c r="UEC16" s="2"/>
      <c r="UED16" s="2"/>
      <c r="UEE16" s="2"/>
      <c r="UEF16" s="2"/>
      <c r="UEG16" s="2"/>
      <c r="UEH16" s="2"/>
      <c r="UEI16" s="2"/>
      <c r="UEJ16" s="2"/>
      <c r="UEK16" s="2"/>
      <c r="UEL16" s="2"/>
      <c r="UEM16" s="2"/>
      <c r="UEN16" s="2"/>
      <c r="UEO16" s="2"/>
      <c r="UEP16" s="2"/>
      <c r="UEQ16" s="2"/>
      <c r="UER16" s="2"/>
      <c r="UES16" s="2"/>
      <c r="UET16" s="2"/>
      <c r="UEU16" s="2"/>
      <c r="UEV16" s="2"/>
      <c r="UEW16" s="2"/>
      <c r="UEX16" s="2"/>
      <c r="UEY16" s="2"/>
      <c r="UEZ16" s="2"/>
      <c r="UFA16" s="2"/>
      <c r="UFB16" s="2"/>
      <c r="UFC16" s="2"/>
      <c r="UFD16" s="2"/>
      <c r="UFE16" s="2"/>
      <c r="UFF16" s="2"/>
      <c r="UFG16" s="2"/>
      <c r="UFH16" s="2"/>
      <c r="UFI16" s="2"/>
      <c r="UFJ16" s="2"/>
      <c r="UFK16" s="2"/>
      <c r="UFL16" s="2"/>
      <c r="UFM16" s="2"/>
      <c r="UFN16" s="2"/>
      <c r="UFO16" s="2"/>
      <c r="UFP16" s="2"/>
      <c r="UFQ16" s="2"/>
      <c r="UFR16" s="2"/>
      <c r="UFS16" s="2"/>
      <c r="UFT16" s="2"/>
      <c r="UFU16" s="2"/>
      <c r="UFV16" s="2"/>
      <c r="UFW16" s="2"/>
      <c r="UFX16" s="2"/>
      <c r="UFY16" s="2"/>
      <c r="UFZ16" s="2"/>
      <c r="UGA16" s="2"/>
      <c r="UGB16" s="2"/>
      <c r="UGC16" s="2"/>
      <c r="UGD16" s="2"/>
      <c r="UGE16" s="2"/>
      <c r="UGF16" s="2"/>
      <c r="UGG16" s="2"/>
      <c r="UGH16" s="2"/>
      <c r="UGI16" s="2"/>
      <c r="UGJ16" s="2"/>
      <c r="UGK16" s="2"/>
      <c r="UGL16" s="2"/>
      <c r="UGM16" s="2"/>
      <c r="UGN16" s="2"/>
      <c r="UGO16" s="2"/>
      <c r="UGP16" s="2"/>
      <c r="UGQ16" s="2"/>
      <c r="UGR16" s="2"/>
      <c r="UGS16" s="2"/>
      <c r="UGT16" s="2"/>
      <c r="UGU16" s="2"/>
      <c r="UGV16" s="2"/>
      <c r="UGW16" s="2"/>
      <c r="UGX16" s="2"/>
      <c r="UGY16" s="2"/>
      <c r="UGZ16" s="2"/>
      <c r="UHA16" s="2"/>
      <c r="UHB16" s="2"/>
      <c r="UHC16" s="2"/>
      <c r="UHD16" s="2"/>
      <c r="UHE16" s="2"/>
      <c r="UHF16" s="2"/>
      <c r="UHG16" s="2"/>
      <c r="UHH16" s="2"/>
      <c r="UHI16" s="2"/>
      <c r="UHJ16" s="2"/>
      <c r="UHK16" s="2"/>
      <c r="UHL16" s="2"/>
      <c r="UHM16" s="2"/>
      <c r="UHN16" s="2"/>
      <c r="UHO16" s="2"/>
      <c r="UHP16" s="2"/>
      <c r="UHQ16" s="2"/>
      <c r="UHR16" s="2"/>
      <c r="UHS16" s="2"/>
      <c r="UHT16" s="2"/>
      <c r="UHU16" s="2"/>
      <c r="UHV16" s="2"/>
      <c r="UHW16" s="2"/>
      <c r="UHX16" s="2"/>
      <c r="UHY16" s="2"/>
      <c r="UHZ16" s="2"/>
      <c r="UIA16" s="2"/>
      <c r="UIB16" s="2"/>
      <c r="UIC16" s="2"/>
      <c r="UID16" s="2"/>
      <c r="UIE16" s="2"/>
      <c r="UIF16" s="2"/>
      <c r="UIG16" s="2"/>
      <c r="UIH16" s="2"/>
      <c r="UII16" s="2"/>
      <c r="UIJ16" s="2"/>
      <c r="UIK16" s="2"/>
      <c r="UIL16" s="2"/>
      <c r="UIM16" s="2"/>
      <c r="UIN16" s="2"/>
      <c r="UIO16" s="2"/>
      <c r="UIP16" s="2"/>
      <c r="UIQ16" s="2"/>
      <c r="UIR16" s="2"/>
      <c r="UIS16" s="2"/>
      <c r="UIT16" s="2"/>
      <c r="UIU16" s="2"/>
      <c r="UIV16" s="2"/>
      <c r="UIW16" s="2"/>
      <c r="UIX16" s="2"/>
      <c r="UIY16" s="2"/>
      <c r="UIZ16" s="2"/>
      <c r="UJA16" s="2"/>
      <c r="UJB16" s="2"/>
      <c r="UJC16" s="2"/>
      <c r="UJD16" s="2"/>
      <c r="UJE16" s="2"/>
      <c r="UJF16" s="2"/>
      <c r="UJG16" s="2"/>
      <c r="UJH16" s="2"/>
      <c r="UJI16" s="2"/>
      <c r="UJJ16" s="2"/>
      <c r="UJK16" s="2"/>
      <c r="UJL16" s="2"/>
      <c r="UJM16" s="2"/>
      <c r="UJN16" s="2"/>
      <c r="UJO16" s="2"/>
      <c r="UJP16" s="2"/>
      <c r="UJQ16" s="2"/>
      <c r="UJR16" s="2"/>
      <c r="UJS16" s="2"/>
      <c r="UJT16" s="2"/>
      <c r="UJU16" s="2"/>
      <c r="UJV16" s="2"/>
      <c r="UJW16" s="2"/>
      <c r="UJX16" s="2"/>
      <c r="UJY16" s="2"/>
      <c r="UJZ16" s="2"/>
      <c r="UKA16" s="2"/>
      <c r="UKB16" s="2"/>
      <c r="UKC16" s="2"/>
      <c r="UKD16" s="2"/>
      <c r="UKE16" s="2"/>
      <c r="UKF16" s="2"/>
      <c r="UKG16" s="2"/>
      <c r="UKH16" s="2"/>
      <c r="UKI16" s="2"/>
      <c r="UKJ16" s="2"/>
      <c r="UKK16" s="2"/>
      <c r="UKL16" s="2"/>
      <c r="UKM16" s="2"/>
      <c r="UKN16" s="2"/>
      <c r="UKO16" s="2"/>
      <c r="UKP16" s="2"/>
      <c r="UKQ16" s="2"/>
      <c r="UKR16" s="2"/>
      <c r="UKS16" s="2"/>
      <c r="UKT16" s="2"/>
      <c r="UKU16" s="2"/>
      <c r="UKV16" s="2"/>
      <c r="UKW16" s="2"/>
      <c r="UKX16" s="2"/>
      <c r="UKY16" s="2"/>
      <c r="UKZ16" s="2"/>
      <c r="ULA16" s="2"/>
      <c r="ULB16" s="2"/>
      <c r="ULC16" s="2"/>
      <c r="ULD16" s="2"/>
      <c r="ULE16" s="2"/>
      <c r="ULF16" s="2"/>
      <c r="ULG16" s="2"/>
      <c r="ULH16" s="2"/>
      <c r="ULI16" s="2"/>
      <c r="ULJ16" s="2"/>
      <c r="ULK16" s="2"/>
      <c r="ULL16" s="2"/>
      <c r="ULM16" s="2"/>
      <c r="ULN16" s="2"/>
      <c r="ULO16" s="2"/>
      <c r="ULP16" s="2"/>
      <c r="ULQ16" s="2"/>
      <c r="ULR16" s="2"/>
      <c r="ULS16" s="2"/>
      <c r="ULT16" s="2"/>
      <c r="ULU16" s="2"/>
      <c r="ULV16" s="2"/>
      <c r="ULW16" s="2"/>
      <c r="ULX16" s="2"/>
      <c r="ULY16" s="2"/>
      <c r="ULZ16" s="2"/>
      <c r="UMA16" s="2"/>
      <c r="UMB16" s="2"/>
      <c r="UMC16" s="2"/>
      <c r="UMD16" s="2"/>
      <c r="UME16" s="2"/>
      <c r="UMF16" s="2"/>
      <c r="UMG16" s="2"/>
      <c r="UMH16" s="2"/>
      <c r="UMI16" s="2"/>
      <c r="UMJ16" s="2"/>
      <c r="UMK16" s="2"/>
      <c r="UML16" s="2"/>
      <c r="UMM16" s="2"/>
      <c r="UMN16" s="2"/>
      <c r="UMO16" s="2"/>
      <c r="UMP16" s="2"/>
      <c r="UMQ16" s="2"/>
      <c r="UMR16" s="2"/>
      <c r="UMS16" s="2"/>
      <c r="UMT16" s="2"/>
      <c r="UMU16" s="2"/>
      <c r="UMV16" s="2"/>
      <c r="UMW16" s="2"/>
      <c r="UMX16" s="2"/>
      <c r="UMY16" s="2"/>
      <c r="UMZ16" s="2"/>
      <c r="UNA16" s="2"/>
      <c r="UNB16" s="2"/>
      <c r="UNC16" s="2"/>
      <c r="UND16" s="2"/>
      <c r="UNE16" s="2"/>
      <c r="UNF16" s="2"/>
      <c r="UNG16" s="2"/>
      <c r="UNH16" s="2"/>
      <c r="UNI16" s="2"/>
      <c r="UNJ16" s="2"/>
      <c r="UNK16" s="2"/>
      <c r="UNL16" s="2"/>
      <c r="UNM16" s="2"/>
      <c r="UNN16" s="2"/>
      <c r="UNO16" s="2"/>
      <c r="UNP16" s="2"/>
      <c r="UNQ16" s="2"/>
      <c r="UNR16" s="2"/>
      <c r="UNS16" s="2"/>
      <c r="UNT16" s="2"/>
      <c r="UNU16" s="2"/>
      <c r="UNV16" s="2"/>
      <c r="UNW16" s="2"/>
      <c r="UNX16" s="2"/>
      <c r="UNY16" s="2"/>
      <c r="UNZ16" s="2"/>
      <c r="UOA16" s="2"/>
      <c r="UOB16" s="2"/>
      <c r="UOC16" s="2"/>
      <c r="UOD16" s="2"/>
      <c r="UOE16" s="2"/>
      <c r="UOF16" s="2"/>
      <c r="UOG16" s="2"/>
      <c r="UOH16" s="2"/>
      <c r="UOI16" s="2"/>
      <c r="UOJ16" s="2"/>
      <c r="UOK16" s="2"/>
      <c r="UOL16" s="2"/>
      <c r="UOM16" s="2"/>
      <c r="UON16" s="2"/>
      <c r="UOO16" s="2"/>
      <c r="UOP16" s="2"/>
      <c r="UOQ16" s="2"/>
      <c r="UOR16" s="2"/>
      <c r="UOS16" s="2"/>
      <c r="UOT16" s="2"/>
      <c r="UOU16" s="2"/>
      <c r="UOV16" s="2"/>
      <c r="UOW16" s="2"/>
      <c r="UOX16" s="2"/>
      <c r="UOY16" s="2"/>
      <c r="UOZ16" s="2"/>
      <c r="UPA16" s="2"/>
      <c r="UPB16" s="2"/>
      <c r="UPC16" s="2"/>
      <c r="UPD16" s="2"/>
      <c r="UPE16" s="2"/>
      <c r="UPF16" s="2"/>
      <c r="UPG16" s="2"/>
      <c r="UPH16" s="2"/>
      <c r="UPI16" s="2"/>
      <c r="UPJ16" s="2"/>
      <c r="UPK16" s="2"/>
      <c r="UPL16" s="2"/>
      <c r="UPM16" s="2"/>
      <c r="UPN16" s="2"/>
      <c r="UPO16" s="2"/>
      <c r="UPP16" s="2"/>
      <c r="UPQ16" s="2"/>
      <c r="UPR16" s="2"/>
      <c r="UPS16" s="2"/>
      <c r="UPT16" s="2"/>
      <c r="UPU16" s="2"/>
      <c r="UPV16" s="2"/>
      <c r="UPW16" s="2"/>
      <c r="UPX16" s="2"/>
      <c r="UPY16" s="2"/>
      <c r="UPZ16" s="2"/>
      <c r="UQA16" s="2"/>
      <c r="UQB16" s="2"/>
      <c r="UQC16" s="2"/>
      <c r="UQD16" s="2"/>
      <c r="UQE16" s="2"/>
      <c r="UQF16" s="2"/>
      <c r="UQG16" s="2"/>
      <c r="UQH16" s="2"/>
      <c r="UQI16" s="2"/>
      <c r="UQJ16" s="2"/>
      <c r="UQK16" s="2"/>
      <c r="UQL16" s="2"/>
      <c r="UQM16" s="2"/>
      <c r="UQN16" s="2"/>
      <c r="UQO16" s="2"/>
      <c r="UQP16" s="2"/>
      <c r="UQQ16" s="2"/>
      <c r="UQR16" s="2"/>
      <c r="UQS16" s="2"/>
      <c r="UQT16" s="2"/>
      <c r="UQU16" s="2"/>
      <c r="UQV16" s="2"/>
      <c r="UQW16" s="2"/>
      <c r="UQX16" s="2"/>
      <c r="UQY16" s="2"/>
      <c r="UQZ16" s="2"/>
      <c r="URA16" s="2"/>
      <c r="URB16" s="2"/>
      <c r="URC16" s="2"/>
      <c r="URD16" s="2"/>
      <c r="URE16" s="2"/>
      <c r="URF16" s="2"/>
      <c r="URG16" s="2"/>
      <c r="URH16" s="2"/>
      <c r="URI16" s="2"/>
      <c r="URJ16" s="2"/>
      <c r="URK16" s="2"/>
      <c r="URL16" s="2"/>
      <c r="URM16" s="2"/>
      <c r="URN16" s="2"/>
      <c r="URO16" s="2"/>
      <c r="URP16" s="2"/>
      <c r="URQ16" s="2"/>
      <c r="URR16" s="2"/>
      <c r="URS16" s="2"/>
      <c r="URT16" s="2"/>
      <c r="URU16" s="2"/>
      <c r="URV16" s="2"/>
      <c r="URW16" s="2"/>
      <c r="URX16" s="2"/>
      <c r="URY16" s="2"/>
      <c r="URZ16" s="2"/>
      <c r="USA16" s="2"/>
      <c r="USB16" s="2"/>
      <c r="USC16" s="2"/>
      <c r="USD16" s="2"/>
      <c r="USE16" s="2"/>
      <c r="USF16" s="2"/>
      <c r="USG16" s="2"/>
      <c r="USH16" s="2"/>
      <c r="USI16" s="2"/>
      <c r="USJ16" s="2"/>
      <c r="USK16" s="2"/>
      <c r="USL16" s="2"/>
      <c r="USM16" s="2"/>
      <c r="USN16" s="2"/>
      <c r="USO16" s="2"/>
      <c r="USP16" s="2"/>
      <c r="USQ16" s="2"/>
      <c r="USR16" s="2"/>
      <c r="USS16" s="2"/>
      <c r="UST16" s="2"/>
      <c r="USU16" s="2"/>
      <c r="USV16" s="2"/>
      <c r="USW16" s="2"/>
      <c r="USX16" s="2"/>
      <c r="USY16" s="2"/>
      <c r="USZ16" s="2"/>
      <c r="UTA16" s="2"/>
      <c r="UTB16" s="2"/>
      <c r="UTC16" s="2"/>
      <c r="UTD16" s="2"/>
      <c r="UTE16" s="2"/>
      <c r="UTF16" s="2"/>
      <c r="UTG16" s="2"/>
      <c r="UTH16" s="2"/>
      <c r="UTI16" s="2"/>
      <c r="UTJ16" s="2"/>
      <c r="UTK16" s="2"/>
      <c r="UTL16" s="2"/>
      <c r="UTM16" s="2"/>
      <c r="UTN16" s="2"/>
      <c r="UTO16" s="2"/>
      <c r="UTP16" s="2"/>
      <c r="UTQ16" s="2"/>
      <c r="UTR16" s="2"/>
      <c r="UTS16" s="2"/>
      <c r="UTT16" s="2"/>
      <c r="UTU16" s="2"/>
      <c r="UTV16" s="2"/>
      <c r="UTW16" s="2"/>
      <c r="UTX16" s="2"/>
      <c r="UTY16" s="2"/>
      <c r="UTZ16" s="2"/>
      <c r="UUA16" s="2"/>
      <c r="UUB16" s="2"/>
      <c r="UUC16" s="2"/>
      <c r="UUD16" s="2"/>
      <c r="UUE16" s="2"/>
      <c r="UUF16" s="2"/>
      <c r="UUG16" s="2"/>
      <c r="UUH16" s="2"/>
      <c r="UUI16" s="2"/>
      <c r="UUJ16" s="2"/>
      <c r="UUK16" s="2"/>
      <c r="UUL16" s="2"/>
      <c r="UUM16" s="2"/>
      <c r="UUN16" s="2"/>
      <c r="UUO16" s="2"/>
      <c r="UUP16" s="2"/>
      <c r="UUQ16" s="2"/>
      <c r="UUR16" s="2"/>
      <c r="UUS16" s="2"/>
      <c r="UUT16" s="2"/>
      <c r="UUU16" s="2"/>
      <c r="UUV16" s="2"/>
      <c r="UUW16" s="2"/>
      <c r="UUX16" s="2"/>
      <c r="UUY16" s="2"/>
      <c r="UUZ16" s="2"/>
      <c r="UVA16" s="2"/>
      <c r="UVB16" s="2"/>
      <c r="UVC16" s="2"/>
      <c r="UVD16" s="2"/>
      <c r="UVE16" s="2"/>
      <c r="UVF16" s="2"/>
      <c r="UVG16" s="2"/>
      <c r="UVH16" s="2"/>
      <c r="UVI16" s="2"/>
      <c r="UVJ16" s="2"/>
      <c r="UVK16" s="2"/>
      <c r="UVL16" s="2"/>
      <c r="UVM16" s="2"/>
      <c r="UVN16" s="2"/>
      <c r="UVO16" s="2"/>
      <c r="UVP16" s="2"/>
      <c r="UVQ16" s="2"/>
      <c r="UVR16" s="2"/>
      <c r="UVS16" s="2"/>
      <c r="UVT16" s="2"/>
      <c r="UVU16" s="2"/>
      <c r="UVV16" s="2"/>
      <c r="UVW16" s="2"/>
      <c r="UVX16" s="2"/>
      <c r="UVY16" s="2"/>
      <c r="UVZ16" s="2"/>
      <c r="UWA16" s="2"/>
      <c r="UWB16" s="2"/>
      <c r="UWC16" s="2"/>
      <c r="UWD16" s="2"/>
      <c r="UWE16" s="2"/>
      <c r="UWF16" s="2"/>
      <c r="UWG16" s="2"/>
      <c r="UWH16" s="2"/>
      <c r="UWI16" s="2"/>
      <c r="UWJ16" s="2"/>
      <c r="UWK16" s="2"/>
      <c r="UWL16" s="2"/>
      <c r="UWM16" s="2"/>
      <c r="UWN16" s="2"/>
      <c r="UWO16" s="2"/>
      <c r="UWP16" s="2"/>
      <c r="UWQ16" s="2"/>
      <c r="UWR16" s="2"/>
      <c r="UWS16" s="2"/>
      <c r="UWT16" s="2"/>
      <c r="UWU16" s="2"/>
      <c r="UWV16" s="2"/>
      <c r="UWW16" s="2"/>
      <c r="UWX16" s="2"/>
      <c r="UWY16" s="2"/>
      <c r="UWZ16" s="2"/>
      <c r="UXA16" s="2"/>
      <c r="UXB16" s="2"/>
      <c r="UXC16" s="2"/>
      <c r="UXD16" s="2"/>
      <c r="UXE16" s="2"/>
      <c r="UXF16" s="2"/>
      <c r="UXG16" s="2"/>
      <c r="UXH16" s="2"/>
      <c r="UXI16" s="2"/>
      <c r="UXJ16" s="2"/>
      <c r="UXK16" s="2"/>
      <c r="UXL16" s="2"/>
      <c r="UXM16" s="2"/>
      <c r="UXN16" s="2"/>
      <c r="UXO16" s="2"/>
      <c r="UXP16" s="2"/>
      <c r="UXQ16" s="2"/>
      <c r="UXR16" s="2"/>
      <c r="UXS16" s="2"/>
      <c r="UXT16" s="2"/>
      <c r="UXU16" s="2"/>
      <c r="UXV16" s="2"/>
      <c r="UXW16" s="2"/>
      <c r="UXX16" s="2"/>
      <c r="UXY16" s="2"/>
      <c r="UXZ16" s="2"/>
      <c r="UYA16" s="2"/>
      <c r="UYB16" s="2"/>
      <c r="UYC16" s="2"/>
      <c r="UYD16" s="2"/>
      <c r="UYE16" s="2"/>
      <c r="UYF16" s="2"/>
      <c r="UYG16" s="2"/>
      <c r="UYH16" s="2"/>
      <c r="UYI16" s="2"/>
      <c r="UYJ16" s="2"/>
      <c r="UYK16" s="2"/>
      <c r="UYL16" s="2"/>
      <c r="UYM16" s="2"/>
      <c r="UYN16" s="2"/>
      <c r="UYO16" s="2"/>
      <c r="UYP16" s="2"/>
      <c r="UYQ16" s="2"/>
      <c r="UYR16" s="2"/>
      <c r="UYS16" s="2"/>
      <c r="UYT16" s="2"/>
      <c r="UYU16" s="2"/>
      <c r="UYV16" s="2"/>
      <c r="UYW16" s="2"/>
      <c r="UYX16" s="2"/>
      <c r="UYY16" s="2"/>
      <c r="UYZ16" s="2"/>
      <c r="UZA16" s="2"/>
      <c r="UZB16" s="2"/>
      <c r="UZC16" s="2"/>
      <c r="UZD16" s="2"/>
      <c r="UZE16" s="2"/>
      <c r="UZF16" s="2"/>
      <c r="UZG16" s="2"/>
      <c r="UZH16" s="2"/>
      <c r="UZI16" s="2"/>
      <c r="UZJ16" s="2"/>
      <c r="UZK16" s="2"/>
      <c r="UZL16" s="2"/>
      <c r="UZM16" s="2"/>
      <c r="UZN16" s="2"/>
      <c r="UZO16" s="2"/>
      <c r="UZP16" s="2"/>
      <c r="UZQ16" s="2"/>
      <c r="UZR16" s="2"/>
      <c r="UZS16" s="2"/>
      <c r="UZT16" s="2"/>
      <c r="UZU16" s="2"/>
      <c r="UZV16" s="2"/>
      <c r="UZW16" s="2"/>
      <c r="UZX16" s="2"/>
      <c r="UZY16" s="2"/>
      <c r="UZZ16" s="2"/>
      <c r="VAA16" s="2"/>
      <c r="VAB16" s="2"/>
      <c r="VAC16" s="2"/>
      <c r="VAD16" s="2"/>
      <c r="VAE16" s="2"/>
      <c r="VAF16" s="2"/>
      <c r="VAG16" s="2"/>
      <c r="VAH16" s="2"/>
      <c r="VAI16" s="2"/>
      <c r="VAJ16" s="2"/>
      <c r="VAK16" s="2"/>
      <c r="VAL16" s="2"/>
      <c r="VAM16" s="2"/>
      <c r="VAN16" s="2"/>
      <c r="VAO16" s="2"/>
      <c r="VAP16" s="2"/>
      <c r="VAQ16" s="2"/>
      <c r="VAR16" s="2"/>
      <c r="VAS16" s="2"/>
      <c r="VAT16" s="2"/>
      <c r="VAU16" s="2"/>
      <c r="VAV16" s="2"/>
      <c r="VAW16" s="2"/>
      <c r="VAX16" s="2"/>
      <c r="VAY16" s="2"/>
      <c r="VAZ16" s="2"/>
      <c r="VBA16" s="2"/>
      <c r="VBB16" s="2"/>
      <c r="VBC16" s="2"/>
      <c r="VBD16" s="2"/>
      <c r="VBE16" s="2"/>
      <c r="VBF16" s="2"/>
      <c r="VBG16" s="2"/>
      <c r="VBH16" s="2"/>
      <c r="VBI16" s="2"/>
      <c r="VBJ16" s="2"/>
      <c r="VBK16" s="2"/>
      <c r="VBL16" s="2"/>
      <c r="VBM16" s="2"/>
      <c r="VBN16" s="2"/>
      <c r="VBO16" s="2"/>
      <c r="VBP16" s="2"/>
      <c r="VBQ16" s="2"/>
      <c r="VBR16" s="2"/>
      <c r="VBS16" s="2"/>
      <c r="VBT16" s="2"/>
      <c r="VBU16" s="2"/>
      <c r="VBV16" s="2"/>
      <c r="VBW16" s="2"/>
      <c r="VBX16" s="2"/>
      <c r="VBY16" s="2"/>
      <c r="VBZ16" s="2"/>
      <c r="VCA16" s="2"/>
      <c r="VCB16" s="2"/>
      <c r="VCC16" s="2"/>
      <c r="VCD16" s="2"/>
      <c r="VCE16" s="2"/>
      <c r="VCF16" s="2"/>
      <c r="VCG16" s="2"/>
      <c r="VCH16" s="2"/>
      <c r="VCI16" s="2"/>
      <c r="VCJ16" s="2"/>
      <c r="VCK16" s="2"/>
      <c r="VCL16" s="2"/>
      <c r="VCM16" s="2"/>
      <c r="VCN16" s="2"/>
      <c r="VCO16" s="2"/>
      <c r="VCP16" s="2"/>
      <c r="VCQ16" s="2"/>
      <c r="VCR16" s="2"/>
      <c r="VCS16" s="2"/>
      <c r="VCT16" s="2"/>
      <c r="VCU16" s="2"/>
      <c r="VCV16" s="2"/>
      <c r="VCW16" s="2"/>
      <c r="VCX16" s="2"/>
      <c r="VCY16" s="2"/>
      <c r="VCZ16" s="2"/>
      <c r="VDA16" s="2"/>
      <c r="VDB16" s="2"/>
      <c r="VDC16" s="2"/>
      <c r="VDD16" s="2"/>
      <c r="VDE16" s="2"/>
      <c r="VDF16" s="2"/>
      <c r="VDG16" s="2"/>
      <c r="VDH16" s="2"/>
      <c r="VDI16" s="2"/>
      <c r="VDJ16" s="2"/>
      <c r="VDK16" s="2"/>
      <c r="VDL16" s="2"/>
      <c r="VDM16" s="2"/>
      <c r="VDN16" s="2"/>
      <c r="VDO16" s="2"/>
      <c r="VDP16" s="2"/>
      <c r="VDQ16" s="2"/>
      <c r="VDR16" s="2"/>
      <c r="VDS16" s="2"/>
      <c r="VDT16" s="2"/>
      <c r="VDU16" s="2"/>
      <c r="VDV16" s="2"/>
      <c r="VDW16" s="2"/>
      <c r="VDX16" s="2"/>
      <c r="VDY16" s="2"/>
      <c r="VDZ16" s="2"/>
      <c r="VEA16" s="2"/>
      <c r="VEB16" s="2"/>
      <c r="VEC16" s="2"/>
      <c r="VED16" s="2"/>
      <c r="VEE16" s="2"/>
      <c r="VEF16" s="2"/>
      <c r="VEG16" s="2"/>
      <c r="VEH16" s="2"/>
      <c r="VEI16" s="2"/>
      <c r="VEJ16" s="2"/>
      <c r="VEK16" s="2"/>
      <c r="VEL16" s="2"/>
      <c r="VEM16" s="2"/>
      <c r="VEN16" s="2"/>
      <c r="VEO16" s="2"/>
      <c r="VEP16" s="2"/>
      <c r="VEQ16" s="2"/>
      <c r="VER16" s="2"/>
      <c r="VES16" s="2"/>
      <c r="VET16" s="2"/>
      <c r="VEU16" s="2"/>
      <c r="VEV16" s="2"/>
      <c r="VEW16" s="2"/>
      <c r="VEX16" s="2"/>
      <c r="VEY16" s="2"/>
      <c r="VEZ16" s="2"/>
      <c r="VFA16" s="2"/>
      <c r="VFB16" s="2"/>
      <c r="VFC16" s="2"/>
      <c r="VFD16" s="2"/>
      <c r="VFE16" s="2"/>
      <c r="VFF16" s="2"/>
      <c r="VFG16" s="2"/>
      <c r="VFH16" s="2"/>
      <c r="VFI16" s="2"/>
      <c r="VFJ16" s="2"/>
      <c r="VFK16" s="2"/>
      <c r="VFL16" s="2"/>
      <c r="VFM16" s="2"/>
      <c r="VFN16" s="2"/>
      <c r="VFO16" s="2"/>
      <c r="VFP16" s="2"/>
      <c r="VFQ16" s="2"/>
      <c r="VFR16" s="2"/>
      <c r="VFS16" s="2"/>
      <c r="VFT16" s="2"/>
      <c r="VFU16" s="2"/>
      <c r="VFV16" s="2"/>
      <c r="VFW16" s="2"/>
      <c r="VFX16" s="2"/>
      <c r="VFY16" s="2"/>
      <c r="VFZ16" s="2"/>
      <c r="VGA16" s="2"/>
      <c r="VGB16" s="2"/>
      <c r="VGC16" s="2"/>
      <c r="VGD16" s="2"/>
      <c r="VGE16" s="2"/>
      <c r="VGF16" s="2"/>
      <c r="VGG16" s="2"/>
      <c r="VGH16" s="2"/>
      <c r="VGI16" s="2"/>
      <c r="VGJ16" s="2"/>
      <c r="VGK16" s="2"/>
      <c r="VGL16" s="2"/>
      <c r="VGM16" s="2"/>
      <c r="VGN16" s="2"/>
      <c r="VGO16" s="2"/>
      <c r="VGP16" s="2"/>
      <c r="VGQ16" s="2"/>
      <c r="VGR16" s="2"/>
      <c r="VGS16" s="2"/>
      <c r="VGT16" s="2"/>
      <c r="VGU16" s="2"/>
      <c r="VGV16" s="2"/>
      <c r="VGW16" s="2"/>
      <c r="VGX16" s="2"/>
      <c r="VGY16" s="2"/>
      <c r="VGZ16" s="2"/>
      <c r="VHA16" s="2"/>
      <c r="VHB16" s="2"/>
      <c r="VHC16" s="2"/>
      <c r="VHD16" s="2"/>
      <c r="VHE16" s="2"/>
      <c r="VHF16" s="2"/>
      <c r="VHG16" s="2"/>
      <c r="VHH16" s="2"/>
      <c r="VHI16" s="2"/>
      <c r="VHJ16" s="2"/>
      <c r="VHK16" s="2"/>
      <c r="VHL16" s="2"/>
      <c r="VHM16" s="2"/>
      <c r="VHN16" s="2"/>
      <c r="VHO16" s="2"/>
      <c r="VHP16" s="2"/>
      <c r="VHQ16" s="2"/>
      <c r="VHR16" s="2"/>
      <c r="VHS16" s="2"/>
      <c r="VHT16" s="2"/>
      <c r="VHU16" s="2"/>
      <c r="VHV16" s="2"/>
      <c r="VHW16" s="2"/>
      <c r="VHX16" s="2"/>
      <c r="VHY16" s="2"/>
      <c r="VHZ16" s="2"/>
      <c r="VIA16" s="2"/>
      <c r="VIB16" s="2"/>
      <c r="VIC16" s="2"/>
      <c r="VID16" s="2"/>
      <c r="VIE16" s="2"/>
      <c r="VIF16" s="2"/>
      <c r="VIG16" s="2"/>
      <c r="VIH16" s="2"/>
      <c r="VII16" s="2"/>
      <c r="VIJ16" s="2"/>
      <c r="VIK16" s="2"/>
      <c r="VIL16" s="2"/>
      <c r="VIM16" s="2"/>
      <c r="VIN16" s="2"/>
      <c r="VIO16" s="2"/>
      <c r="VIP16" s="2"/>
      <c r="VIQ16" s="2"/>
      <c r="VIR16" s="2"/>
      <c r="VIS16" s="2"/>
      <c r="VIT16" s="2"/>
      <c r="VIU16" s="2"/>
      <c r="VIV16" s="2"/>
      <c r="VIW16" s="2"/>
      <c r="VIX16" s="2"/>
      <c r="VIY16" s="2"/>
      <c r="VIZ16" s="2"/>
      <c r="VJA16" s="2"/>
      <c r="VJB16" s="2"/>
      <c r="VJC16" s="2"/>
      <c r="VJD16" s="2"/>
      <c r="VJE16" s="2"/>
      <c r="VJF16" s="2"/>
      <c r="VJG16" s="2"/>
      <c r="VJH16" s="2"/>
      <c r="VJI16" s="2"/>
      <c r="VJJ16" s="2"/>
      <c r="VJK16" s="2"/>
      <c r="VJL16" s="2"/>
      <c r="VJM16" s="2"/>
      <c r="VJN16" s="2"/>
      <c r="VJO16" s="2"/>
      <c r="VJP16" s="2"/>
      <c r="VJQ16" s="2"/>
      <c r="VJR16" s="2"/>
      <c r="VJS16" s="2"/>
      <c r="VJT16" s="2"/>
      <c r="VJU16" s="2"/>
      <c r="VJV16" s="2"/>
      <c r="VJW16" s="2"/>
      <c r="VJX16" s="2"/>
      <c r="VJY16" s="2"/>
      <c r="VJZ16" s="2"/>
      <c r="VKA16" s="2"/>
      <c r="VKB16" s="2"/>
      <c r="VKC16" s="2"/>
      <c r="VKD16" s="2"/>
      <c r="VKE16" s="2"/>
      <c r="VKF16" s="2"/>
      <c r="VKG16" s="2"/>
      <c r="VKH16" s="2"/>
      <c r="VKI16" s="2"/>
      <c r="VKJ16" s="2"/>
      <c r="VKK16" s="2"/>
      <c r="VKL16" s="2"/>
      <c r="VKM16" s="2"/>
      <c r="VKN16" s="2"/>
      <c r="VKO16" s="2"/>
      <c r="VKP16" s="2"/>
      <c r="VKQ16" s="2"/>
      <c r="VKR16" s="2"/>
      <c r="VKS16" s="2"/>
      <c r="VKT16" s="2"/>
      <c r="VKU16" s="2"/>
      <c r="VKV16" s="2"/>
      <c r="VKW16" s="2"/>
      <c r="VKX16" s="2"/>
      <c r="VKY16" s="2"/>
      <c r="VKZ16" s="2"/>
      <c r="VLA16" s="2"/>
      <c r="VLB16" s="2"/>
      <c r="VLC16" s="2"/>
      <c r="VLD16" s="2"/>
      <c r="VLE16" s="2"/>
      <c r="VLF16" s="2"/>
      <c r="VLG16" s="2"/>
      <c r="VLH16" s="2"/>
      <c r="VLI16" s="2"/>
      <c r="VLJ16" s="2"/>
      <c r="VLK16" s="2"/>
      <c r="VLL16" s="2"/>
      <c r="VLM16" s="2"/>
      <c r="VLN16" s="2"/>
      <c r="VLO16" s="2"/>
      <c r="VLP16" s="2"/>
      <c r="VLQ16" s="2"/>
      <c r="VLR16" s="2"/>
      <c r="VLS16" s="2"/>
      <c r="VLT16" s="2"/>
      <c r="VLU16" s="2"/>
      <c r="VLV16" s="2"/>
      <c r="VLW16" s="2"/>
      <c r="VLX16" s="2"/>
      <c r="VLY16" s="2"/>
      <c r="VLZ16" s="2"/>
      <c r="VMA16" s="2"/>
      <c r="VMB16" s="2"/>
      <c r="VMC16" s="2"/>
      <c r="VMD16" s="2"/>
      <c r="VME16" s="2"/>
      <c r="VMF16" s="2"/>
      <c r="VMG16" s="2"/>
      <c r="VMH16" s="2"/>
      <c r="VMI16" s="2"/>
      <c r="VMJ16" s="2"/>
      <c r="VMK16" s="2"/>
      <c r="VML16" s="2"/>
      <c r="VMM16" s="2"/>
      <c r="VMN16" s="2"/>
      <c r="VMO16" s="2"/>
      <c r="VMP16" s="2"/>
      <c r="VMQ16" s="2"/>
      <c r="VMR16" s="2"/>
      <c r="VMS16" s="2"/>
      <c r="VMT16" s="2"/>
      <c r="VMU16" s="2"/>
      <c r="VMV16" s="2"/>
      <c r="VMW16" s="2"/>
      <c r="VMX16" s="2"/>
      <c r="VMY16" s="2"/>
      <c r="VMZ16" s="2"/>
      <c r="VNA16" s="2"/>
      <c r="VNB16" s="2"/>
      <c r="VNC16" s="2"/>
      <c r="VND16" s="2"/>
      <c r="VNE16" s="2"/>
      <c r="VNF16" s="2"/>
      <c r="VNG16" s="2"/>
      <c r="VNH16" s="2"/>
      <c r="VNI16" s="2"/>
      <c r="VNJ16" s="2"/>
      <c r="VNK16" s="2"/>
      <c r="VNL16" s="2"/>
      <c r="VNM16" s="2"/>
      <c r="VNN16" s="2"/>
      <c r="VNO16" s="2"/>
      <c r="VNP16" s="2"/>
      <c r="VNQ16" s="2"/>
      <c r="VNR16" s="2"/>
      <c r="VNS16" s="2"/>
      <c r="VNT16" s="2"/>
      <c r="VNU16" s="2"/>
      <c r="VNV16" s="2"/>
      <c r="VNW16" s="2"/>
      <c r="VNX16" s="2"/>
      <c r="VNY16" s="2"/>
      <c r="VNZ16" s="2"/>
      <c r="VOA16" s="2"/>
      <c r="VOB16" s="2"/>
      <c r="VOC16" s="2"/>
      <c r="VOD16" s="2"/>
      <c r="VOE16" s="2"/>
      <c r="VOF16" s="2"/>
      <c r="VOG16" s="2"/>
      <c r="VOH16" s="2"/>
      <c r="VOI16" s="2"/>
      <c r="VOJ16" s="2"/>
      <c r="VOK16" s="2"/>
      <c r="VOL16" s="2"/>
      <c r="VOM16" s="2"/>
      <c r="VON16" s="2"/>
      <c r="VOO16" s="2"/>
      <c r="VOP16" s="2"/>
      <c r="VOQ16" s="2"/>
      <c r="VOR16" s="2"/>
      <c r="VOS16" s="2"/>
      <c r="VOT16" s="2"/>
      <c r="VOU16" s="2"/>
      <c r="VOV16" s="2"/>
      <c r="VOW16" s="2"/>
      <c r="VOX16" s="2"/>
      <c r="VOY16" s="2"/>
      <c r="VOZ16" s="2"/>
      <c r="VPA16" s="2"/>
      <c r="VPB16" s="2"/>
      <c r="VPC16" s="2"/>
      <c r="VPD16" s="2"/>
      <c r="VPE16" s="2"/>
      <c r="VPF16" s="2"/>
      <c r="VPG16" s="2"/>
      <c r="VPH16" s="2"/>
      <c r="VPI16" s="2"/>
      <c r="VPJ16" s="2"/>
      <c r="VPK16" s="2"/>
      <c r="VPL16" s="2"/>
      <c r="VPM16" s="2"/>
      <c r="VPN16" s="2"/>
      <c r="VPO16" s="2"/>
      <c r="VPP16" s="2"/>
      <c r="VPQ16" s="2"/>
      <c r="VPR16" s="2"/>
      <c r="VPS16" s="2"/>
      <c r="VPT16" s="2"/>
      <c r="VPU16" s="2"/>
      <c r="VPV16" s="2"/>
      <c r="VPW16" s="2"/>
      <c r="VPX16" s="2"/>
      <c r="VPY16" s="2"/>
      <c r="VPZ16" s="2"/>
      <c r="VQA16" s="2"/>
      <c r="VQB16" s="2"/>
      <c r="VQC16" s="2"/>
      <c r="VQD16" s="2"/>
      <c r="VQE16" s="2"/>
      <c r="VQF16" s="2"/>
      <c r="VQG16" s="2"/>
      <c r="VQH16" s="2"/>
      <c r="VQI16" s="2"/>
      <c r="VQJ16" s="2"/>
      <c r="VQK16" s="2"/>
      <c r="VQL16" s="2"/>
      <c r="VQM16" s="2"/>
      <c r="VQN16" s="2"/>
      <c r="VQO16" s="2"/>
      <c r="VQP16" s="2"/>
      <c r="VQQ16" s="2"/>
      <c r="VQR16" s="2"/>
      <c r="VQS16" s="2"/>
      <c r="VQT16" s="2"/>
      <c r="VQU16" s="2"/>
      <c r="VQV16" s="2"/>
      <c r="VQW16" s="2"/>
      <c r="VQX16" s="2"/>
      <c r="VQY16" s="2"/>
      <c r="VQZ16" s="2"/>
      <c r="VRA16" s="2"/>
      <c r="VRB16" s="2"/>
      <c r="VRC16" s="2"/>
      <c r="VRD16" s="2"/>
      <c r="VRE16" s="2"/>
      <c r="VRF16" s="2"/>
      <c r="VRG16" s="2"/>
      <c r="VRH16" s="2"/>
      <c r="VRI16" s="2"/>
      <c r="VRJ16" s="2"/>
      <c r="VRK16" s="2"/>
      <c r="VRL16" s="2"/>
      <c r="VRM16" s="2"/>
      <c r="VRN16" s="2"/>
      <c r="VRO16" s="2"/>
      <c r="VRP16" s="2"/>
      <c r="VRQ16" s="2"/>
      <c r="VRR16" s="2"/>
      <c r="VRS16" s="2"/>
      <c r="VRT16" s="2"/>
      <c r="VRU16" s="2"/>
      <c r="VRV16" s="2"/>
      <c r="VRW16" s="2"/>
      <c r="VRX16" s="2"/>
      <c r="VRY16" s="2"/>
      <c r="VRZ16" s="2"/>
      <c r="VSA16" s="2"/>
      <c r="VSB16" s="2"/>
      <c r="VSC16" s="2"/>
      <c r="VSD16" s="2"/>
      <c r="VSE16" s="2"/>
      <c r="VSF16" s="2"/>
      <c r="VSG16" s="2"/>
      <c r="VSH16" s="2"/>
      <c r="VSI16" s="2"/>
      <c r="VSJ16" s="2"/>
      <c r="VSK16" s="2"/>
      <c r="VSL16" s="2"/>
      <c r="VSM16" s="2"/>
      <c r="VSN16" s="2"/>
      <c r="VSO16" s="2"/>
      <c r="VSP16" s="2"/>
      <c r="VSQ16" s="2"/>
      <c r="VSR16" s="2"/>
      <c r="VSS16" s="2"/>
      <c r="VST16" s="2"/>
      <c r="VSU16" s="2"/>
      <c r="VSV16" s="2"/>
      <c r="VSW16" s="2"/>
      <c r="VSX16" s="2"/>
      <c r="VSY16" s="2"/>
      <c r="VSZ16" s="2"/>
      <c r="VTA16" s="2"/>
      <c r="VTB16" s="2"/>
      <c r="VTC16" s="2"/>
      <c r="VTD16" s="2"/>
      <c r="VTE16" s="2"/>
      <c r="VTF16" s="2"/>
      <c r="VTG16" s="2"/>
      <c r="VTH16" s="2"/>
      <c r="VTI16" s="2"/>
      <c r="VTJ16" s="2"/>
      <c r="VTK16" s="2"/>
      <c r="VTL16" s="2"/>
      <c r="VTM16" s="2"/>
      <c r="VTN16" s="2"/>
      <c r="VTO16" s="2"/>
      <c r="VTP16" s="2"/>
      <c r="VTQ16" s="2"/>
      <c r="VTR16" s="2"/>
      <c r="VTS16" s="2"/>
      <c r="VTT16" s="2"/>
      <c r="VTU16" s="2"/>
      <c r="VTV16" s="2"/>
      <c r="VTW16" s="2"/>
      <c r="VTX16" s="2"/>
      <c r="VTY16" s="2"/>
      <c r="VTZ16" s="2"/>
      <c r="VUA16" s="2"/>
      <c r="VUB16" s="2"/>
      <c r="VUC16" s="2"/>
      <c r="VUD16" s="2"/>
      <c r="VUE16" s="2"/>
      <c r="VUF16" s="2"/>
      <c r="VUG16" s="2"/>
      <c r="VUH16" s="2"/>
      <c r="VUI16" s="2"/>
      <c r="VUJ16" s="2"/>
      <c r="VUK16" s="2"/>
      <c r="VUL16" s="2"/>
      <c r="VUM16" s="2"/>
      <c r="VUN16" s="2"/>
      <c r="VUO16" s="2"/>
      <c r="VUP16" s="2"/>
      <c r="VUQ16" s="2"/>
      <c r="VUR16" s="2"/>
      <c r="VUS16" s="2"/>
      <c r="VUT16" s="2"/>
      <c r="VUU16" s="2"/>
      <c r="VUV16" s="2"/>
      <c r="VUW16" s="2"/>
      <c r="VUX16" s="2"/>
      <c r="VUY16" s="2"/>
      <c r="VUZ16" s="2"/>
      <c r="VVA16" s="2"/>
      <c r="VVB16" s="2"/>
      <c r="VVC16" s="2"/>
      <c r="VVD16" s="2"/>
      <c r="VVE16" s="2"/>
      <c r="VVF16" s="2"/>
      <c r="VVG16" s="2"/>
      <c r="VVH16" s="2"/>
      <c r="VVI16" s="2"/>
      <c r="VVJ16" s="2"/>
      <c r="VVK16" s="2"/>
      <c r="VVL16" s="2"/>
      <c r="VVM16" s="2"/>
      <c r="VVN16" s="2"/>
      <c r="VVO16" s="2"/>
      <c r="VVP16" s="2"/>
      <c r="VVQ16" s="2"/>
      <c r="VVR16" s="2"/>
      <c r="VVS16" s="2"/>
      <c r="VVT16" s="2"/>
      <c r="VVU16" s="2"/>
      <c r="VVV16" s="2"/>
      <c r="VVW16" s="2"/>
      <c r="VVX16" s="2"/>
      <c r="VVY16" s="2"/>
      <c r="VVZ16" s="2"/>
      <c r="VWA16" s="2"/>
      <c r="VWB16" s="2"/>
      <c r="VWC16" s="2"/>
      <c r="VWD16" s="2"/>
      <c r="VWE16" s="2"/>
      <c r="VWF16" s="2"/>
      <c r="VWG16" s="2"/>
      <c r="VWH16" s="2"/>
      <c r="VWI16" s="2"/>
      <c r="VWJ16" s="2"/>
      <c r="VWK16" s="2"/>
      <c r="VWL16" s="2"/>
      <c r="VWM16" s="2"/>
      <c r="VWN16" s="2"/>
      <c r="VWO16" s="2"/>
      <c r="VWP16" s="2"/>
      <c r="VWQ16" s="2"/>
      <c r="VWR16" s="2"/>
      <c r="VWS16" s="2"/>
      <c r="VWT16" s="2"/>
      <c r="VWU16" s="2"/>
      <c r="VWV16" s="2"/>
      <c r="VWW16" s="2"/>
      <c r="VWX16" s="2"/>
      <c r="VWY16" s="2"/>
      <c r="VWZ16" s="2"/>
      <c r="VXA16" s="2"/>
      <c r="VXB16" s="2"/>
      <c r="VXC16" s="2"/>
      <c r="VXD16" s="2"/>
      <c r="VXE16" s="2"/>
      <c r="VXF16" s="2"/>
      <c r="VXG16" s="2"/>
      <c r="VXH16" s="2"/>
      <c r="VXI16" s="2"/>
      <c r="VXJ16" s="2"/>
      <c r="VXK16" s="2"/>
      <c r="VXL16" s="2"/>
      <c r="VXM16" s="2"/>
      <c r="VXN16" s="2"/>
      <c r="VXO16" s="2"/>
      <c r="VXP16" s="2"/>
      <c r="VXQ16" s="2"/>
      <c r="VXR16" s="2"/>
      <c r="VXS16" s="2"/>
      <c r="VXT16" s="2"/>
      <c r="VXU16" s="2"/>
      <c r="VXV16" s="2"/>
      <c r="VXW16" s="2"/>
      <c r="VXX16" s="2"/>
      <c r="VXY16" s="2"/>
      <c r="VXZ16" s="2"/>
      <c r="VYA16" s="2"/>
      <c r="VYB16" s="2"/>
      <c r="VYC16" s="2"/>
      <c r="VYD16" s="2"/>
      <c r="VYE16" s="2"/>
      <c r="VYF16" s="2"/>
      <c r="VYG16" s="2"/>
      <c r="VYH16" s="2"/>
      <c r="VYI16" s="2"/>
      <c r="VYJ16" s="2"/>
      <c r="VYK16" s="2"/>
      <c r="VYL16" s="2"/>
      <c r="VYM16" s="2"/>
      <c r="VYN16" s="2"/>
      <c r="VYO16" s="2"/>
      <c r="VYP16" s="2"/>
      <c r="VYQ16" s="2"/>
      <c r="VYR16" s="2"/>
      <c r="VYS16" s="2"/>
      <c r="VYT16" s="2"/>
      <c r="VYU16" s="2"/>
      <c r="VYV16" s="2"/>
      <c r="VYW16" s="2"/>
      <c r="VYX16" s="2"/>
      <c r="VYY16" s="2"/>
      <c r="VYZ16" s="2"/>
      <c r="VZA16" s="2"/>
      <c r="VZB16" s="2"/>
      <c r="VZC16" s="2"/>
      <c r="VZD16" s="2"/>
      <c r="VZE16" s="2"/>
      <c r="VZF16" s="2"/>
      <c r="VZG16" s="2"/>
      <c r="VZH16" s="2"/>
      <c r="VZI16" s="2"/>
      <c r="VZJ16" s="2"/>
      <c r="VZK16" s="2"/>
      <c r="VZL16" s="2"/>
      <c r="VZM16" s="2"/>
      <c r="VZN16" s="2"/>
      <c r="VZO16" s="2"/>
      <c r="VZP16" s="2"/>
      <c r="VZQ16" s="2"/>
      <c r="VZR16" s="2"/>
      <c r="VZS16" s="2"/>
      <c r="VZT16" s="2"/>
      <c r="VZU16" s="2"/>
      <c r="VZV16" s="2"/>
      <c r="VZW16" s="2"/>
      <c r="VZX16" s="2"/>
      <c r="VZY16" s="2"/>
      <c r="VZZ16" s="2"/>
      <c r="WAA16" s="2"/>
      <c r="WAB16" s="2"/>
      <c r="WAC16" s="2"/>
      <c r="WAD16" s="2"/>
      <c r="WAE16" s="2"/>
      <c r="WAF16" s="2"/>
      <c r="WAG16" s="2"/>
      <c r="WAH16" s="2"/>
      <c r="WAI16" s="2"/>
      <c r="WAJ16" s="2"/>
      <c r="WAK16" s="2"/>
      <c r="WAL16" s="2"/>
      <c r="WAM16" s="2"/>
      <c r="WAN16" s="2"/>
      <c r="WAO16" s="2"/>
      <c r="WAP16" s="2"/>
      <c r="WAQ16" s="2"/>
      <c r="WAR16" s="2"/>
      <c r="WAS16" s="2"/>
      <c r="WAT16" s="2"/>
      <c r="WAU16" s="2"/>
      <c r="WAV16" s="2"/>
      <c r="WAW16" s="2"/>
      <c r="WAX16" s="2"/>
      <c r="WAY16" s="2"/>
      <c r="WAZ16" s="2"/>
      <c r="WBA16" s="2"/>
      <c r="WBB16" s="2"/>
      <c r="WBC16" s="2"/>
      <c r="WBD16" s="2"/>
      <c r="WBE16" s="2"/>
      <c r="WBF16" s="2"/>
      <c r="WBG16" s="2"/>
      <c r="WBH16" s="2"/>
      <c r="WBI16" s="2"/>
      <c r="WBJ16" s="2"/>
      <c r="WBK16" s="2"/>
      <c r="WBL16" s="2"/>
      <c r="WBM16" s="2"/>
      <c r="WBN16" s="2"/>
      <c r="WBO16" s="2"/>
      <c r="WBP16" s="2"/>
      <c r="WBQ16" s="2"/>
      <c r="WBR16" s="2"/>
      <c r="WBS16" s="2"/>
      <c r="WBT16" s="2"/>
      <c r="WBU16" s="2"/>
      <c r="WBV16" s="2"/>
      <c r="WBW16" s="2"/>
      <c r="WBX16" s="2"/>
      <c r="WBY16" s="2"/>
      <c r="WBZ16" s="2"/>
      <c r="WCA16" s="2"/>
      <c r="WCB16" s="2"/>
      <c r="WCC16" s="2"/>
      <c r="WCD16" s="2"/>
      <c r="WCE16" s="2"/>
      <c r="WCF16" s="2"/>
      <c r="WCG16" s="2"/>
      <c r="WCH16" s="2"/>
      <c r="WCI16" s="2"/>
      <c r="WCJ16" s="2"/>
      <c r="WCK16" s="2"/>
      <c r="WCL16" s="2"/>
      <c r="WCM16" s="2"/>
      <c r="WCN16" s="2"/>
      <c r="WCO16" s="2"/>
      <c r="WCP16" s="2"/>
      <c r="WCQ16" s="2"/>
      <c r="WCR16" s="2"/>
      <c r="WCS16" s="2"/>
      <c r="WCT16" s="2"/>
      <c r="WCU16" s="2"/>
      <c r="WCV16" s="2"/>
      <c r="WCW16" s="2"/>
      <c r="WCX16" s="2"/>
      <c r="WCY16" s="2"/>
      <c r="WCZ16" s="2"/>
      <c r="WDA16" s="2"/>
      <c r="WDB16" s="2"/>
      <c r="WDC16" s="2"/>
      <c r="WDD16" s="2"/>
      <c r="WDE16" s="2"/>
      <c r="WDF16" s="2"/>
      <c r="WDG16" s="2"/>
      <c r="WDH16" s="2"/>
      <c r="WDI16" s="2"/>
      <c r="WDJ16" s="2"/>
      <c r="WDK16" s="2"/>
      <c r="WDL16" s="2"/>
      <c r="WDM16" s="2"/>
      <c r="WDN16" s="2"/>
      <c r="WDO16" s="2"/>
      <c r="WDP16" s="2"/>
      <c r="WDQ16" s="2"/>
      <c r="WDR16" s="2"/>
      <c r="WDS16" s="2"/>
      <c r="WDT16" s="2"/>
      <c r="WDU16" s="2"/>
      <c r="WDV16" s="2"/>
      <c r="WDW16" s="2"/>
      <c r="WDX16" s="2"/>
      <c r="WDY16" s="2"/>
      <c r="WDZ16" s="2"/>
      <c r="WEA16" s="2"/>
      <c r="WEB16" s="2"/>
      <c r="WEC16" s="2"/>
      <c r="WED16" s="2"/>
      <c r="WEE16" s="2"/>
      <c r="WEF16" s="2"/>
      <c r="WEG16" s="2"/>
      <c r="WEH16" s="2"/>
      <c r="WEI16" s="2"/>
      <c r="WEJ16" s="2"/>
      <c r="WEK16" s="2"/>
      <c r="WEL16" s="2"/>
      <c r="WEM16" s="2"/>
      <c r="WEN16" s="2"/>
      <c r="WEO16" s="2"/>
      <c r="WEP16" s="2"/>
      <c r="WEQ16" s="2"/>
      <c r="WER16" s="2"/>
      <c r="WES16" s="2"/>
      <c r="WET16" s="2"/>
      <c r="WEU16" s="2"/>
      <c r="WEV16" s="2"/>
      <c r="WEW16" s="2"/>
      <c r="WEX16" s="2"/>
      <c r="WEY16" s="2"/>
      <c r="WEZ16" s="2"/>
      <c r="WFA16" s="2"/>
      <c r="WFB16" s="2"/>
      <c r="WFC16" s="2"/>
      <c r="WFD16" s="2"/>
      <c r="WFE16" s="2"/>
      <c r="WFF16" s="2"/>
      <c r="WFG16" s="2"/>
      <c r="WFH16" s="2"/>
      <c r="WFI16" s="2"/>
      <c r="WFJ16" s="2"/>
      <c r="WFK16" s="2"/>
      <c r="WFL16" s="2"/>
      <c r="WFM16" s="2"/>
      <c r="WFN16" s="2"/>
      <c r="WFO16" s="2"/>
      <c r="WFP16" s="2"/>
      <c r="WFQ16" s="2"/>
      <c r="WFR16" s="2"/>
      <c r="WFS16" s="2"/>
      <c r="WFT16" s="2"/>
      <c r="WFU16" s="2"/>
      <c r="WFV16" s="2"/>
      <c r="WFW16" s="2"/>
      <c r="WFX16" s="2"/>
      <c r="WFY16" s="2"/>
      <c r="WFZ16" s="2"/>
      <c r="WGA16" s="2"/>
      <c r="WGB16" s="2"/>
      <c r="WGC16" s="2"/>
      <c r="WGD16" s="2"/>
      <c r="WGE16" s="2"/>
      <c r="WGF16" s="2"/>
      <c r="WGG16" s="2"/>
      <c r="WGH16" s="2"/>
      <c r="WGI16" s="2"/>
      <c r="WGJ16" s="2"/>
      <c r="WGK16" s="2"/>
      <c r="WGL16" s="2"/>
      <c r="WGM16" s="2"/>
      <c r="WGN16" s="2"/>
      <c r="WGO16" s="2"/>
      <c r="WGP16" s="2"/>
      <c r="WGQ16" s="2"/>
      <c r="WGR16" s="2"/>
      <c r="WGS16" s="2"/>
      <c r="WGT16" s="2"/>
      <c r="WGU16" s="2"/>
      <c r="WGV16" s="2"/>
      <c r="WGW16" s="2"/>
      <c r="WGX16" s="2"/>
      <c r="WGY16" s="2"/>
      <c r="WGZ16" s="2"/>
      <c r="WHA16" s="2"/>
      <c r="WHB16" s="2"/>
      <c r="WHC16" s="2"/>
      <c r="WHD16" s="2"/>
      <c r="WHE16" s="2"/>
      <c r="WHF16" s="2"/>
      <c r="WHG16" s="2"/>
      <c r="WHH16" s="2"/>
      <c r="WHI16" s="2"/>
      <c r="WHJ16" s="2"/>
      <c r="WHK16" s="2"/>
      <c r="WHL16" s="2"/>
      <c r="WHM16" s="2"/>
      <c r="WHN16" s="2"/>
      <c r="WHO16" s="2"/>
      <c r="WHP16" s="2"/>
      <c r="WHQ16" s="2"/>
      <c r="WHR16" s="2"/>
      <c r="WHS16" s="2"/>
      <c r="WHT16" s="2"/>
      <c r="WHU16" s="2"/>
      <c r="WHV16" s="2"/>
      <c r="WHW16" s="2"/>
      <c r="WHX16" s="2"/>
      <c r="WHY16" s="2"/>
      <c r="WHZ16" s="2"/>
      <c r="WIA16" s="2"/>
      <c r="WIB16" s="2"/>
      <c r="WIC16" s="2"/>
      <c r="WID16" s="2"/>
      <c r="WIE16" s="2"/>
      <c r="WIF16" s="2"/>
      <c r="WIG16" s="2"/>
      <c r="WIH16" s="2"/>
      <c r="WII16" s="2"/>
      <c r="WIJ16" s="2"/>
      <c r="WIK16" s="2"/>
      <c r="WIL16" s="2"/>
      <c r="WIM16" s="2"/>
      <c r="WIN16" s="2"/>
      <c r="WIO16" s="2"/>
      <c r="WIP16" s="2"/>
      <c r="WIQ16" s="2"/>
      <c r="WIR16" s="2"/>
      <c r="WIS16" s="2"/>
      <c r="WIT16" s="2"/>
      <c r="WIU16" s="2"/>
      <c r="WIV16" s="2"/>
      <c r="WIW16" s="2"/>
      <c r="WIX16" s="2"/>
      <c r="WIY16" s="2"/>
      <c r="WIZ16" s="2"/>
      <c r="WJA16" s="2"/>
      <c r="WJB16" s="2"/>
      <c r="WJC16" s="2"/>
      <c r="WJD16" s="2"/>
      <c r="WJE16" s="2"/>
      <c r="WJF16" s="2"/>
      <c r="WJG16" s="2"/>
      <c r="WJH16" s="2"/>
      <c r="WJI16" s="2"/>
      <c r="WJJ16" s="2"/>
      <c r="WJK16" s="2"/>
      <c r="WJL16" s="2"/>
      <c r="WJM16" s="2"/>
      <c r="WJN16" s="2"/>
      <c r="WJO16" s="2"/>
      <c r="WJP16" s="2"/>
      <c r="WJQ16" s="2"/>
      <c r="WJR16" s="2"/>
      <c r="WJS16" s="2"/>
      <c r="WJT16" s="2"/>
      <c r="WJU16" s="2"/>
      <c r="WJV16" s="2"/>
      <c r="WJW16" s="2"/>
      <c r="WJX16" s="2"/>
      <c r="WJY16" s="2"/>
      <c r="WJZ16" s="2"/>
      <c r="WKA16" s="2"/>
      <c r="WKB16" s="2"/>
      <c r="WKC16" s="2"/>
      <c r="WKD16" s="2"/>
      <c r="WKE16" s="2"/>
      <c r="WKF16" s="2"/>
      <c r="WKG16" s="2"/>
      <c r="WKH16" s="2"/>
      <c r="WKI16" s="2"/>
      <c r="WKJ16" s="2"/>
      <c r="WKK16" s="2"/>
      <c r="WKL16" s="2"/>
      <c r="WKM16" s="2"/>
      <c r="WKN16" s="2"/>
      <c r="WKO16" s="2"/>
      <c r="WKP16" s="2"/>
      <c r="WKQ16" s="2"/>
      <c r="WKR16" s="2"/>
      <c r="WKS16" s="2"/>
      <c r="WKT16" s="2"/>
      <c r="WKU16" s="2"/>
      <c r="WKV16" s="2"/>
      <c r="WKW16" s="2"/>
      <c r="WKX16" s="2"/>
      <c r="WKY16" s="2"/>
      <c r="WKZ16" s="2"/>
      <c r="WLA16" s="2"/>
      <c r="WLB16" s="2"/>
      <c r="WLC16" s="2"/>
      <c r="WLD16" s="2"/>
      <c r="WLE16" s="2"/>
      <c r="WLF16" s="2"/>
      <c r="WLG16" s="2"/>
      <c r="WLH16" s="2"/>
      <c r="WLI16" s="2"/>
      <c r="WLJ16" s="2"/>
      <c r="WLK16" s="2"/>
      <c r="WLL16" s="2"/>
      <c r="WLM16" s="2"/>
      <c r="WLN16" s="2"/>
      <c r="WLO16" s="2"/>
      <c r="WLP16" s="2"/>
      <c r="WLQ16" s="2"/>
      <c r="WLR16" s="2"/>
      <c r="WLS16" s="2"/>
      <c r="WLT16" s="2"/>
      <c r="WLU16" s="2"/>
      <c r="WLV16" s="2"/>
      <c r="WLW16" s="2"/>
      <c r="WLX16" s="2"/>
      <c r="WLY16" s="2"/>
      <c r="WLZ16" s="2"/>
      <c r="WMA16" s="2"/>
      <c r="WMB16" s="2"/>
      <c r="WMC16" s="2"/>
      <c r="WMD16" s="2"/>
      <c r="WME16" s="2"/>
      <c r="WMF16" s="2"/>
      <c r="WMG16" s="2"/>
      <c r="WMH16" s="2"/>
      <c r="WMI16" s="2"/>
      <c r="WMJ16" s="2"/>
      <c r="WMK16" s="2"/>
      <c r="WML16" s="2"/>
      <c r="WMM16" s="2"/>
      <c r="WMN16" s="2"/>
      <c r="WMO16" s="2"/>
      <c r="WMP16" s="2"/>
      <c r="WMQ16" s="2"/>
      <c r="WMR16" s="2"/>
      <c r="WMS16" s="2"/>
      <c r="WMT16" s="2"/>
      <c r="WMU16" s="2"/>
      <c r="WMV16" s="2"/>
      <c r="WMW16" s="2"/>
      <c r="WMX16" s="2"/>
      <c r="WMY16" s="2"/>
      <c r="WMZ16" s="2"/>
      <c r="WNA16" s="2"/>
      <c r="WNB16" s="2"/>
      <c r="WNC16" s="2"/>
      <c r="WND16" s="2"/>
      <c r="WNE16" s="2"/>
      <c r="WNF16" s="2"/>
      <c r="WNG16" s="2"/>
      <c r="WNH16" s="2"/>
      <c r="WNI16" s="2"/>
      <c r="WNJ16" s="2"/>
      <c r="WNK16" s="2"/>
      <c r="WNL16" s="2"/>
      <c r="WNM16" s="2"/>
      <c r="WNN16" s="2"/>
      <c r="WNO16" s="2"/>
      <c r="WNP16" s="2"/>
      <c r="WNQ16" s="2"/>
      <c r="WNR16" s="2"/>
      <c r="WNS16" s="2"/>
      <c r="WNT16" s="2"/>
      <c r="WNU16" s="2"/>
      <c r="WNV16" s="2"/>
      <c r="WNW16" s="2"/>
      <c r="WNX16" s="2"/>
      <c r="WNY16" s="2"/>
      <c r="WNZ16" s="2"/>
      <c r="WOA16" s="2"/>
      <c r="WOB16" s="2"/>
      <c r="WOC16" s="2"/>
      <c r="WOD16" s="2"/>
      <c r="WOE16" s="2"/>
      <c r="WOF16" s="2"/>
      <c r="WOG16" s="2"/>
      <c r="WOH16" s="2"/>
      <c r="WOI16" s="2"/>
      <c r="WOJ16" s="2"/>
      <c r="WOK16" s="2"/>
      <c r="WOL16" s="2"/>
      <c r="WOM16" s="2"/>
      <c r="WON16" s="2"/>
      <c r="WOO16" s="2"/>
      <c r="WOP16" s="2"/>
      <c r="WOQ16" s="2"/>
      <c r="WOR16" s="2"/>
      <c r="WOS16" s="2"/>
      <c r="WOT16" s="2"/>
      <c r="WOU16" s="2"/>
      <c r="WOV16" s="2"/>
      <c r="WOW16" s="2"/>
      <c r="WOX16" s="2"/>
      <c r="WOY16" s="2"/>
      <c r="WOZ16" s="2"/>
      <c r="WPA16" s="2"/>
      <c r="WPB16" s="2"/>
      <c r="WPC16" s="2"/>
      <c r="WPD16" s="2"/>
      <c r="WPE16" s="2"/>
      <c r="WPF16" s="2"/>
      <c r="WPG16" s="2"/>
      <c r="WPH16" s="2"/>
      <c r="WPI16" s="2"/>
      <c r="WPJ16" s="2"/>
      <c r="WPK16" s="2"/>
      <c r="WPL16" s="2"/>
      <c r="WPM16" s="2"/>
      <c r="WPN16" s="2"/>
      <c r="WPO16" s="2"/>
      <c r="WPP16" s="2"/>
      <c r="WPQ16" s="2"/>
      <c r="WPR16" s="2"/>
      <c r="WPS16" s="2"/>
      <c r="WPT16" s="2"/>
      <c r="WPU16" s="2"/>
      <c r="WPV16" s="2"/>
      <c r="WPW16" s="2"/>
      <c r="WPX16" s="2"/>
      <c r="WPY16" s="2"/>
      <c r="WPZ16" s="2"/>
      <c r="WQA16" s="2"/>
      <c r="WQB16" s="2"/>
      <c r="WQC16" s="2"/>
      <c r="WQD16" s="2"/>
      <c r="WQE16" s="2"/>
      <c r="WQF16" s="2"/>
      <c r="WQG16" s="2"/>
      <c r="WQH16" s="2"/>
      <c r="WQI16" s="2"/>
      <c r="WQJ16" s="2"/>
      <c r="WQK16" s="2"/>
      <c r="WQL16" s="2"/>
      <c r="WQM16" s="2"/>
      <c r="WQN16" s="2"/>
      <c r="WQO16" s="2"/>
      <c r="WQP16" s="2"/>
      <c r="WQQ16" s="2"/>
      <c r="WQR16" s="2"/>
      <c r="WQS16" s="2"/>
      <c r="WQT16" s="2"/>
      <c r="WQU16" s="2"/>
      <c r="WQV16" s="2"/>
      <c r="WQW16" s="2"/>
      <c r="WQX16" s="2"/>
      <c r="WQY16" s="2"/>
      <c r="WQZ16" s="2"/>
      <c r="WRA16" s="2"/>
      <c r="WRB16" s="2"/>
      <c r="WRC16" s="2"/>
      <c r="WRD16" s="2"/>
      <c r="WRE16" s="2"/>
      <c r="WRF16" s="2"/>
      <c r="WRG16" s="2"/>
      <c r="WRH16" s="2"/>
      <c r="WRI16" s="2"/>
      <c r="WRJ16" s="2"/>
      <c r="WRK16" s="2"/>
      <c r="WRL16" s="2"/>
      <c r="WRM16" s="2"/>
      <c r="WRN16" s="2"/>
      <c r="WRO16" s="2"/>
      <c r="WRP16" s="2"/>
      <c r="WRQ16" s="2"/>
      <c r="WRR16" s="2"/>
      <c r="WRS16" s="2"/>
      <c r="WRT16" s="2"/>
      <c r="WRU16" s="2"/>
      <c r="WRV16" s="2"/>
      <c r="WRW16" s="2"/>
      <c r="WRX16" s="2"/>
      <c r="WRY16" s="2"/>
      <c r="WRZ16" s="2"/>
      <c r="WSA16" s="2"/>
      <c r="WSB16" s="2"/>
      <c r="WSC16" s="2"/>
      <c r="WSD16" s="2"/>
      <c r="WSE16" s="2"/>
      <c r="WSF16" s="2"/>
      <c r="WSG16" s="2"/>
      <c r="WSH16" s="2"/>
      <c r="WSI16" s="2"/>
      <c r="WSJ16" s="2"/>
      <c r="WSK16" s="2"/>
      <c r="WSL16" s="2"/>
      <c r="WSM16" s="2"/>
      <c r="WSN16" s="2"/>
      <c r="WSO16" s="2"/>
      <c r="WSP16" s="2"/>
      <c r="WSQ16" s="2"/>
      <c r="WSR16" s="2"/>
      <c r="WSS16" s="2"/>
      <c r="WST16" s="2"/>
      <c r="WSU16" s="2"/>
      <c r="WSV16" s="2"/>
      <c r="WSW16" s="2"/>
      <c r="WSX16" s="2"/>
      <c r="WSY16" s="2"/>
      <c r="WSZ16" s="2"/>
      <c r="WTA16" s="2"/>
      <c r="WTB16" s="2"/>
      <c r="WTC16" s="2"/>
      <c r="WTD16" s="2"/>
      <c r="WTE16" s="2"/>
      <c r="WTF16" s="2"/>
      <c r="WTG16" s="2"/>
      <c r="WTH16" s="2"/>
      <c r="WTI16" s="2"/>
      <c r="WTJ16" s="2"/>
      <c r="WTK16" s="2"/>
      <c r="WTL16" s="2"/>
      <c r="WTM16" s="2"/>
      <c r="WTN16" s="2"/>
      <c r="WTO16" s="2"/>
      <c r="WTP16" s="2"/>
      <c r="WTQ16" s="2"/>
      <c r="WTR16" s="2"/>
      <c r="WTS16" s="2"/>
      <c r="WTT16" s="2"/>
      <c r="WTU16" s="2"/>
      <c r="WTV16" s="2"/>
      <c r="WTW16" s="2"/>
      <c r="WTX16" s="2"/>
      <c r="WTY16" s="2"/>
      <c r="WTZ16" s="2"/>
      <c r="WUA16" s="2"/>
      <c r="WUB16" s="2"/>
      <c r="WUC16" s="2"/>
      <c r="WUD16" s="2"/>
      <c r="WUE16" s="2"/>
      <c r="WUF16" s="2"/>
      <c r="WUG16" s="2"/>
      <c r="WUH16" s="2"/>
      <c r="WUI16" s="2"/>
      <c r="WUJ16" s="2"/>
      <c r="WUK16" s="2"/>
      <c r="WUL16" s="2"/>
      <c r="WUM16" s="2"/>
      <c r="WUN16" s="2"/>
      <c r="WUO16" s="2"/>
      <c r="WUP16" s="2"/>
      <c r="WUQ16" s="2"/>
      <c r="WUR16" s="2"/>
      <c r="WUS16" s="2"/>
      <c r="WUT16" s="2"/>
      <c r="WUU16" s="2"/>
      <c r="WUV16" s="2"/>
      <c r="WUW16" s="2"/>
      <c r="WUX16" s="2"/>
      <c r="WUY16" s="2"/>
      <c r="WUZ16" s="2"/>
      <c r="WVA16" s="2"/>
      <c r="WVB16" s="2"/>
      <c r="WVC16" s="2"/>
      <c r="WVD16" s="2"/>
      <c r="WVE16" s="2"/>
      <c r="WVF16" s="2"/>
      <c r="WVG16" s="2"/>
      <c r="WVH16" s="2"/>
      <c r="WVI16" s="2"/>
      <c r="WVJ16" s="2"/>
      <c r="WVK16" s="2"/>
      <c r="WVL16" s="2"/>
      <c r="WVM16" s="2"/>
      <c r="WVN16" s="2"/>
      <c r="WVO16" s="2"/>
      <c r="WVP16" s="2"/>
      <c r="WVQ16" s="2"/>
      <c r="WVR16" s="2"/>
      <c r="WVS16" s="2"/>
      <c r="WVT16" s="2"/>
      <c r="WVU16" s="2"/>
      <c r="WVV16" s="2"/>
      <c r="WVW16" s="2"/>
      <c r="WVX16" s="2"/>
      <c r="WVY16" s="2"/>
      <c r="WVZ16" s="2"/>
      <c r="WWA16" s="2"/>
      <c r="WWB16" s="2"/>
      <c r="WWC16" s="2"/>
      <c r="WWD16" s="2"/>
      <c r="WWE16" s="2"/>
      <c r="WWF16" s="2"/>
      <c r="WWG16" s="2"/>
      <c r="WWH16" s="2"/>
      <c r="WWI16" s="2"/>
      <c r="WWJ16" s="2"/>
      <c r="WWK16" s="2"/>
      <c r="WWL16" s="2"/>
      <c r="WWM16" s="2"/>
      <c r="WWN16" s="2"/>
      <c r="WWO16" s="2"/>
      <c r="WWP16" s="2"/>
      <c r="WWQ16" s="2"/>
      <c r="WWR16" s="2"/>
      <c r="WWS16" s="2"/>
      <c r="WWT16" s="2"/>
      <c r="WWU16" s="2"/>
      <c r="WWV16" s="2"/>
      <c r="WWW16" s="2"/>
      <c r="WWX16" s="2"/>
      <c r="WWY16" s="2"/>
      <c r="WWZ16" s="2"/>
      <c r="WXA16" s="2"/>
      <c r="WXB16" s="2"/>
      <c r="WXC16" s="2"/>
      <c r="WXD16" s="2"/>
      <c r="WXE16" s="2"/>
      <c r="WXF16" s="2"/>
      <c r="WXG16" s="2"/>
      <c r="WXH16" s="2"/>
      <c r="WXI16" s="2"/>
      <c r="WXJ16" s="2"/>
      <c r="WXK16" s="2"/>
      <c r="WXL16" s="2"/>
      <c r="WXM16" s="2"/>
      <c r="WXN16" s="2"/>
      <c r="WXO16" s="2"/>
      <c r="WXP16" s="2"/>
      <c r="WXQ16" s="2"/>
      <c r="WXR16" s="2"/>
      <c r="WXS16" s="2"/>
      <c r="WXT16" s="2"/>
      <c r="WXU16" s="2"/>
      <c r="WXV16" s="2"/>
      <c r="WXW16" s="2"/>
      <c r="WXX16" s="2"/>
      <c r="WXY16" s="2"/>
      <c r="WXZ16" s="2"/>
      <c r="WYA16" s="2"/>
      <c r="WYB16" s="2"/>
      <c r="WYC16" s="2"/>
      <c r="WYD16" s="2"/>
      <c r="WYE16" s="2"/>
      <c r="WYF16" s="2"/>
      <c r="WYG16" s="2"/>
      <c r="WYH16" s="2"/>
      <c r="WYI16" s="2"/>
      <c r="WYJ16" s="2"/>
      <c r="WYK16" s="2"/>
      <c r="WYL16" s="2"/>
      <c r="WYM16" s="2"/>
      <c r="WYN16" s="2"/>
      <c r="WYO16" s="2"/>
      <c r="WYP16" s="2"/>
      <c r="WYQ16" s="2"/>
      <c r="WYR16" s="2"/>
      <c r="WYS16" s="2"/>
      <c r="WYT16" s="2"/>
      <c r="WYU16" s="2"/>
      <c r="WYV16" s="2"/>
      <c r="WYW16" s="2"/>
      <c r="WYX16" s="2"/>
      <c r="WYY16" s="2"/>
      <c r="WYZ16" s="2"/>
      <c r="WZA16" s="2"/>
      <c r="WZB16" s="2"/>
      <c r="WZC16" s="2"/>
      <c r="WZD16" s="2"/>
      <c r="WZE16" s="2"/>
      <c r="WZF16" s="2"/>
      <c r="WZG16" s="2"/>
      <c r="WZH16" s="2"/>
      <c r="WZI16" s="2"/>
      <c r="WZJ16" s="2"/>
      <c r="WZK16" s="2"/>
      <c r="WZL16" s="2"/>
      <c r="WZM16" s="2"/>
      <c r="WZN16" s="2"/>
      <c r="WZO16" s="2"/>
      <c r="WZP16" s="2"/>
      <c r="WZQ16" s="2"/>
      <c r="WZR16" s="2"/>
      <c r="WZS16" s="2"/>
      <c r="WZT16" s="2"/>
      <c r="WZU16" s="2"/>
      <c r="WZV16" s="2"/>
      <c r="WZW16" s="2"/>
      <c r="WZX16" s="2"/>
      <c r="WZY16" s="2"/>
      <c r="WZZ16" s="2"/>
      <c r="XAA16" s="2"/>
      <c r="XAB16" s="2"/>
      <c r="XAC16" s="2"/>
      <c r="XAD16" s="2"/>
      <c r="XAE16" s="2"/>
      <c r="XAF16" s="2"/>
      <c r="XAG16" s="2"/>
      <c r="XAH16" s="2"/>
      <c r="XAI16" s="2"/>
      <c r="XAJ16" s="2"/>
      <c r="XAK16" s="2"/>
      <c r="XAL16" s="2"/>
      <c r="XAM16" s="2"/>
      <c r="XAN16" s="2"/>
      <c r="XAO16" s="2"/>
      <c r="XAP16" s="2"/>
      <c r="XAQ16" s="2"/>
      <c r="XAR16" s="2"/>
      <c r="XAS16" s="2"/>
      <c r="XAT16" s="2"/>
      <c r="XAU16" s="2"/>
      <c r="XAV16" s="2"/>
      <c r="XAW16" s="2"/>
      <c r="XAX16" s="2"/>
      <c r="XAY16" s="2"/>
      <c r="XAZ16" s="2"/>
      <c r="XBA16" s="2"/>
      <c r="XBB16" s="2"/>
      <c r="XBC16" s="2"/>
      <c r="XBD16" s="2"/>
      <c r="XBE16" s="2"/>
      <c r="XBF16" s="2"/>
      <c r="XBG16" s="2"/>
      <c r="XBH16" s="2"/>
      <c r="XBI16" s="2"/>
      <c r="XBJ16" s="2"/>
      <c r="XBK16" s="2"/>
      <c r="XBL16" s="2"/>
      <c r="XBM16" s="2"/>
      <c r="XBN16" s="2"/>
      <c r="XBO16" s="2"/>
      <c r="XBP16" s="2"/>
      <c r="XBQ16" s="2"/>
      <c r="XBR16" s="2"/>
      <c r="XBS16" s="2"/>
      <c r="XBT16" s="2"/>
      <c r="XBU16" s="2"/>
      <c r="XBV16" s="2"/>
      <c r="XBW16" s="2"/>
      <c r="XBX16" s="2"/>
      <c r="XBY16" s="2"/>
      <c r="XBZ16" s="2"/>
      <c r="XCA16" s="2"/>
      <c r="XCB16" s="2"/>
      <c r="XCC16" s="2"/>
      <c r="XCD16" s="2"/>
      <c r="XCE16" s="2"/>
      <c r="XCF16" s="2"/>
      <c r="XCG16" s="2"/>
      <c r="XCH16" s="2"/>
      <c r="XCI16" s="2"/>
      <c r="XCJ16" s="2"/>
      <c r="XCK16" s="2"/>
      <c r="XCL16" s="2"/>
      <c r="XCM16" s="2"/>
      <c r="XCN16" s="2"/>
      <c r="XCO16" s="2"/>
      <c r="XCP16" s="2"/>
      <c r="XCQ16" s="2"/>
      <c r="XCR16" s="2"/>
      <c r="XCS16" s="2"/>
      <c r="XCT16" s="2"/>
      <c r="XCU16" s="2"/>
      <c r="XCV16" s="2"/>
      <c r="XCW16" s="2"/>
      <c r="XCX16" s="2"/>
      <c r="XCY16" s="2"/>
      <c r="XCZ16" s="2"/>
      <c r="XDA16" s="2"/>
      <c r="XDB16" s="2"/>
      <c r="XDC16" s="2"/>
      <c r="XDD16" s="2"/>
      <c r="XDE16" s="2"/>
      <c r="XDF16" s="2"/>
      <c r="XDG16" s="2"/>
      <c r="XDH16" s="2"/>
      <c r="XDI16" s="2"/>
      <c r="XDJ16" s="2"/>
      <c r="XDK16" s="2"/>
      <c r="XDL16" s="2"/>
      <c r="XDM16" s="2"/>
      <c r="XDN16" s="2"/>
      <c r="XDO16" s="2"/>
      <c r="XDP16" s="2"/>
      <c r="XDQ16" s="2"/>
      <c r="XDR16" s="2"/>
      <c r="XDS16" s="2"/>
      <c r="XDT16" s="2"/>
      <c r="XDU16" s="2"/>
      <c r="XDV16" s="2"/>
      <c r="XDW16" s="2"/>
      <c r="XDX16" s="2"/>
      <c r="XDY16" s="2"/>
      <c r="XDZ16" s="2"/>
      <c r="XEA16" s="2"/>
      <c r="XEB16" s="2"/>
      <c r="XEC16" s="2"/>
    </row>
    <row r="17" spans="1:18" ht="15.95" customHeight="1" x14ac:dyDescent="0.25">
      <c r="A17" s="19" t="s">
        <v>512</v>
      </c>
      <c r="B17" s="19" t="s">
        <v>170</v>
      </c>
      <c r="C17" s="33">
        <v>1</v>
      </c>
      <c r="D17" s="33">
        <v>1</v>
      </c>
      <c r="E17" s="33">
        <v>1</v>
      </c>
      <c r="F17" s="33">
        <v>53</v>
      </c>
      <c r="G17" s="33">
        <v>1</v>
      </c>
      <c r="H17" s="33" cm="1">
        <f t="array" ref="H17">G17*_xlfn.IFS(Настройки!$B$2="M",'Печатные изд.'!C17,Настройки!$B$2="L",'Печатные изд.'!D17,Настройки!$B$2="XL",'Печатные изд.'!E17)</f>
        <v>1</v>
      </c>
      <c r="I17" s="41">
        <f t="shared" si="0"/>
        <v>53</v>
      </c>
      <c r="J17" s="33" t="s">
        <v>515</v>
      </c>
      <c r="K17" s="41" cm="1">
        <f t="array" ref="K17">_xlfn.IFS(J17="Высоконагруженная",Настройки!$B$6,J17="Средне-нагруженная",Настройки!$B$7,J17="Ненагруженная",Настройки!$B$8,J17="Гибкая",Настройки!$B$9)</f>
        <v>1.1499999999999999</v>
      </c>
      <c r="L17" s="41" cm="1">
        <f t="array" ref="L17">_xlfn.IFS(J17="Высоконагруженная",Настройки!$C$6,J17="Средне-нагруженная",Настройки!$C$7,J17="Ненагруженная",Настройки!$C$8,J17="Гибкая",Настройки!$C$9)/1000</f>
        <v>2</v>
      </c>
      <c r="M17" s="51">
        <f t="shared" si="1"/>
        <v>0</v>
      </c>
      <c r="N17" s="51">
        <f t="shared" si="2"/>
        <v>60.949999999999996</v>
      </c>
      <c r="O17" s="51">
        <f t="shared" si="3"/>
        <v>0</v>
      </c>
      <c r="P17" s="51">
        <f t="shared" si="4"/>
        <v>0</v>
      </c>
      <c r="Q17" s="52">
        <f t="shared" si="5"/>
        <v>121.89999999999999</v>
      </c>
      <c r="R17" s="104" t="s">
        <v>514</v>
      </c>
    </row>
    <row r="18" spans="1:18" ht="15.95" customHeight="1" x14ac:dyDescent="0.25">
      <c r="A18" s="19" t="s">
        <v>513</v>
      </c>
      <c r="B18" s="19" t="s">
        <v>170</v>
      </c>
      <c r="C18" s="33">
        <v>1</v>
      </c>
      <c r="D18" s="33">
        <v>1</v>
      </c>
      <c r="E18" s="33">
        <v>1</v>
      </c>
      <c r="F18" s="33">
        <v>54</v>
      </c>
      <c r="G18" s="33">
        <v>1</v>
      </c>
      <c r="H18" s="33" cm="1">
        <f t="array" ref="H18">G18*_xlfn.IFS(Настройки!$B$2="M",'Печатные изд.'!C18,Настройки!$B$2="L",'Печатные изд.'!D18,Настройки!$B$2="XL",'Печатные изд.'!E18)</f>
        <v>1</v>
      </c>
      <c r="I18" s="41">
        <f t="shared" si="0"/>
        <v>54</v>
      </c>
      <c r="J18" s="33" t="s">
        <v>515</v>
      </c>
      <c r="K18" s="41" cm="1">
        <f t="array" ref="K18">_xlfn.IFS(J18="Высоконагруженная",Настройки!$B$6,J18="Средне-нагруженная",Настройки!$B$7,J18="Ненагруженная",Настройки!$B$8,J18="Гибкая",Настройки!$B$9)</f>
        <v>1.1499999999999999</v>
      </c>
      <c r="L18" s="41" cm="1">
        <f t="array" ref="L18">_xlfn.IFS(J18="Высоконагруженная",Настройки!$C$6,J18="Средне-нагруженная",Настройки!$C$7,J18="Ненагруженная",Настройки!$C$8,J18="Гибкая",Настройки!$C$9)/1000</f>
        <v>2</v>
      </c>
      <c r="M18" s="51">
        <f t="shared" si="1"/>
        <v>0</v>
      </c>
      <c r="N18" s="51">
        <f t="shared" si="2"/>
        <v>62.099999999999994</v>
      </c>
      <c r="O18" s="51">
        <f t="shared" si="3"/>
        <v>0</v>
      </c>
      <c r="P18" s="51">
        <f t="shared" si="4"/>
        <v>0</v>
      </c>
      <c r="Q18" s="52">
        <f t="shared" si="5"/>
        <v>124.19999999999999</v>
      </c>
      <c r="R18" s="105"/>
    </row>
    <row r="19" spans="1:18" ht="15.95" customHeight="1" x14ac:dyDescent="0.25">
      <c r="A19" s="19" t="s">
        <v>171</v>
      </c>
      <c r="B19" s="19" t="s">
        <v>172</v>
      </c>
      <c r="C19" s="33">
        <v>1</v>
      </c>
      <c r="D19" s="33">
        <v>1</v>
      </c>
      <c r="E19" s="33">
        <v>1</v>
      </c>
      <c r="F19" s="33">
        <v>12</v>
      </c>
      <c r="G19" s="33">
        <v>1</v>
      </c>
      <c r="H19" s="33" cm="1">
        <f t="array" ref="H19">G19*_xlfn.IFS(Настройки!$B$2="M",'Печатные изд.'!C19,Настройки!$B$2="L",'Печатные изд.'!D19,Настройки!$B$2="XL",'Печатные изд.'!E19)</f>
        <v>1</v>
      </c>
      <c r="I19" s="41">
        <f t="shared" si="0"/>
        <v>12</v>
      </c>
      <c r="J19" s="33" t="s">
        <v>515</v>
      </c>
      <c r="K19" s="41" cm="1">
        <f t="array" ref="K19">_xlfn.IFS(J19="Высоконагруженная",Настройки!$B$6,J19="Средне-нагруженная",Настройки!$B$7,J19="Ненагруженная",Настройки!$B$8,J19="Гибкая",Настройки!$B$9)</f>
        <v>1.1499999999999999</v>
      </c>
      <c r="L19" s="41" cm="1">
        <f t="array" ref="L19">_xlfn.IFS(J19="Высоконагруженная",Настройки!$C$6,J19="Средне-нагруженная",Настройки!$C$7,J19="Ненагруженная",Настройки!$C$8,J19="Гибкая",Настройки!$C$9)/1000</f>
        <v>2</v>
      </c>
      <c r="M19" s="51">
        <f t="shared" si="1"/>
        <v>0</v>
      </c>
      <c r="N19" s="51">
        <f t="shared" si="2"/>
        <v>13.799999999999999</v>
      </c>
      <c r="O19" s="51">
        <f t="shared" si="3"/>
        <v>0</v>
      </c>
      <c r="P19" s="51">
        <f t="shared" si="4"/>
        <v>0</v>
      </c>
      <c r="Q19" s="52">
        <f t="shared" si="5"/>
        <v>27.599999999999998</v>
      </c>
      <c r="R19" s="43"/>
    </row>
    <row r="20" spans="1:18" ht="15.95" customHeight="1" x14ac:dyDescent="0.25">
      <c r="A20" s="19" t="s">
        <v>173</v>
      </c>
      <c r="B20" s="19" t="s">
        <v>172</v>
      </c>
      <c r="C20" s="33">
        <v>1</v>
      </c>
      <c r="D20" s="33">
        <v>1</v>
      </c>
      <c r="E20" s="33">
        <v>1</v>
      </c>
      <c r="F20" s="33">
        <v>12</v>
      </c>
      <c r="G20" s="33">
        <v>1</v>
      </c>
      <c r="H20" s="33" cm="1">
        <f t="array" ref="H20">G20*_xlfn.IFS(Настройки!$B$2="M",'Печатные изд.'!C20,Настройки!$B$2="L",'Печатные изд.'!D20,Настройки!$B$2="XL",'Печатные изд.'!E20)</f>
        <v>1</v>
      </c>
      <c r="I20" s="41">
        <f t="shared" si="0"/>
        <v>12</v>
      </c>
      <c r="J20" s="33" t="s">
        <v>515</v>
      </c>
      <c r="K20" s="41" cm="1">
        <f t="array" ref="K20">_xlfn.IFS(J20="Высоконагруженная",Настройки!$B$6,J20="Средне-нагруженная",Настройки!$B$7,J20="Ненагруженная",Настройки!$B$8,J20="Гибкая",Настройки!$B$9)</f>
        <v>1.1499999999999999</v>
      </c>
      <c r="L20" s="41" cm="1">
        <f t="array" ref="L20">_xlfn.IFS(J20="Высоконагруженная",Настройки!$C$6,J20="Средне-нагруженная",Настройки!$C$7,J20="Ненагруженная",Настройки!$C$8,J20="Гибкая",Настройки!$C$9)/1000</f>
        <v>2</v>
      </c>
      <c r="M20" s="51">
        <f t="shared" si="1"/>
        <v>0</v>
      </c>
      <c r="N20" s="51">
        <f t="shared" si="2"/>
        <v>13.799999999999999</v>
      </c>
      <c r="O20" s="51">
        <f t="shared" si="3"/>
        <v>0</v>
      </c>
      <c r="P20" s="51">
        <f t="shared" si="4"/>
        <v>0</v>
      </c>
      <c r="Q20" s="52">
        <f t="shared" si="5"/>
        <v>27.599999999999998</v>
      </c>
      <c r="R20" s="43"/>
    </row>
    <row r="21" spans="1:18" ht="15.95" customHeight="1" x14ac:dyDescent="0.25">
      <c r="A21" s="19" t="s">
        <v>174</v>
      </c>
      <c r="B21" s="19" t="s">
        <v>175</v>
      </c>
      <c r="C21" s="33">
        <v>1</v>
      </c>
      <c r="D21" s="33">
        <v>1</v>
      </c>
      <c r="E21" s="33">
        <v>1</v>
      </c>
      <c r="F21" s="33">
        <v>253</v>
      </c>
      <c r="G21" s="33">
        <v>1</v>
      </c>
      <c r="H21" s="33" cm="1">
        <f t="array" ref="H21">G21*_xlfn.IFS(Настройки!$B$2="M",'Печатные изд.'!C21,Настройки!$B$2="L",'Печатные изд.'!D21,Настройки!$B$2="XL",'Печатные изд.'!E21)</f>
        <v>1</v>
      </c>
      <c r="I21" s="41">
        <f t="shared" si="0"/>
        <v>253</v>
      </c>
      <c r="J21" s="33" t="s">
        <v>515</v>
      </c>
      <c r="K21" s="41" cm="1">
        <f t="array" ref="K21">_xlfn.IFS(J21="Высоконагруженная",Настройки!$B$6,J21="Средне-нагруженная",Настройки!$B$7,J21="Ненагруженная",Настройки!$B$8,J21="Гибкая",Настройки!$B$9)</f>
        <v>1.1499999999999999</v>
      </c>
      <c r="L21" s="41" cm="1">
        <f t="array" ref="L21">_xlfn.IFS(J21="Высоконагруженная",Настройки!$C$6,J21="Средне-нагруженная",Настройки!$C$7,J21="Ненагруженная",Настройки!$C$8,J21="Гибкая",Настройки!$C$9)/1000</f>
        <v>2</v>
      </c>
      <c r="M21" s="51">
        <f t="shared" si="1"/>
        <v>0</v>
      </c>
      <c r="N21" s="51">
        <f t="shared" si="2"/>
        <v>290.95</v>
      </c>
      <c r="O21" s="51">
        <f t="shared" si="3"/>
        <v>0</v>
      </c>
      <c r="P21" s="51">
        <f t="shared" si="4"/>
        <v>0</v>
      </c>
      <c r="Q21" s="52">
        <f t="shared" si="5"/>
        <v>581.9</v>
      </c>
      <c r="R21" s="43"/>
    </row>
    <row r="22" spans="1:18" ht="15.95" customHeight="1" x14ac:dyDescent="0.25">
      <c r="A22" s="19" t="s">
        <v>176</v>
      </c>
      <c r="B22" s="19" t="s">
        <v>517</v>
      </c>
      <c r="C22" s="33">
        <v>1</v>
      </c>
      <c r="D22" s="33">
        <v>1</v>
      </c>
      <c r="E22" s="33">
        <v>1</v>
      </c>
      <c r="F22" s="33">
        <v>4</v>
      </c>
      <c r="G22" s="33">
        <v>1</v>
      </c>
      <c r="H22" s="33" cm="1">
        <f t="array" ref="H22">G22*_xlfn.IFS(Настройки!$B$2="M",'Печатные изд.'!C22,Настройки!$B$2="L",'Печатные изд.'!D22,Настройки!$B$2="XL",'Печатные изд.'!E22)</f>
        <v>1</v>
      </c>
      <c r="I22" s="41">
        <f t="shared" si="0"/>
        <v>4</v>
      </c>
      <c r="J22" s="33" t="s">
        <v>515</v>
      </c>
      <c r="K22" s="41" cm="1">
        <f t="array" ref="K22">_xlfn.IFS(J22="Высоконагруженная",Настройки!$B$6,J22="Средне-нагруженная",Настройки!$B$7,J22="Ненагруженная",Настройки!$B$8,J22="Гибкая",Настройки!$B$9)</f>
        <v>1.1499999999999999</v>
      </c>
      <c r="L22" s="41" cm="1">
        <f t="array" ref="L22">_xlfn.IFS(J22="Высоконагруженная",Настройки!$C$6,J22="Средне-нагруженная",Настройки!$C$7,J22="Ненагруженная",Настройки!$C$8,J22="Гибкая",Настройки!$C$9)/1000</f>
        <v>2</v>
      </c>
      <c r="M22" s="51">
        <f t="shared" si="1"/>
        <v>0</v>
      </c>
      <c r="N22" s="51">
        <f t="shared" si="2"/>
        <v>4.5999999999999996</v>
      </c>
      <c r="O22" s="51">
        <f t="shared" si="3"/>
        <v>0</v>
      </c>
      <c r="P22" s="51">
        <f t="shared" si="4"/>
        <v>0</v>
      </c>
      <c r="Q22" s="52">
        <f t="shared" si="5"/>
        <v>9.1999999999999993</v>
      </c>
      <c r="R22" s="43" t="s">
        <v>521</v>
      </c>
    </row>
    <row r="23" spans="1:18" ht="15.95" customHeight="1" x14ac:dyDescent="0.25">
      <c r="A23" s="19" t="s">
        <v>177</v>
      </c>
      <c r="B23" s="19" t="s">
        <v>178</v>
      </c>
      <c r="C23" s="33">
        <v>1</v>
      </c>
      <c r="D23" s="33">
        <v>1</v>
      </c>
      <c r="E23" s="33">
        <v>1</v>
      </c>
      <c r="F23" s="33">
        <v>254</v>
      </c>
      <c r="G23" s="33">
        <v>1</v>
      </c>
      <c r="H23" s="33" cm="1">
        <f t="array" ref="H23">G23*_xlfn.IFS(Настройки!$B$2="M",'Печатные изд.'!C23,Настройки!$B$2="L",'Печатные изд.'!D23,Настройки!$B$2="XL",'Печатные изд.'!E23)</f>
        <v>1</v>
      </c>
      <c r="I23" s="41">
        <f t="shared" si="0"/>
        <v>254</v>
      </c>
      <c r="J23" s="33" t="s">
        <v>515</v>
      </c>
      <c r="K23" s="41" cm="1">
        <f t="array" ref="K23">_xlfn.IFS(J23="Высоконагруженная",Настройки!$B$6,J23="Средне-нагруженная",Настройки!$B$7,J23="Ненагруженная",Настройки!$B$8,J23="Гибкая",Настройки!$B$9)</f>
        <v>1.1499999999999999</v>
      </c>
      <c r="L23" s="41" cm="1">
        <f t="array" ref="L23">_xlfn.IFS(J23="Высоконагруженная",Настройки!$C$6,J23="Средне-нагруженная",Настройки!$C$7,J23="Ненагруженная",Настройки!$C$8,J23="Гибкая",Настройки!$C$9)/1000</f>
        <v>2</v>
      </c>
      <c r="M23" s="51">
        <f t="shared" si="1"/>
        <v>0</v>
      </c>
      <c r="N23" s="51">
        <f t="shared" si="2"/>
        <v>292.09999999999997</v>
      </c>
      <c r="O23" s="51">
        <f t="shared" si="3"/>
        <v>0</v>
      </c>
      <c r="P23" s="51">
        <f t="shared" si="4"/>
        <v>0</v>
      </c>
      <c r="Q23" s="52">
        <f t="shared" si="5"/>
        <v>584.19999999999993</v>
      </c>
      <c r="R23" s="43"/>
    </row>
    <row r="24" spans="1:18" ht="15.95" customHeight="1" x14ac:dyDescent="0.25">
      <c r="A24" s="19" t="s">
        <v>179</v>
      </c>
      <c r="B24" s="19" t="s">
        <v>180</v>
      </c>
      <c r="C24" s="33">
        <v>1</v>
      </c>
      <c r="D24" s="33">
        <v>1</v>
      </c>
      <c r="E24" s="33">
        <v>1</v>
      </c>
      <c r="F24" s="33">
        <v>105</v>
      </c>
      <c r="G24" s="33">
        <v>1</v>
      </c>
      <c r="H24" s="33" cm="1">
        <f t="array" ref="H24">G24*_xlfn.IFS(Настройки!$B$2="M",'Печатные изд.'!C24,Настройки!$B$2="L",'Печатные изд.'!D24,Настройки!$B$2="XL",'Печатные изд.'!E24)</f>
        <v>1</v>
      </c>
      <c r="I24" s="41">
        <f t="shared" si="0"/>
        <v>105</v>
      </c>
      <c r="J24" s="33" t="s">
        <v>515</v>
      </c>
      <c r="K24" s="41" cm="1">
        <f t="array" ref="K24">_xlfn.IFS(J24="Высоконагруженная",Настройки!$B$6,J24="Средне-нагруженная",Настройки!$B$7,J24="Ненагруженная",Настройки!$B$8,J24="Гибкая",Настройки!$B$9)</f>
        <v>1.1499999999999999</v>
      </c>
      <c r="L24" s="41" cm="1">
        <f t="array" ref="L24">_xlfn.IFS(J24="Высоконагруженная",Настройки!$C$6,J24="Средне-нагруженная",Настройки!$C$7,J24="Ненагруженная",Настройки!$C$8,J24="Гибкая",Настройки!$C$9)/1000</f>
        <v>2</v>
      </c>
      <c r="M24" s="51">
        <f t="shared" si="1"/>
        <v>0</v>
      </c>
      <c r="N24" s="51">
        <f t="shared" si="2"/>
        <v>120.74999999999999</v>
      </c>
      <c r="O24" s="51">
        <f t="shared" si="3"/>
        <v>0</v>
      </c>
      <c r="P24" s="51">
        <f t="shared" si="4"/>
        <v>0</v>
      </c>
      <c r="Q24" s="52">
        <f t="shared" si="5"/>
        <v>241.49999999999997</v>
      </c>
      <c r="R24" s="43"/>
    </row>
    <row r="25" spans="1:18" ht="15.95" customHeight="1" x14ac:dyDescent="0.25">
      <c r="A25" s="19" t="s">
        <v>181</v>
      </c>
      <c r="B25" s="19" t="s">
        <v>518</v>
      </c>
      <c r="C25" s="33">
        <v>2</v>
      </c>
      <c r="D25" s="33">
        <v>2</v>
      </c>
      <c r="E25" s="33">
        <v>2</v>
      </c>
      <c r="F25" s="33">
        <v>11</v>
      </c>
      <c r="G25" s="33">
        <v>1</v>
      </c>
      <c r="H25" s="33" cm="1">
        <f t="array" ref="H25">G25*_xlfn.IFS(Настройки!$B$2="M",'Печатные изд.'!C25,Настройки!$B$2="L",'Печатные изд.'!D25,Настройки!$B$2="XL",'Печатные изд.'!E25)</f>
        <v>2</v>
      </c>
      <c r="I25" s="41">
        <f t="shared" si="0"/>
        <v>22</v>
      </c>
      <c r="J25" s="33" t="s">
        <v>515</v>
      </c>
      <c r="K25" s="41" cm="1">
        <f t="array" ref="K25">_xlfn.IFS(J25="Высоконагруженная",Настройки!$B$6,J25="Средне-нагруженная",Настройки!$B$7,J25="Ненагруженная",Настройки!$B$8,J25="Гибкая",Настройки!$B$9)</f>
        <v>1.1499999999999999</v>
      </c>
      <c r="L25" s="41" cm="1">
        <f t="array" ref="L25">_xlfn.IFS(J25="Высоконагруженная",Настройки!$C$6,J25="Средне-нагруженная",Настройки!$C$7,J25="Ненагруженная",Настройки!$C$8,J25="Гибкая",Настройки!$C$9)/1000</f>
        <v>2</v>
      </c>
      <c r="M25" s="51">
        <f t="shared" si="1"/>
        <v>0</v>
      </c>
      <c r="N25" s="51">
        <f t="shared" si="2"/>
        <v>25.299999999999997</v>
      </c>
      <c r="O25" s="51">
        <f t="shared" si="3"/>
        <v>0</v>
      </c>
      <c r="P25" s="51">
        <f t="shared" si="4"/>
        <v>0</v>
      </c>
      <c r="Q25" s="52">
        <f t="shared" si="5"/>
        <v>50.599999999999994</v>
      </c>
      <c r="R25" s="104" t="s">
        <v>520</v>
      </c>
    </row>
    <row r="26" spans="1:18" ht="15.95" customHeight="1" x14ac:dyDescent="0.25">
      <c r="A26" s="19" t="s">
        <v>182</v>
      </c>
      <c r="B26" s="19" t="s">
        <v>519</v>
      </c>
      <c r="C26" s="33">
        <v>2</v>
      </c>
      <c r="D26" s="33">
        <v>2</v>
      </c>
      <c r="E26" s="33">
        <v>2</v>
      </c>
      <c r="F26" s="33">
        <v>8</v>
      </c>
      <c r="G26" s="33">
        <v>1</v>
      </c>
      <c r="H26" s="33" cm="1">
        <f t="array" ref="H26">G26*_xlfn.IFS(Настройки!$B$2="M",'Печатные изд.'!C26,Настройки!$B$2="L",'Печатные изд.'!D26,Настройки!$B$2="XL",'Печатные изд.'!E26)</f>
        <v>2</v>
      </c>
      <c r="I26" s="41">
        <f t="shared" si="0"/>
        <v>16</v>
      </c>
      <c r="J26" s="33" t="s">
        <v>515</v>
      </c>
      <c r="K26" s="41" cm="1">
        <f t="array" ref="K26">_xlfn.IFS(J26="Высоконагруженная",Настройки!$B$6,J26="Средне-нагруженная",Настройки!$B$7,J26="Ненагруженная",Настройки!$B$8,J26="Гибкая",Настройки!$B$9)</f>
        <v>1.1499999999999999</v>
      </c>
      <c r="L26" s="41" cm="1">
        <f t="array" ref="L26">_xlfn.IFS(J26="Высоконагруженная",Настройки!$C$6,J26="Средне-нагруженная",Настройки!$C$7,J26="Ненагруженная",Настройки!$C$8,J26="Гибкая",Настройки!$C$9)/1000</f>
        <v>2</v>
      </c>
      <c r="M26" s="51">
        <f t="shared" si="1"/>
        <v>0</v>
      </c>
      <c r="N26" s="51">
        <f t="shared" si="2"/>
        <v>18.399999999999999</v>
      </c>
      <c r="O26" s="51">
        <f t="shared" si="3"/>
        <v>0</v>
      </c>
      <c r="P26" s="51">
        <f t="shared" si="4"/>
        <v>0</v>
      </c>
      <c r="Q26" s="52">
        <f t="shared" si="5"/>
        <v>36.799999999999997</v>
      </c>
      <c r="R26" s="105"/>
    </row>
    <row r="27" spans="1:18" ht="15.95" customHeight="1" x14ac:dyDescent="0.25">
      <c r="A27" s="19" t="s">
        <v>183</v>
      </c>
      <c r="B27" s="19" t="s">
        <v>523</v>
      </c>
      <c r="C27" s="33">
        <v>2</v>
      </c>
      <c r="D27" s="33">
        <v>2</v>
      </c>
      <c r="E27" s="33">
        <v>2</v>
      </c>
      <c r="F27" s="33">
        <v>3</v>
      </c>
      <c r="G27" s="33">
        <v>1</v>
      </c>
      <c r="H27" s="33" cm="1">
        <f t="array" ref="H27">G27*_xlfn.IFS(Настройки!$B$2="M",'Печатные изд.'!C27,Настройки!$B$2="L",'Печатные изд.'!D27,Настройки!$B$2="XL",'Печатные изд.'!E27)</f>
        <v>2</v>
      </c>
      <c r="I27" s="41">
        <f t="shared" si="0"/>
        <v>6</v>
      </c>
      <c r="J27" s="33" t="s">
        <v>515</v>
      </c>
      <c r="K27" s="41" cm="1">
        <f t="array" ref="K27">_xlfn.IFS(J27="Высоконагруженная",Настройки!$B$6,J27="Средне-нагруженная",Настройки!$B$7,J27="Ненагруженная",Настройки!$B$8,J27="Гибкая",Настройки!$B$9)</f>
        <v>1.1499999999999999</v>
      </c>
      <c r="L27" s="41" cm="1">
        <f t="array" ref="L27">_xlfn.IFS(J27="Высоконагруженная",Настройки!$C$6,J27="Средне-нагруженная",Настройки!$C$7,J27="Ненагруженная",Настройки!$C$8,J27="Гибкая",Настройки!$C$9)/1000</f>
        <v>2</v>
      </c>
      <c r="M27" s="51">
        <f t="shared" si="1"/>
        <v>0</v>
      </c>
      <c r="N27" s="51">
        <f t="shared" si="2"/>
        <v>6.8999999999999995</v>
      </c>
      <c r="O27" s="51">
        <f t="shared" si="3"/>
        <v>0</v>
      </c>
      <c r="P27" s="51">
        <f t="shared" si="4"/>
        <v>0</v>
      </c>
      <c r="Q27" s="52">
        <f t="shared" si="5"/>
        <v>13.799999999999999</v>
      </c>
      <c r="R27" s="43" t="s">
        <v>521</v>
      </c>
    </row>
    <row r="28" spans="1:18" ht="15.95" customHeight="1" x14ac:dyDescent="0.25">
      <c r="A28" s="19" t="s">
        <v>184</v>
      </c>
      <c r="B28" s="19" t="s">
        <v>522</v>
      </c>
      <c r="C28" s="33">
        <v>1</v>
      </c>
      <c r="D28" s="33">
        <v>1</v>
      </c>
      <c r="E28" s="33">
        <v>1</v>
      </c>
      <c r="F28" s="33">
        <v>5</v>
      </c>
      <c r="G28" s="33">
        <v>1</v>
      </c>
      <c r="H28" s="33" cm="1">
        <f t="array" ref="H28">G28*_xlfn.IFS(Настройки!$B$2="M",'Печатные изд.'!C28,Настройки!$B$2="L",'Печатные изд.'!D28,Настройки!$B$2="XL",'Печатные изд.'!E28)</f>
        <v>1</v>
      </c>
      <c r="I28" s="41">
        <f t="shared" si="0"/>
        <v>5</v>
      </c>
      <c r="J28" s="33" t="s">
        <v>515</v>
      </c>
      <c r="K28" s="41" cm="1">
        <f t="array" ref="K28">_xlfn.IFS(J28="Высоконагруженная",Настройки!$B$6,J28="Средне-нагруженная",Настройки!$B$7,J28="Ненагруженная",Настройки!$B$8,J28="Гибкая",Настройки!$B$9)</f>
        <v>1.1499999999999999</v>
      </c>
      <c r="L28" s="41" cm="1">
        <f t="array" ref="L28">_xlfn.IFS(J28="Высоконагруженная",Настройки!$C$6,J28="Средне-нагруженная",Настройки!$C$7,J28="Ненагруженная",Настройки!$C$8,J28="Гибкая",Настройки!$C$9)/1000</f>
        <v>2</v>
      </c>
      <c r="M28" s="51">
        <f t="shared" si="1"/>
        <v>0</v>
      </c>
      <c r="N28" s="51">
        <f t="shared" si="2"/>
        <v>5.75</v>
      </c>
      <c r="O28" s="51">
        <f t="shared" si="3"/>
        <v>0</v>
      </c>
      <c r="P28" s="51">
        <f t="shared" si="4"/>
        <v>0</v>
      </c>
      <c r="Q28" s="52">
        <f t="shared" si="5"/>
        <v>11.5</v>
      </c>
      <c r="R28" s="43" t="s">
        <v>521</v>
      </c>
    </row>
    <row r="29" spans="1:18" ht="15.95" customHeight="1" x14ac:dyDescent="0.25">
      <c r="A29" s="19" t="s">
        <v>185</v>
      </c>
      <c r="B29" s="19" t="s">
        <v>186</v>
      </c>
      <c r="C29" s="33">
        <v>1</v>
      </c>
      <c r="D29" s="33">
        <v>1</v>
      </c>
      <c r="E29" s="33">
        <v>1</v>
      </c>
      <c r="F29" s="33">
        <v>1</v>
      </c>
      <c r="G29" s="33">
        <v>1</v>
      </c>
      <c r="H29" s="33" cm="1">
        <f t="array" ref="H29">G29*_xlfn.IFS(Настройки!$B$2="M",'Печатные изд.'!C29,Настройки!$B$2="L",'Печатные изд.'!D29,Настройки!$B$2="XL",'Печатные изд.'!E29)</f>
        <v>1</v>
      </c>
      <c r="I29" s="41">
        <f t="shared" si="0"/>
        <v>1</v>
      </c>
      <c r="J29" s="33" t="s">
        <v>516</v>
      </c>
      <c r="K29" s="41" cm="1">
        <f t="array" ref="K29">_xlfn.IFS(J29="Высоконагруженная",Настройки!$B$6,J29="Средне-нагруженная",Настройки!$B$7,J29="Ненагруженная",Настройки!$B$8,J29="Гибкая",Настройки!$B$9)</f>
        <v>1.05</v>
      </c>
      <c r="L29" s="41" cm="1">
        <f t="array" ref="L29">_xlfn.IFS(J29="Высоконагруженная",Настройки!$C$6,J29="Средне-нагруженная",Настройки!$C$7,J29="Ненагруженная",Настройки!$C$8,J29="Гибкая",Настройки!$C$9)/1000</f>
        <v>1</v>
      </c>
      <c r="M29" s="51">
        <f t="shared" si="1"/>
        <v>0</v>
      </c>
      <c r="N29" s="51">
        <f t="shared" si="2"/>
        <v>0</v>
      </c>
      <c r="O29" s="51">
        <f t="shared" si="3"/>
        <v>1.05</v>
      </c>
      <c r="P29" s="51">
        <f t="shared" si="4"/>
        <v>0</v>
      </c>
      <c r="Q29" s="52">
        <f t="shared" si="5"/>
        <v>1.05</v>
      </c>
      <c r="R29" s="43"/>
    </row>
    <row r="30" spans="1:18" ht="15.95" customHeight="1" x14ac:dyDescent="0.25">
      <c r="A30" s="19" t="s">
        <v>187</v>
      </c>
      <c r="B30" s="19" t="s">
        <v>188</v>
      </c>
      <c r="C30" s="33">
        <v>1</v>
      </c>
      <c r="D30" s="33">
        <v>1</v>
      </c>
      <c r="E30" s="33">
        <v>1</v>
      </c>
      <c r="F30" s="33">
        <v>106</v>
      </c>
      <c r="G30" s="33">
        <v>1</v>
      </c>
      <c r="H30" s="33" cm="1">
        <f t="array" ref="H30">G30*_xlfn.IFS(Настройки!$B$2="M",'Печатные изд.'!C30,Настройки!$B$2="L",'Печатные изд.'!D30,Настройки!$B$2="XL",'Печатные изд.'!E30)</f>
        <v>1</v>
      </c>
      <c r="I30" s="41">
        <f t="shared" si="0"/>
        <v>106</v>
      </c>
      <c r="J30" s="33" t="s">
        <v>515</v>
      </c>
      <c r="K30" s="41" cm="1">
        <f t="array" ref="K30">_xlfn.IFS(J30="Высоконагруженная",Настройки!$B$6,J30="Средне-нагруженная",Настройки!$B$7,J30="Ненагруженная",Настройки!$B$8,J30="Гибкая",Настройки!$B$9)</f>
        <v>1.1499999999999999</v>
      </c>
      <c r="L30" s="41" cm="1">
        <f t="array" ref="L30">_xlfn.IFS(J30="Высоконагруженная",Настройки!$C$6,J30="Средне-нагруженная",Настройки!$C$7,J30="Ненагруженная",Настройки!$C$8,J30="Гибкая",Настройки!$C$9)/1000</f>
        <v>2</v>
      </c>
      <c r="M30" s="51">
        <f t="shared" si="1"/>
        <v>0</v>
      </c>
      <c r="N30" s="51">
        <f t="shared" si="2"/>
        <v>121.89999999999999</v>
      </c>
      <c r="O30" s="51">
        <f t="shared" si="3"/>
        <v>0</v>
      </c>
      <c r="P30" s="51">
        <f t="shared" si="4"/>
        <v>0</v>
      </c>
      <c r="Q30" s="52">
        <f t="shared" si="5"/>
        <v>243.79999999999998</v>
      </c>
      <c r="R30" s="43"/>
    </row>
    <row r="31" spans="1:18" ht="15.95" customHeight="1" x14ac:dyDescent="0.25">
      <c r="A31" s="19" t="s">
        <v>189</v>
      </c>
      <c r="B31" s="19" t="s">
        <v>190</v>
      </c>
      <c r="C31" s="33">
        <v>1</v>
      </c>
      <c r="D31" s="33">
        <v>1</v>
      </c>
      <c r="E31" s="33">
        <v>1</v>
      </c>
      <c r="F31" s="33">
        <v>2</v>
      </c>
      <c r="G31" s="33">
        <v>1</v>
      </c>
      <c r="H31" s="33" cm="1">
        <f t="array" ref="H31">G31*_xlfn.IFS(Настройки!$B$2="M",'Печатные изд.'!C31,Настройки!$B$2="L",'Печатные изд.'!D31,Настройки!$B$2="XL",'Печатные изд.'!E31)</f>
        <v>1</v>
      </c>
      <c r="I31" s="41">
        <f t="shared" si="0"/>
        <v>2</v>
      </c>
      <c r="J31" s="33" t="s">
        <v>516</v>
      </c>
      <c r="K31" s="41" cm="1">
        <f t="array" ref="K31">_xlfn.IFS(J31="Высоконагруженная",Настройки!$B$6,J31="Средне-нагруженная",Настройки!$B$7,J31="Ненагруженная",Настройки!$B$8,J31="Гибкая",Настройки!$B$9)</f>
        <v>1.05</v>
      </c>
      <c r="L31" s="41" cm="1">
        <f t="array" ref="L31">_xlfn.IFS(J31="Высоконагруженная",Настройки!$C$6,J31="Средне-нагруженная",Настройки!$C$7,J31="Ненагруженная",Настройки!$C$8,J31="Гибкая",Настройки!$C$9)/1000</f>
        <v>1</v>
      </c>
      <c r="M31" s="51">
        <f t="shared" si="1"/>
        <v>0</v>
      </c>
      <c r="N31" s="51">
        <f t="shared" si="2"/>
        <v>0</v>
      </c>
      <c r="O31" s="51">
        <f t="shared" si="3"/>
        <v>2.1</v>
      </c>
      <c r="P31" s="51">
        <f t="shared" si="4"/>
        <v>0</v>
      </c>
      <c r="Q31" s="52">
        <f t="shared" si="5"/>
        <v>2.1</v>
      </c>
      <c r="R31" s="43"/>
    </row>
    <row r="32" spans="1:18" ht="15.95" customHeight="1" x14ac:dyDescent="0.25">
      <c r="A32" s="19" t="s">
        <v>191</v>
      </c>
      <c r="B32" s="19" t="s">
        <v>192</v>
      </c>
      <c r="C32" s="33">
        <v>2</v>
      </c>
      <c r="D32" s="33">
        <v>2</v>
      </c>
      <c r="E32" s="33">
        <v>2</v>
      </c>
      <c r="F32" s="33">
        <v>21</v>
      </c>
      <c r="G32" s="33">
        <v>1</v>
      </c>
      <c r="H32" s="33" cm="1">
        <f t="array" ref="H32">G32*_xlfn.IFS(Настройки!$B$2="M",'Печатные изд.'!C32,Настройки!$B$2="L",'Печатные изд.'!D32,Настройки!$B$2="XL",'Печатные изд.'!E32)</f>
        <v>2</v>
      </c>
      <c r="I32" s="41">
        <f t="shared" si="0"/>
        <v>42</v>
      </c>
      <c r="J32" s="33" t="s">
        <v>515</v>
      </c>
      <c r="K32" s="41" cm="1">
        <f t="array" ref="K32">_xlfn.IFS(J32="Высоконагруженная",Настройки!$B$6,J32="Средне-нагруженная",Настройки!$B$7,J32="Ненагруженная",Настройки!$B$8,J32="Гибкая",Настройки!$B$9)</f>
        <v>1.1499999999999999</v>
      </c>
      <c r="L32" s="41" cm="1">
        <f t="array" ref="L32">_xlfn.IFS(J32="Высоконагруженная",Настройки!$C$6,J32="Средне-нагруженная",Настройки!$C$7,J32="Ненагруженная",Настройки!$C$8,J32="Гибкая",Настройки!$C$9)/1000</f>
        <v>2</v>
      </c>
      <c r="M32" s="51">
        <f t="shared" si="1"/>
        <v>0</v>
      </c>
      <c r="N32" s="51">
        <f t="shared" si="2"/>
        <v>48.3</v>
      </c>
      <c r="O32" s="51">
        <f t="shared" si="3"/>
        <v>0</v>
      </c>
      <c r="P32" s="51">
        <f t="shared" si="4"/>
        <v>0</v>
      </c>
      <c r="Q32" s="52">
        <f t="shared" si="5"/>
        <v>96.6</v>
      </c>
      <c r="R32" s="43"/>
    </row>
    <row r="33" spans="1:18" ht="15.95" customHeight="1" x14ac:dyDescent="0.25">
      <c r="A33" s="19" t="s">
        <v>193</v>
      </c>
      <c r="B33" s="19" t="s">
        <v>194</v>
      </c>
      <c r="C33" s="33">
        <v>4</v>
      </c>
      <c r="D33" s="33">
        <v>4</v>
      </c>
      <c r="E33" s="33">
        <v>4</v>
      </c>
      <c r="F33" s="33">
        <v>33</v>
      </c>
      <c r="G33" s="33">
        <v>1</v>
      </c>
      <c r="H33" s="33" cm="1">
        <f t="array" ref="H33">G33*_xlfn.IFS(Настройки!$B$2="M",'Печатные изд.'!C33,Настройки!$B$2="L",'Печатные изд.'!D33,Настройки!$B$2="XL",'Печатные изд.'!E33)</f>
        <v>4</v>
      </c>
      <c r="I33" s="41">
        <f t="shared" si="0"/>
        <v>132</v>
      </c>
      <c r="J33" s="33" t="s">
        <v>515</v>
      </c>
      <c r="K33" s="41" cm="1">
        <f t="array" ref="K33">_xlfn.IFS(J33="Высоконагруженная",Настройки!$B$6,J33="Средне-нагруженная",Настройки!$B$7,J33="Ненагруженная",Настройки!$B$8,J33="Гибкая",Настройки!$B$9)</f>
        <v>1.1499999999999999</v>
      </c>
      <c r="L33" s="41" cm="1">
        <f t="array" ref="L33">_xlfn.IFS(J33="Высоконагруженная",Настройки!$C$6,J33="Средне-нагруженная",Настройки!$C$7,J33="Ненагруженная",Настройки!$C$8,J33="Гибкая",Настройки!$C$9)/1000</f>
        <v>2</v>
      </c>
      <c r="M33" s="51">
        <f t="shared" si="1"/>
        <v>0</v>
      </c>
      <c r="N33" s="51">
        <f t="shared" si="2"/>
        <v>151.79999999999998</v>
      </c>
      <c r="O33" s="51">
        <f t="shared" si="3"/>
        <v>0</v>
      </c>
      <c r="P33" s="51">
        <f t="shared" si="4"/>
        <v>0</v>
      </c>
      <c r="Q33" s="52">
        <f t="shared" si="5"/>
        <v>303.59999999999997</v>
      </c>
      <c r="R33" s="43"/>
    </row>
    <row r="34" spans="1:18" ht="15.95" customHeight="1" x14ac:dyDescent="0.25">
      <c r="A34" s="19" t="s">
        <v>195</v>
      </c>
      <c r="B34" s="19" t="s">
        <v>196</v>
      </c>
      <c r="C34" s="33">
        <v>4</v>
      </c>
      <c r="D34" s="33">
        <v>4</v>
      </c>
      <c r="E34" s="33">
        <v>4</v>
      </c>
      <c r="F34" s="33">
        <v>6</v>
      </c>
      <c r="G34" s="33">
        <v>1</v>
      </c>
      <c r="H34" s="33" cm="1">
        <f t="array" ref="H34">G34*_xlfn.IFS(Настройки!$B$2="M",'Печатные изд.'!C34,Настройки!$B$2="L",'Печатные изд.'!D34,Настройки!$B$2="XL",'Печатные изд.'!E34)</f>
        <v>4</v>
      </c>
      <c r="I34" s="41">
        <f t="shared" si="0"/>
        <v>24</v>
      </c>
      <c r="J34" s="33" t="s">
        <v>524</v>
      </c>
      <c r="K34" s="41" cm="1">
        <f t="array" ref="K34">_xlfn.IFS(J34="Высоконагруженная",Настройки!$B$6,J34="Средне-нагруженная",Настройки!$B$7,J34="Ненагруженная",Настройки!$B$8,J34="Гибкая",Настройки!$B$9)</f>
        <v>1.2</v>
      </c>
      <c r="L34" s="41" cm="1">
        <f t="array" ref="L34">_xlfn.IFS(J34="Высоконагруженная",Настройки!$C$6,J34="Средне-нагруженная",Настройки!$C$7,J34="Ненагруженная",Настройки!$C$8,J34="Гибкая",Настройки!$C$9)/1000</f>
        <v>2</v>
      </c>
      <c r="M34" s="51">
        <f t="shared" si="1"/>
        <v>0</v>
      </c>
      <c r="N34" s="51">
        <f t="shared" si="2"/>
        <v>0</v>
      </c>
      <c r="O34" s="51">
        <f t="shared" si="3"/>
        <v>0</v>
      </c>
      <c r="P34" s="51">
        <f>IF(J34="Гибкая",1,0)*G34*I34*K34</f>
        <v>28.799999999999997</v>
      </c>
      <c r="Q34" s="52">
        <f t="shared" si="5"/>
        <v>57.599999999999994</v>
      </c>
      <c r="R34" s="43"/>
    </row>
    <row r="35" spans="1:18" ht="15.95" customHeight="1" x14ac:dyDescent="0.25">
      <c r="A35" s="19" t="s">
        <v>197</v>
      </c>
      <c r="B35" s="19" t="s">
        <v>198</v>
      </c>
      <c r="C35" s="33">
        <v>2</v>
      </c>
      <c r="D35" s="33">
        <v>2</v>
      </c>
      <c r="E35" s="33">
        <v>2</v>
      </c>
      <c r="F35" s="33">
        <v>10</v>
      </c>
      <c r="G35" s="33">
        <v>1</v>
      </c>
      <c r="H35" s="33" cm="1">
        <f t="array" ref="H35">G35*_xlfn.IFS(Настройки!$B$2="M",'Печатные изд.'!C35,Настройки!$B$2="L",'Печатные изд.'!D35,Настройки!$B$2="XL",'Печатные изд.'!E35)</f>
        <v>2</v>
      </c>
      <c r="I35" s="41">
        <f t="shared" si="0"/>
        <v>20</v>
      </c>
      <c r="J35" s="33" t="s">
        <v>515</v>
      </c>
      <c r="K35" s="41" cm="1">
        <f t="array" ref="K35">_xlfn.IFS(J35="Высоконагруженная",Настройки!$B$6,J35="Средне-нагруженная",Настройки!$B$7,J35="Ненагруженная",Настройки!$B$8,J35="Гибкая",Настройки!$B$9)</f>
        <v>1.1499999999999999</v>
      </c>
      <c r="L35" s="41" cm="1">
        <f t="array" ref="L35">_xlfn.IFS(J35="Высоконагруженная",Настройки!$C$6,J35="Средне-нагруженная",Настройки!$C$7,J35="Ненагруженная",Настройки!$C$8,J35="Гибкая",Настройки!$C$9)/1000</f>
        <v>2</v>
      </c>
      <c r="M35" s="51">
        <f t="shared" si="1"/>
        <v>0</v>
      </c>
      <c r="N35" s="51">
        <f t="shared" si="2"/>
        <v>23</v>
      </c>
      <c r="O35" s="51">
        <f t="shared" si="3"/>
        <v>0</v>
      </c>
      <c r="P35" s="51">
        <f t="shared" si="4"/>
        <v>0</v>
      </c>
      <c r="Q35" s="52">
        <f t="shared" si="5"/>
        <v>46</v>
      </c>
      <c r="R35" s="43"/>
    </row>
    <row r="36" spans="1:18" ht="15.95" customHeight="1" x14ac:dyDescent="0.25">
      <c r="A36" s="19" t="s">
        <v>199</v>
      </c>
      <c r="B36" s="19" t="s">
        <v>200</v>
      </c>
      <c r="C36" s="33">
        <v>2</v>
      </c>
      <c r="D36" s="33">
        <v>4</v>
      </c>
      <c r="E36" s="33">
        <v>4</v>
      </c>
      <c r="F36" s="33">
        <v>100</v>
      </c>
      <c r="G36" s="33">
        <v>1</v>
      </c>
      <c r="H36" s="33" cm="1">
        <f t="array" ref="H36">G36*_xlfn.IFS(Настройки!$B$2="M",'Печатные изд.'!C36,Настройки!$B$2="L",'Печатные изд.'!D36,Настройки!$B$2="XL",'Печатные изд.'!E36)</f>
        <v>2</v>
      </c>
      <c r="I36" s="41">
        <f t="shared" si="0"/>
        <v>200</v>
      </c>
      <c r="J36" s="33" t="s">
        <v>515</v>
      </c>
      <c r="K36" s="41" cm="1">
        <f t="array" ref="K36">_xlfn.IFS(J36="Высоконагруженная",Настройки!$B$6,J36="Средне-нагруженная",Настройки!$B$7,J36="Ненагруженная",Настройки!$B$8,J36="Гибкая",Настройки!$B$9)</f>
        <v>1.1499999999999999</v>
      </c>
      <c r="L36" s="41" cm="1">
        <f t="array" ref="L36">_xlfn.IFS(J36="Высоконагруженная",Настройки!$C$6,J36="Средне-нагруженная",Настройки!$C$7,J36="Ненагруженная",Настройки!$C$8,J36="Гибкая",Настройки!$C$9)/1000</f>
        <v>2</v>
      </c>
      <c r="M36" s="51">
        <f t="shared" si="1"/>
        <v>0</v>
      </c>
      <c r="N36" s="51">
        <f t="shared" si="2"/>
        <v>229.99999999999997</v>
      </c>
      <c r="O36" s="51">
        <f t="shared" si="3"/>
        <v>0</v>
      </c>
      <c r="P36" s="51">
        <f t="shared" si="4"/>
        <v>0</v>
      </c>
      <c r="Q36" s="52">
        <f t="shared" si="5"/>
        <v>459.99999999999994</v>
      </c>
      <c r="R36" s="43"/>
    </row>
    <row r="37" spans="1:18" ht="15.95" customHeight="1" x14ac:dyDescent="0.25">
      <c r="A37" s="19" t="s">
        <v>201</v>
      </c>
      <c r="B37" s="19" t="s">
        <v>202</v>
      </c>
      <c r="C37" s="33">
        <v>1</v>
      </c>
      <c r="D37" s="33">
        <v>2</v>
      </c>
      <c r="E37" s="33">
        <v>2</v>
      </c>
      <c r="F37" s="33">
        <v>14</v>
      </c>
      <c r="G37" s="33">
        <v>1</v>
      </c>
      <c r="H37" s="33" cm="1">
        <f t="array" ref="H37">G37*_xlfn.IFS(Настройки!$B$2="M",'Печатные изд.'!C37,Настройки!$B$2="L",'Печатные изд.'!D37,Настройки!$B$2="XL",'Печатные изд.'!E37)</f>
        <v>1</v>
      </c>
      <c r="I37" s="41">
        <f t="shared" si="0"/>
        <v>14</v>
      </c>
      <c r="J37" s="33" t="s">
        <v>515</v>
      </c>
      <c r="K37" s="41" cm="1">
        <f t="array" ref="K37">_xlfn.IFS(J37="Высоконагруженная",Настройки!$B$6,J37="Средне-нагруженная",Настройки!$B$7,J37="Ненагруженная",Настройки!$B$8,J37="Гибкая",Настройки!$B$9)</f>
        <v>1.1499999999999999</v>
      </c>
      <c r="L37" s="41" cm="1">
        <f t="array" ref="L37">_xlfn.IFS(J37="Высоконагруженная",Настройки!$C$6,J37="Средне-нагруженная",Настройки!$C$7,J37="Ненагруженная",Настройки!$C$8,J37="Гибкая",Настройки!$C$9)/1000</f>
        <v>2</v>
      </c>
      <c r="M37" s="51">
        <f t="shared" si="1"/>
        <v>0</v>
      </c>
      <c r="N37" s="51">
        <f t="shared" si="2"/>
        <v>16.099999999999998</v>
      </c>
      <c r="O37" s="51">
        <f t="shared" si="3"/>
        <v>0</v>
      </c>
      <c r="P37" s="51">
        <f t="shared" si="4"/>
        <v>0</v>
      </c>
      <c r="Q37" s="52">
        <f t="shared" si="5"/>
        <v>32.199999999999996</v>
      </c>
      <c r="R37" s="43"/>
    </row>
    <row r="38" spans="1:18" ht="15.95" customHeight="1" x14ac:dyDescent="0.25">
      <c r="A38" s="19" t="s">
        <v>203</v>
      </c>
      <c r="B38" s="19" t="s">
        <v>204</v>
      </c>
      <c r="C38" s="33">
        <v>1</v>
      </c>
      <c r="D38" s="33">
        <v>2</v>
      </c>
      <c r="E38" s="33">
        <v>2</v>
      </c>
      <c r="F38" s="33">
        <v>9</v>
      </c>
      <c r="G38" s="33">
        <v>1</v>
      </c>
      <c r="H38" s="33" cm="1">
        <f t="array" ref="H38">G38*_xlfn.IFS(Настройки!$B$2="M",'Печатные изд.'!C38,Настройки!$B$2="L",'Печатные изд.'!D38,Настройки!$B$2="XL",'Печатные изд.'!E38)</f>
        <v>1</v>
      </c>
      <c r="I38" s="41">
        <f t="shared" si="0"/>
        <v>9</v>
      </c>
      <c r="J38" s="33" t="s">
        <v>515</v>
      </c>
      <c r="K38" s="41" cm="1">
        <f t="array" ref="K38">_xlfn.IFS(J38="Высоконагруженная",Настройки!$B$6,J38="Средне-нагруженная",Настройки!$B$7,J38="Ненагруженная",Настройки!$B$8,J38="Гибкая",Настройки!$B$9)</f>
        <v>1.1499999999999999</v>
      </c>
      <c r="L38" s="41" cm="1">
        <f t="array" ref="L38">_xlfn.IFS(J38="Высоконагруженная",Настройки!$C$6,J38="Средне-нагруженная",Настройки!$C$7,J38="Ненагруженная",Настройки!$C$8,J38="Гибкая",Настройки!$C$9)/1000</f>
        <v>2</v>
      </c>
      <c r="M38" s="51">
        <f t="shared" si="1"/>
        <v>0</v>
      </c>
      <c r="N38" s="51">
        <f t="shared" si="2"/>
        <v>10.35</v>
      </c>
      <c r="O38" s="51">
        <f t="shared" si="3"/>
        <v>0</v>
      </c>
      <c r="P38" s="51">
        <f t="shared" si="4"/>
        <v>0</v>
      </c>
      <c r="Q38" s="52">
        <f t="shared" si="5"/>
        <v>20.7</v>
      </c>
      <c r="R38" s="43"/>
    </row>
    <row r="39" spans="1:18" ht="15.95" customHeight="1" x14ac:dyDescent="0.25">
      <c r="A39" s="19" t="s">
        <v>205</v>
      </c>
      <c r="B39" s="19" t="s">
        <v>206</v>
      </c>
      <c r="C39" s="33">
        <v>1</v>
      </c>
      <c r="D39" s="33">
        <v>2</v>
      </c>
      <c r="E39" s="33">
        <v>2</v>
      </c>
      <c r="F39" s="33">
        <v>9</v>
      </c>
      <c r="G39" s="33">
        <v>1</v>
      </c>
      <c r="H39" s="33" cm="1">
        <f t="array" ref="H39">G39*_xlfn.IFS(Настройки!$B$2="M",'Печатные изд.'!C39,Настройки!$B$2="L",'Печатные изд.'!D39,Настройки!$B$2="XL",'Печатные изд.'!E39)</f>
        <v>1</v>
      </c>
      <c r="I39" s="41">
        <f t="shared" si="0"/>
        <v>9</v>
      </c>
      <c r="J39" s="33" t="s">
        <v>515</v>
      </c>
      <c r="K39" s="41" cm="1">
        <f t="array" ref="K39">_xlfn.IFS(J39="Высоконагруженная",Настройки!$B$6,J39="Средне-нагруженная",Настройки!$B$7,J39="Ненагруженная",Настройки!$B$8,J39="Гибкая",Настройки!$B$9)</f>
        <v>1.1499999999999999</v>
      </c>
      <c r="L39" s="41" cm="1">
        <f t="array" ref="L39">_xlfn.IFS(J39="Высоконагруженная",Настройки!$C$6,J39="Средне-нагруженная",Настройки!$C$7,J39="Ненагруженная",Настройки!$C$8,J39="Гибкая",Настройки!$C$9)/1000</f>
        <v>2</v>
      </c>
      <c r="M39" s="51">
        <f t="shared" si="1"/>
        <v>0</v>
      </c>
      <c r="N39" s="51">
        <f t="shared" si="2"/>
        <v>10.35</v>
      </c>
      <c r="O39" s="51">
        <f t="shared" si="3"/>
        <v>0</v>
      </c>
      <c r="P39" s="51">
        <f t="shared" si="4"/>
        <v>0</v>
      </c>
      <c r="Q39" s="52">
        <f t="shared" si="5"/>
        <v>20.7</v>
      </c>
      <c r="R39" s="43"/>
    </row>
    <row r="40" spans="1:18" ht="15.95" customHeight="1" x14ac:dyDescent="0.25">
      <c r="A40" s="19" t="s">
        <v>207</v>
      </c>
      <c r="B40" s="19" t="s">
        <v>208</v>
      </c>
      <c r="C40" s="33">
        <v>1</v>
      </c>
      <c r="D40" s="33">
        <v>2</v>
      </c>
      <c r="E40" s="33">
        <v>2</v>
      </c>
      <c r="F40" s="33">
        <v>3</v>
      </c>
      <c r="G40" s="33">
        <v>1</v>
      </c>
      <c r="H40" s="33" cm="1">
        <f t="array" ref="H40">G40*_xlfn.IFS(Настройки!$B$2="M",'Печатные изд.'!C40,Настройки!$B$2="L",'Печатные изд.'!D40,Настройки!$B$2="XL",'Печатные изд.'!E40)</f>
        <v>1</v>
      </c>
      <c r="I40" s="41">
        <f t="shared" si="0"/>
        <v>3</v>
      </c>
      <c r="J40" s="33" t="s">
        <v>515</v>
      </c>
      <c r="K40" s="41" cm="1">
        <f t="array" ref="K40">_xlfn.IFS(J40="Высоконагруженная",Настройки!$B$6,J40="Средне-нагруженная",Настройки!$B$7,J40="Ненагруженная",Настройки!$B$8,J40="Гибкая",Настройки!$B$9)</f>
        <v>1.1499999999999999</v>
      </c>
      <c r="L40" s="41" cm="1">
        <f t="array" ref="L40">_xlfn.IFS(J40="Высоконагруженная",Настройки!$C$6,J40="Средне-нагруженная",Настройки!$C$7,J40="Ненагруженная",Настройки!$C$8,J40="Гибкая",Настройки!$C$9)/1000</f>
        <v>2</v>
      </c>
      <c r="M40" s="51">
        <f t="shared" si="1"/>
        <v>0</v>
      </c>
      <c r="N40" s="51">
        <f t="shared" si="2"/>
        <v>3.4499999999999997</v>
      </c>
      <c r="O40" s="51">
        <f t="shared" si="3"/>
        <v>0</v>
      </c>
      <c r="P40" s="51">
        <f t="shared" si="4"/>
        <v>0</v>
      </c>
      <c r="Q40" s="52">
        <f t="shared" si="5"/>
        <v>6.8999999999999995</v>
      </c>
      <c r="R40" s="43"/>
    </row>
    <row r="41" spans="1:18" ht="15.95" customHeight="1" x14ac:dyDescent="0.25">
      <c r="A41" s="19" t="s">
        <v>209</v>
      </c>
      <c r="B41" s="19" t="s">
        <v>210</v>
      </c>
      <c r="C41" s="33">
        <v>9</v>
      </c>
      <c r="D41" s="33">
        <v>9</v>
      </c>
      <c r="E41" s="33">
        <v>9</v>
      </c>
      <c r="F41" s="33">
        <v>13</v>
      </c>
      <c r="G41" s="33">
        <v>1</v>
      </c>
      <c r="H41" s="33" cm="1">
        <f t="array" ref="H41">G41*_xlfn.IFS(Настройки!$B$2="M",'Печатные изд.'!C41,Настройки!$B$2="L",'Печатные изд.'!D41,Настройки!$B$2="XL",'Печатные изд.'!E41)</f>
        <v>9</v>
      </c>
      <c r="I41" s="41">
        <f t="shared" si="0"/>
        <v>117</v>
      </c>
      <c r="J41" s="33" t="s">
        <v>509</v>
      </c>
      <c r="K41" s="41" cm="1">
        <f t="array" ref="K41">_xlfn.IFS(J41="Высоконагруженная",Настройки!$B$6,J41="Средне-нагруженная",Настройки!$B$7,J41="Ненагруженная",Настройки!$B$8,J41="Гибкая",Настройки!$B$9)</f>
        <v>1.21</v>
      </c>
      <c r="L41" s="41" cm="1">
        <f t="array" ref="L41">_xlfn.IFS(J41="Высоконагруженная",Настройки!$C$6,J41="Средне-нагруженная",Настройки!$C$7,J41="Ненагруженная",Настройки!$C$8,J41="Гибкая",Настройки!$C$9)/1000</f>
        <v>5</v>
      </c>
      <c r="M41" s="51">
        <f t="shared" si="1"/>
        <v>141.57</v>
      </c>
      <c r="N41" s="51">
        <f t="shared" si="2"/>
        <v>0</v>
      </c>
      <c r="O41" s="51">
        <f t="shared" si="3"/>
        <v>0</v>
      </c>
      <c r="P41" s="51">
        <f t="shared" si="4"/>
        <v>0</v>
      </c>
      <c r="Q41" s="52">
        <f t="shared" si="5"/>
        <v>707.84999999999991</v>
      </c>
      <c r="R41" s="43"/>
    </row>
    <row r="42" spans="1:18" ht="15.95" customHeight="1" x14ac:dyDescent="0.25">
      <c r="A42" s="19" t="s">
        <v>211</v>
      </c>
      <c r="B42" s="19" t="s">
        <v>212</v>
      </c>
      <c r="C42" s="33">
        <v>9</v>
      </c>
      <c r="D42" s="33">
        <v>9</v>
      </c>
      <c r="E42" s="33">
        <v>9</v>
      </c>
      <c r="F42" s="33">
        <v>9</v>
      </c>
      <c r="G42" s="33">
        <v>1</v>
      </c>
      <c r="H42" s="33" cm="1">
        <f t="array" ref="H42">G42*_xlfn.IFS(Настройки!$B$2="M",'Печатные изд.'!C42,Настройки!$B$2="L",'Печатные изд.'!D42,Настройки!$B$2="XL",'Печатные изд.'!E42)</f>
        <v>9</v>
      </c>
      <c r="I42" s="41">
        <f t="shared" si="0"/>
        <v>81</v>
      </c>
      <c r="J42" s="33" t="s">
        <v>509</v>
      </c>
      <c r="K42" s="41" cm="1">
        <f t="array" ref="K42">_xlfn.IFS(J42="Высоконагруженная",Настройки!$B$6,J42="Средне-нагруженная",Настройки!$B$7,J42="Ненагруженная",Настройки!$B$8,J42="Гибкая",Настройки!$B$9)</f>
        <v>1.21</v>
      </c>
      <c r="L42" s="41" cm="1">
        <f t="array" ref="L42">_xlfn.IFS(J42="Высоконагруженная",Настройки!$C$6,J42="Средне-нагруженная",Настройки!$C$7,J42="Ненагруженная",Настройки!$C$8,J42="Гибкая",Настройки!$C$9)/1000</f>
        <v>5</v>
      </c>
      <c r="M42" s="51">
        <f t="shared" si="1"/>
        <v>98.009999999999991</v>
      </c>
      <c r="N42" s="51">
        <f t="shared" si="2"/>
        <v>0</v>
      </c>
      <c r="O42" s="51">
        <f t="shared" si="3"/>
        <v>0</v>
      </c>
      <c r="P42" s="51">
        <f t="shared" si="4"/>
        <v>0</v>
      </c>
      <c r="Q42" s="52">
        <f t="shared" si="5"/>
        <v>490.04999999999995</v>
      </c>
      <c r="R42" s="43"/>
    </row>
    <row r="43" spans="1:18" ht="15.95" customHeight="1" x14ac:dyDescent="0.25">
      <c r="A43" s="19" t="s">
        <v>213</v>
      </c>
      <c r="B43" s="19" t="s">
        <v>214</v>
      </c>
      <c r="C43" s="33">
        <v>12</v>
      </c>
      <c r="D43" s="33">
        <v>30</v>
      </c>
      <c r="E43" s="33">
        <v>42</v>
      </c>
      <c r="F43" s="33">
        <v>5</v>
      </c>
      <c r="G43" s="33">
        <v>1</v>
      </c>
      <c r="H43" s="33" cm="1">
        <f t="array" ref="H43">G43*_xlfn.IFS(Настройки!$B$2="M",'Печатные изд.'!C43,Настройки!$B$2="L",'Печатные изд.'!D43,Настройки!$B$2="XL",'Печатные изд.'!E43)</f>
        <v>12</v>
      </c>
      <c r="I43" s="41">
        <f t="shared" si="0"/>
        <v>60</v>
      </c>
      <c r="J43" s="33" t="s">
        <v>515</v>
      </c>
      <c r="K43" s="41" cm="1">
        <f t="array" ref="K43">_xlfn.IFS(J43="Высоконагруженная",Настройки!$B$6,J43="Средне-нагруженная",Настройки!$B$7,J43="Ненагруженная",Настройки!$B$8,J43="Гибкая",Настройки!$B$9)</f>
        <v>1.1499999999999999</v>
      </c>
      <c r="L43" s="41" cm="1">
        <f t="array" ref="L43">_xlfn.IFS(J43="Высоконагруженная",Настройки!$C$6,J43="Средне-нагруженная",Настройки!$C$7,J43="Ненагруженная",Настройки!$C$8,J43="Гибкая",Настройки!$C$9)/1000</f>
        <v>2</v>
      </c>
      <c r="M43" s="51">
        <f t="shared" si="1"/>
        <v>0</v>
      </c>
      <c r="N43" s="51">
        <f t="shared" si="2"/>
        <v>69</v>
      </c>
      <c r="O43" s="51">
        <f t="shared" si="3"/>
        <v>0</v>
      </c>
      <c r="P43" s="51">
        <f t="shared" si="4"/>
        <v>0</v>
      </c>
      <c r="Q43" s="52">
        <f t="shared" si="5"/>
        <v>138</v>
      </c>
      <c r="R43" s="43"/>
    </row>
    <row r="44" spans="1:18" ht="15.95" customHeight="1" x14ac:dyDescent="0.25">
      <c r="A44" s="19" t="s">
        <v>215</v>
      </c>
      <c r="B44" s="19" t="s">
        <v>216</v>
      </c>
      <c r="C44" s="33">
        <v>4</v>
      </c>
      <c r="D44" s="33">
        <v>0</v>
      </c>
      <c r="E44" s="33">
        <v>0</v>
      </c>
      <c r="F44" s="33">
        <v>19</v>
      </c>
      <c r="G44" s="33">
        <v>1</v>
      </c>
      <c r="H44" s="33" cm="1">
        <f t="array" ref="H44">G44*_xlfn.IFS(Настройки!$B$2="M",'Печатные изд.'!C44,Настройки!$B$2="L",'Печатные изд.'!D44,Настройки!$B$2="XL",'Печатные изд.'!E44)</f>
        <v>4</v>
      </c>
      <c r="I44" s="41">
        <f t="shared" si="0"/>
        <v>76</v>
      </c>
      <c r="J44" s="33" t="s">
        <v>516</v>
      </c>
      <c r="K44" s="41" cm="1">
        <f t="array" ref="K44">_xlfn.IFS(J44="Высоконагруженная",Настройки!$B$6,J44="Средне-нагруженная",Настройки!$B$7,J44="Ненагруженная",Настройки!$B$8,J44="Гибкая",Настройки!$B$9)</f>
        <v>1.05</v>
      </c>
      <c r="L44" s="41" cm="1">
        <f t="array" ref="L44">_xlfn.IFS(J44="Высоконагруженная",Настройки!$C$6,J44="Средне-нагруженная",Настройки!$C$7,J44="Ненагруженная",Настройки!$C$8,J44="Гибкая",Настройки!$C$9)/1000</f>
        <v>1</v>
      </c>
      <c r="M44" s="51">
        <f t="shared" si="1"/>
        <v>0</v>
      </c>
      <c r="N44" s="51">
        <f t="shared" si="2"/>
        <v>0</v>
      </c>
      <c r="O44" s="51">
        <f t="shared" si="3"/>
        <v>79.8</v>
      </c>
      <c r="P44" s="51">
        <f t="shared" si="4"/>
        <v>0</v>
      </c>
      <c r="Q44" s="52">
        <f t="shared" si="5"/>
        <v>79.8</v>
      </c>
      <c r="R44" s="43"/>
    </row>
    <row r="45" spans="1:18" ht="15.95" customHeight="1" x14ac:dyDescent="0.25">
      <c r="A45" s="19" t="s">
        <v>217</v>
      </c>
      <c r="B45" s="19" t="s">
        <v>218</v>
      </c>
      <c r="C45" s="33">
        <v>5</v>
      </c>
      <c r="D45" s="33">
        <v>5</v>
      </c>
      <c r="E45" s="33">
        <v>5</v>
      </c>
      <c r="F45" s="33">
        <v>2</v>
      </c>
      <c r="G45" s="33">
        <v>1</v>
      </c>
      <c r="H45" s="33" cm="1">
        <f t="array" ref="H45">G45*_xlfn.IFS(Настройки!$B$2="M",'Печатные изд.'!C45,Настройки!$B$2="L",'Печатные изд.'!D45,Настройки!$B$2="XL",'Печатные изд.'!E45)</f>
        <v>5</v>
      </c>
      <c r="I45" s="41">
        <f t="shared" si="0"/>
        <v>10</v>
      </c>
      <c r="J45" s="33" t="s">
        <v>516</v>
      </c>
      <c r="K45" s="41" cm="1">
        <f t="array" ref="K45">_xlfn.IFS(J45="Высоконагруженная",Настройки!$B$6,J45="Средне-нагруженная",Настройки!$B$7,J45="Ненагруженная",Настройки!$B$8,J45="Гибкая",Настройки!$B$9)</f>
        <v>1.05</v>
      </c>
      <c r="L45" s="41" cm="1">
        <f t="array" ref="L45">_xlfn.IFS(J45="Высоконагруженная",Настройки!$C$6,J45="Средне-нагруженная",Настройки!$C$7,J45="Ненагруженная",Настройки!$C$8,J45="Гибкая",Настройки!$C$9)/1000</f>
        <v>1</v>
      </c>
      <c r="M45" s="51">
        <f t="shared" si="1"/>
        <v>0</v>
      </c>
      <c r="N45" s="51">
        <f t="shared" si="2"/>
        <v>0</v>
      </c>
      <c r="O45" s="51">
        <f t="shared" si="3"/>
        <v>10.5</v>
      </c>
      <c r="P45" s="51">
        <f t="shared" si="4"/>
        <v>0</v>
      </c>
      <c r="Q45" s="52">
        <f t="shared" si="5"/>
        <v>10.5</v>
      </c>
      <c r="R45" s="43"/>
    </row>
    <row r="46" spans="1:18" ht="15.95" customHeight="1" x14ac:dyDescent="0.25">
      <c r="A46" s="19" t="s">
        <v>219</v>
      </c>
      <c r="B46" s="19" t="s">
        <v>220</v>
      </c>
      <c r="C46" s="33">
        <v>0</v>
      </c>
      <c r="D46" s="33">
        <v>4</v>
      </c>
      <c r="E46" s="33">
        <v>4</v>
      </c>
      <c r="F46" s="33">
        <v>1</v>
      </c>
      <c r="G46" s="33">
        <v>1</v>
      </c>
      <c r="H46" s="33" cm="1">
        <f t="array" ref="H46">G46*_xlfn.IFS(Настройки!$B$2="M",'Печатные изд.'!C46,Настройки!$B$2="L",'Печатные изд.'!D46,Настройки!$B$2="XL",'Печатные изд.'!E46)</f>
        <v>0</v>
      </c>
      <c r="I46" s="41">
        <f t="shared" si="0"/>
        <v>0</v>
      </c>
      <c r="J46" s="33" t="s">
        <v>516</v>
      </c>
      <c r="K46" s="41" cm="1">
        <f t="array" ref="K46">_xlfn.IFS(J46="Высоконагруженная",Настройки!$B$6,J46="Средне-нагруженная",Настройки!$B$7,J46="Ненагруженная",Настройки!$B$8,J46="Гибкая",Настройки!$B$9)</f>
        <v>1.05</v>
      </c>
      <c r="L46" s="41" cm="1">
        <f t="array" ref="L46">_xlfn.IFS(J46="Высоконагруженная",Настройки!$C$6,J46="Средне-нагруженная",Настройки!$C$7,J46="Ненагруженная",Настройки!$C$8,J46="Гибкая",Настройки!$C$9)/1000</f>
        <v>1</v>
      </c>
      <c r="M46" s="51">
        <f t="shared" si="1"/>
        <v>0</v>
      </c>
      <c r="N46" s="51">
        <f t="shared" si="2"/>
        <v>0</v>
      </c>
      <c r="O46" s="51">
        <f t="shared" si="3"/>
        <v>0</v>
      </c>
      <c r="P46" s="51">
        <f t="shared" si="4"/>
        <v>0</v>
      </c>
      <c r="Q46" s="52">
        <f t="shared" si="5"/>
        <v>0</v>
      </c>
      <c r="R46" s="43"/>
    </row>
    <row r="47" spans="1:18" ht="15.95" customHeight="1" x14ac:dyDescent="0.25">
      <c r="A47" s="19" t="s">
        <v>221</v>
      </c>
      <c r="B47" s="19" t="s">
        <v>222</v>
      </c>
      <c r="C47" s="33">
        <v>13</v>
      </c>
      <c r="D47" s="33">
        <v>13</v>
      </c>
      <c r="E47" s="33">
        <v>13</v>
      </c>
      <c r="F47" s="33">
        <v>2</v>
      </c>
      <c r="G47" s="33">
        <v>1</v>
      </c>
      <c r="H47" s="33" cm="1">
        <f t="array" ref="H47">G47*_xlfn.IFS(Настройки!$B$2="M",'Печатные изд.'!C47,Настройки!$B$2="L",'Печатные изд.'!D47,Настройки!$B$2="XL",'Печатные изд.'!E47)</f>
        <v>13</v>
      </c>
      <c r="I47" s="41">
        <f t="shared" si="0"/>
        <v>26</v>
      </c>
      <c r="J47" s="33" t="s">
        <v>516</v>
      </c>
      <c r="K47" s="41" cm="1">
        <f t="array" ref="K47">_xlfn.IFS(J47="Высоконагруженная",Настройки!$B$6,J47="Средне-нагруженная",Настройки!$B$7,J47="Ненагруженная",Настройки!$B$8,J47="Гибкая",Настройки!$B$9)</f>
        <v>1.05</v>
      </c>
      <c r="L47" s="41" cm="1">
        <f t="array" ref="L47">_xlfn.IFS(J47="Высоконагруженная",Настройки!$C$6,J47="Средне-нагруженная",Настройки!$C$7,J47="Ненагруженная",Настройки!$C$8,J47="Гибкая",Настройки!$C$9)/1000</f>
        <v>1</v>
      </c>
      <c r="M47" s="51">
        <f t="shared" si="1"/>
        <v>0</v>
      </c>
      <c r="N47" s="51">
        <f t="shared" si="2"/>
        <v>0</v>
      </c>
      <c r="O47" s="51">
        <f t="shared" si="3"/>
        <v>27.3</v>
      </c>
      <c r="P47" s="51">
        <f t="shared" si="4"/>
        <v>0</v>
      </c>
      <c r="Q47" s="52">
        <f t="shared" si="5"/>
        <v>27.3</v>
      </c>
      <c r="R47" s="43"/>
    </row>
    <row r="48" spans="1:18" ht="15.95" customHeight="1" x14ac:dyDescent="0.25">
      <c r="A48" s="19" t="s">
        <v>223</v>
      </c>
      <c r="B48" s="19" t="s">
        <v>224</v>
      </c>
      <c r="C48" s="33">
        <v>1</v>
      </c>
      <c r="D48" s="33">
        <v>1</v>
      </c>
      <c r="E48" s="33">
        <v>1</v>
      </c>
      <c r="F48" s="33">
        <v>6</v>
      </c>
      <c r="G48" s="33">
        <v>1</v>
      </c>
      <c r="H48" s="33" cm="1">
        <f t="array" ref="H48">G48*_xlfn.IFS(Настройки!$B$2="M",'Печатные изд.'!C48,Настройки!$B$2="L",'Печатные изд.'!D48,Настройки!$B$2="XL",'Печатные изд.'!E48)</f>
        <v>1</v>
      </c>
      <c r="I48" s="41">
        <f t="shared" si="0"/>
        <v>6</v>
      </c>
      <c r="J48" s="33" t="s">
        <v>516</v>
      </c>
      <c r="K48" s="41" cm="1">
        <f t="array" ref="K48">_xlfn.IFS(J48="Высоконагруженная",Настройки!$B$6,J48="Средне-нагруженная",Настройки!$B$7,J48="Ненагруженная",Настройки!$B$8,J48="Гибкая",Настройки!$B$9)</f>
        <v>1.05</v>
      </c>
      <c r="L48" s="41" cm="1">
        <f t="array" ref="L48">_xlfn.IFS(J48="Высоконагруженная",Настройки!$C$6,J48="Средне-нагруженная",Настройки!$C$7,J48="Ненагруженная",Настройки!$C$8,J48="Гибкая",Настройки!$C$9)/1000</f>
        <v>1</v>
      </c>
      <c r="M48" s="51">
        <f t="shared" si="1"/>
        <v>0</v>
      </c>
      <c r="N48" s="51">
        <f t="shared" si="2"/>
        <v>0</v>
      </c>
      <c r="O48" s="51">
        <f t="shared" si="3"/>
        <v>6.3000000000000007</v>
      </c>
      <c r="P48" s="51">
        <f t="shared" si="4"/>
        <v>0</v>
      </c>
      <c r="Q48" s="52">
        <f t="shared" si="5"/>
        <v>6.3000000000000007</v>
      </c>
      <c r="R48" s="43"/>
    </row>
    <row r="49" spans="1:18" ht="15.95" customHeight="1" x14ac:dyDescent="0.25">
      <c r="A49" s="19" t="s">
        <v>225</v>
      </c>
      <c r="B49" s="19" t="s">
        <v>226</v>
      </c>
      <c r="C49" s="33">
        <v>1</v>
      </c>
      <c r="D49" s="33">
        <v>1</v>
      </c>
      <c r="E49" s="33">
        <v>1</v>
      </c>
      <c r="F49" s="33">
        <v>9</v>
      </c>
      <c r="G49" s="33">
        <v>1</v>
      </c>
      <c r="H49" s="33" cm="1">
        <f t="array" ref="H49">G49*_xlfn.IFS(Настройки!$B$2="M",'Печатные изд.'!C49,Настройки!$B$2="L",'Печатные изд.'!D49,Настройки!$B$2="XL",'Печатные изд.'!E49)</f>
        <v>1</v>
      </c>
      <c r="I49" s="41">
        <f t="shared" si="0"/>
        <v>9</v>
      </c>
      <c r="J49" s="33" t="s">
        <v>516</v>
      </c>
      <c r="K49" s="41" cm="1">
        <f t="array" ref="K49">_xlfn.IFS(J49="Высоконагруженная",Настройки!$B$6,J49="Средне-нагруженная",Настройки!$B$7,J49="Ненагруженная",Настройки!$B$8,J49="Гибкая",Настройки!$B$9)</f>
        <v>1.05</v>
      </c>
      <c r="L49" s="41" cm="1">
        <f t="array" ref="L49">_xlfn.IFS(J49="Высоконагруженная",Настройки!$C$6,J49="Средне-нагруженная",Настройки!$C$7,J49="Ненагруженная",Настройки!$C$8,J49="Гибкая",Настройки!$C$9)/1000</f>
        <v>1</v>
      </c>
      <c r="M49" s="51">
        <f t="shared" si="1"/>
        <v>0</v>
      </c>
      <c r="N49" s="51">
        <f t="shared" si="2"/>
        <v>0</v>
      </c>
      <c r="O49" s="51">
        <f t="shared" si="3"/>
        <v>9.4500000000000011</v>
      </c>
      <c r="P49" s="51">
        <f t="shared" si="4"/>
        <v>0</v>
      </c>
      <c r="Q49" s="52">
        <f t="shared" si="5"/>
        <v>9.4500000000000011</v>
      </c>
      <c r="R49" s="43"/>
    </row>
    <row r="50" spans="1:18" ht="15.95" customHeight="1" x14ac:dyDescent="0.25">
      <c r="A50" s="19" t="s">
        <v>227</v>
      </c>
      <c r="B50" s="19" t="s">
        <v>228</v>
      </c>
      <c r="C50" s="33">
        <v>1</v>
      </c>
      <c r="D50" s="33">
        <v>1</v>
      </c>
      <c r="E50" s="33">
        <v>1</v>
      </c>
      <c r="F50" s="33">
        <v>10</v>
      </c>
      <c r="G50" s="33">
        <v>1</v>
      </c>
      <c r="H50" s="33" cm="1">
        <f t="array" ref="H50">G50*_xlfn.IFS(Настройки!$B$2="M",'Печатные изд.'!C50,Настройки!$B$2="L",'Печатные изд.'!D50,Настройки!$B$2="XL",'Печатные изд.'!E50)</f>
        <v>1</v>
      </c>
      <c r="I50" s="41">
        <f t="shared" si="0"/>
        <v>10</v>
      </c>
      <c r="J50" s="33" t="s">
        <v>516</v>
      </c>
      <c r="K50" s="41" cm="1">
        <f t="array" ref="K50">_xlfn.IFS(J50="Высоконагруженная",Настройки!$B$6,J50="Средне-нагруженная",Настройки!$B$7,J50="Ненагруженная",Настройки!$B$8,J50="Гибкая",Настройки!$B$9)</f>
        <v>1.05</v>
      </c>
      <c r="L50" s="41" cm="1">
        <f t="array" ref="L50">_xlfn.IFS(J50="Высоконагруженная",Настройки!$C$6,J50="Средне-нагруженная",Настройки!$C$7,J50="Ненагруженная",Настройки!$C$8,J50="Гибкая",Настройки!$C$9)/1000</f>
        <v>1</v>
      </c>
      <c r="M50" s="51">
        <f t="shared" si="1"/>
        <v>0</v>
      </c>
      <c r="N50" s="51">
        <f t="shared" si="2"/>
        <v>0</v>
      </c>
      <c r="O50" s="51">
        <f t="shared" si="3"/>
        <v>10.5</v>
      </c>
      <c r="P50" s="51">
        <f t="shared" si="4"/>
        <v>0</v>
      </c>
      <c r="Q50" s="52">
        <f t="shared" si="5"/>
        <v>10.5</v>
      </c>
      <c r="R50" s="43"/>
    </row>
    <row r="51" spans="1:18" ht="15.95" customHeight="1" x14ac:dyDescent="0.25">
      <c r="A51" s="19" t="s">
        <v>229</v>
      </c>
      <c r="B51" s="19" t="s">
        <v>499</v>
      </c>
      <c r="C51" s="33">
        <v>2</v>
      </c>
      <c r="D51" s="33">
        <v>4</v>
      </c>
      <c r="E51" s="33">
        <v>4</v>
      </c>
      <c r="F51" s="33">
        <v>5</v>
      </c>
      <c r="G51" s="33">
        <v>1</v>
      </c>
      <c r="H51" s="33" cm="1">
        <f t="array" ref="H51">G51*_xlfn.IFS(Настройки!$B$2="M",'Печатные изд.'!C51,Настройки!$B$2="L",'Печатные изд.'!D51,Настройки!$B$2="XL",'Печатные изд.'!E51)</f>
        <v>2</v>
      </c>
      <c r="I51" s="41">
        <f t="shared" si="0"/>
        <v>10</v>
      </c>
      <c r="J51" s="33" t="s">
        <v>516</v>
      </c>
      <c r="K51" s="41" cm="1">
        <f t="array" ref="K51">_xlfn.IFS(J51="Высоконагруженная",Настройки!$B$6,J51="Средне-нагруженная",Настройки!$B$7,J51="Ненагруженная",Настройки!$B$8,J51="Гибкая",Настройки!$B$9)</f>
        <v>1.05</v>
      </c>
      <c r="L51" s="41" cm="1">
        <f t="array" ref="L51">_xlfn.IFS(J51="Высоконагруженная",Настройки!$C$6,J51="Средне-нагруженная",Настройки!$C$7,J51="Ненагруженная",Настройки!$C$8,J51="Гибкая",Настройки!$C$9)/1000</f>
        <v>1</v>
      </c>
      <c r="M51" s="51">
        <f t="shared" si="1"/>
        <v>0</v>
      </c>
      <c r="N51" s="51">
        <f t="shared" si="2"/>
        <v>0</v>
      </c>
      <c r="O51" s="51">
        <f t="shared" si="3"/>
        <v>10.5</v>
      </c>
      <c r="P51" s="51">
        <f t="shared" si="4"/>
        <v>0</v>
      </c>
      <c r="Q51" s="52">
        <f t="shared" si="5"/>
        <v>10.5</v>
      </c>
      <c r="R51" s="43"/>
    </row>
    <row r="52" spans="1:18" ht="15.95" customHeight="1" x14ac:dyDescent="0.25">
      <c r="A52" s="19" t="s">
        <v>500</v>
      </c>
      <c r="B52" s="19" t="s">
        <v>501</v>
      </c>
      <c r="C52" s="33">
        <v>2</v>
      </c>
      <c r="D52" s="33">
        <v>4</v>
      </c>
      <c r="E52" s="33">
        <v>4</v>
      </c>
      <c r="F52" s="33">
        <v>100</v>
      </c>
      <c r="G52" s="33">
        <v>1</v>
      </c>
      <c r="H52" s="33" cm="1">
        <f t="array" ref="H52">G52*_xlfn.IFS(Настройки!$B$2="M",'Печатные изд.'!C52,Настройки!$B$2="L",'Печатные изд.'!D52,Настройки!$B$2="XL",'Печатные изд.'!E52)</f>
        <v>2</v>
      </c>
      <c r="I52" s="41">
        <f t="shared" si="0"/>
        <v>200</v>
      </c>
      <c r="J52" s="33" t="s">
        <v>515</v>
      </c>
      <c r="K52" s="41" cm="1">
        <f t="array" ref="K52">_xlfn.IFS(J52="Высоконагруженная",Настройки!$B$6,J52="Средне-нагруженная",Настройки!$B$7,J52="Ненагруженная",Настройки!$B$8,J52="Гибкая",Настройки!$B$9)</f>
        <v>1.1499999999999999</v>
      </c>
      <c r="L52" s="41" cm="1">
        <f t="array" ref="L52">_xlfn.IFS(J52="Высоконагруженная",Настройки!$C$6,J52="Средне-нагруженная",Настройки!$C$7,J52="Ненагруженная",Настройки!$C$8,J52="Гибкая",Настройки!$C$9)/1000</f>
        <v>2</v>
      </c>
      <c r="M52" s="51">
        <f t="shared" si="1"/>
        <v>0</v>
      </c>
      <c r="N52" s="51">
        <f t="shared" si="2"/>
        <v>229.99999999999997</v>
      </c>
      <c r="O52" s="51">
        <f t="shared" si="3"/>
        <v>0</v>
      </c>
      <c r="P52" s="51">
        <f t="shared" si="4"/>
        <v>0</v>
      </c>
      <c r="Q52" s="52">
        <f t="shared" si="5"/>
        <v>459.99999999999994</v>
      </c>
      <c r="R52" s="43"/>
    </row>
    <row r="53" spans="1:18" ht="15.95" customHeight="1" x14ac:dyDescent="0.25">
      <c r="A53" s="19" t="s">
        <v>541</v>
      </c>
      <c r="B53" s="19" t="s">
        <v>542</v>
      </c>
      <c r="C53" s="33">
        <v>2</v>
      </c>
      <c r="D53" s="33">
        <v>2</v>
      </c>
      <c r="E53" s="33">
        <v>2</v>
      </c>
      <c r="F53" s="33">
        <v>8</v>
      </c>
      <c r="G53" s="33">
        <v>1</v>
      </c>
      <c r="H53" s="33" cm="1">
        <f t="array" ref="H53">G53*_xlfn.IFS(Настройки!$B$2="M",'Печатные изд.'!C53,Настройки!$B$2="L",'Печатные изд.'!D53,Настройки!$B$2="XL",'Печатные изд.'!E53)</f>
        <v>2</v>
      </c>
      <c r="I53" s="41">
        <f t="shared" ref="I53" si="6">F53*H53</f>
        <v>16</v>
      </c>
      <c r="J53" s="33" t="s">
        <v>516</v>
      </c>
      <c r="K53" s="41" cm="1">
        <f t="array" ref="K53">_xlfn.IFS(J53="Высоконагруженная",Настройки!$B$6,J53="Средне-нагруженная",Настройки!$B$7,J53="Ненагруженная",Настройки!$B$8,J53="Гибкая",Настройки!$B$9)</f>
        <v>1.05</v>
      </c>
      <c r="L53" s="41" cm="1">
        <f t="array" ref="L53">_xlfn.IFS(J53="Высоконагруженная",Настройки!$C$6,J53="Средне-нагруженная",Настройки!$C$7,J53="Ненагруженная",Настройки!$C$8,J53="Гибкая",Настройки!$C$9)/1000</f>
        <v>1</v>
      </c>
      <c r="M53" s="51">
        <f t="shared" ref="M53" si="7">IF(J53="Высоконагруженная",1,0)*G53*I53*K53</f>
        <v>0</v>
      </c>
      <c r="N53" s="51">
        <f t="shared" ref="N53" si="8">IF(J53="Средне-нагруженная",1,0)*G53*I53*K53</f>
        <v>0</v>
      </c>
      <c r="O53" s="51">
        <f t="shared" ref="O53" si="9">IF(J53="Ненагруженная",1,0)*G53*I53*K53</f>
        <v>16.8</v>
      </c>
      <c r="P53" s="51">
        <f t="shared" ref="P53" si="10">IF(J53="Гибкая",1,0)*G53*I53*K53</f>
        <v>0</v>
      </c>
      <c r="Q53" s="52">
        <f t="shared" ref="Q53" si="11">SUM(M53:P53)*L53</f>
        <v>16.8</v>
      </c>
      <c r="R53" s="78"/>
    </row>
    <row r="54" spans="1:18" ht="15.95" customHeight="1" x14ac:dyDescent="0.25">
      <c r="A54" s="19" t="s">
        <v>230</v>
      </c>
      <c r="B54" s="19" t="s">
        <v>231</v>
      </c>
      <c r="C54" s="33">
        <v>2</v>
      </c>
      <c r="D54" s="33">
        <v>2</v>
      </c>
      <c r="E54" s="33">
        <v>2</v>
      </c>
      <c r="F54" s="33">
        <v>6</v>
      </c>
      <c r="G54" s="33">
        <v>1</v>
      </c>
      <c r="H54" s="33" cm="1">
        <f t="array" ref="H54">G54*_xlfn.IFS(Настройки!$B$2="M",'Печатные изд.'!C54,Настройки!$B$2="L",'Печатные изд.'!D54,Настройки!$B$2="XL",'Печатные изд.'!E54)</f>
        <v>2</v>
      </c>
      <c r="I54" s="41">
        <f t="shared" si="0"/>
        <v>12</v>
      </c>
      <c r="J54" s="33" t="s">
        <v>516</v>
      </c>
      <c r="K54" s="41" cm="1">
        <f t="array" ref="K54">_xlfn.IFS(J54="Высоконагруженная",Настройки!$B$6,J54="Средне-нагруженная",Настройки!$B$7,J54="Ненагруженная",Настройки!$B$8,J54="Гибкая",Настройки!$B$9)</f>
        <v>1.05</v>
      </c>
      <c r="L54" s="41" cm="1">
        <f t="array" ref="L54">_xlfn.IFS(J54="Высоконагруженная",Настройки!$C$6,J54="Средне-нагруженная",Настройки!$C$7,J54="Ненагруженная",Настройки!$C$8,J54="Гибкая",Настройки!$C$9)/1000</f>
        <v>1</v>
      </c>
      <c r="M54" s="51">
        <f t="shared" si="1"/>
        <v>0</v>
      </c>
      <c r="N54" s="51">
        <f t="shared" si="2"/>
        <v>0</v>
      </c>
      <c r="O54" s="51">
        <f t="shared" si="3"/>
        <v>12.600000000000001</v>
      </c>
      <c r="P54" s="51">
        <f t="shared" si="4"/>
        <v>0</v>
      </c>
      <c r="Q54" s="52">
        <f t="shared" si="5"/>
        <v>12.600000000000001</v>
      </c>
      <c r="R54" s="43"/>
    </row>
    <row r="55" spans="1:18" ht="15.95" customHeight="1" x14ac:dyDescent="0.25">
      <c r="A55" s="19" t="s">
        <v>232</v>
      </c>
      <c r="B55" s="19" t="s">
        <v>231</v>
      </c>
      <c r="C55" s="33">
        <v>2</v>
      </c>
      <c r="D55" s="33">
        <v>2</v>
      </c>
      <c r="E55" s="33">
        <v>2</v>
      </c>
      <c r="F55" s="33">
        <v>6</v>
      </c>
      <c r="G55" s="33">
        <v>1</v>
      </c>
      <c r="H55" s="33" cm="1">
        <f t="array" ref="H55">G55*_xlfn.IFS(Настройки!$B$2="M",'Печатные изд.'!C55,Настройки!$B$2="L",'Печатные изд.'!D55,Настройки!$B$2="XL",'Печатные изд.'!E55)</f>
        <v>2</v>
      </c>
      <c r="I55" s="41">
        <f t="shared" si="0"/>
        <v>12</v>
      </c>
      <c r="J55" s="33" t="s">
        <v>516</v>
      </c>
      <c r="K55" s="41" cm="1">
        <f t="array" ref="K55">_xlfn.IFS(J55="Высоконагруженная",Настройки!$B$6,J55="Средне-нагруженная",Настройки!$B$7,J55="Ненагруженная",Настройки!$B$8,J55="Гибкая",Настройки!$B$9)</f>
        <v>1.05</v>
      </c>
      <c r="L55" s="41" cm="1">
        <f t="array" ref="L55">_xlfn.IFS(J55="Высоконагруженная",Настройки!$C$6,J55="Средне-нагруженная",Настройки!$C$7,J55="Ненагруженная",Настройки!$C$8,J55="Гибкая",Настройки!$C$9)/1000</f>
        <v>1</v>
      </c>
      <c r="M55" s="51">
        <f t="shared" si="1"/>
        <v>0</v>
      </c>
      <c r="N55" s="51">
        <f t="shared" si="2"/>
        <v>0</v>
      </c>
      <c r="O55" s="51">
        <f t="shared" si="3"/>
        <v>12.600000000000001</v>
      </c>
      <c r="P55" s="51">
        <f t="shared" si="4"/>
        <v>0</v>
      </c>
      <c r="Q55" s="52">
        <f t="shared" si="5"/>
        <v>12.600000000000001</v>
      </c>
      <c r="R55" s="43"/>
    </row>
    <row r="56" spans="1:18" ht="15.95" customHeight="1" x14ac:dyDescent="0.25">
      <c r="A56" s="19" t="s">
        <v>233</v>
      </c>
      <c r="B56" s="19" t="s">
        <v>234</v>
      </c>
      <c r="C56" s="33">
        <v>2</v>
      </c>
      <c r="D56" s="33">
        <v>2</v>
      </c>
      <c r="E56" s="33">
        <v>2</v>
      </c>
      <c r="F56" s="33">
        <v>4</v>
      </c>
      <c r="G56" s="33">
        <v>1</v>
      </c>
      <c r="H56" s="33" cm="1">
        <f t="array" ref="H56">G56*_xlfn.IFS(Настройки!$B$2="M",'Печатные изд.'!C56,Настройки!$B$2="L",'Печатные изд.'!D56,Настройки!$B$2="XL",'Печатные изд.'!E56)</f>
        <v>2</v>
      </c>
      <c r="I56" s="41">
        <f t="shared" ref="I56:I116" si="12">F56*H56</f>
        <v>8</v>
      </c>
      <c r="J56" s="33" t="s">
        <v>516</v>
      </c>
      <c r="K56" s="41" cm="1">
        <f t="array" ref="K56">_xlfn.IFS(J56="Высоконагруженная",Настройки!$B$6,J56="Средне-нагруженная",Настройки!$B$7,J56="Ненагруженная",Настройки!$B$8,J56="Гибкая",Настройки!$B$9)</f>
        <v>1.05</v>
      </c>
      <c r="L56" s="41" cm="1">
        <f t="array" ref="L56">_xlfn.IFS(J56="Высоконагруженная",Настройки!$C$6,J56="Средне-нагруженная",Настройки!$C$7,J56="Ненагруженная",Настройки!$C$8,J56="Гибкая",Настройки!$C$9)/1000</f>
        <v>1</v>
      </c>
      <c r="M56" s="51">
        <f t="shared" si="1"/>
        <v>0</v>
      </c>
      <c r="N56" s="51">
        <f t="shared" si="2"/>
        <v>0</v>
      </c>
      <c r="O56" s="51">
        <f t="shared" si="3"/>
        <v>8.4</v>
      </c>
      <c r="P56" s="51">
        <f t="shared" si="4"/>
        <v>0</v>
      </c>
      <c r="Q56" s="52">
        <f t="shared" ref="Q56:Q116" si="13">SUM(M56:P56)*L56</f>
        <v>8.4</v>
      </c>
      <c r="R56" s="43"/>
    </row>
    <row r="57" spans="1:18" ht="15.95" customHeight="1" x14ac:dyDescent="0.25">
      <c r="A57" s="19" t="s">
        <v>235</v>
      </c>
      <c r="B57" s="19" t="s">
        <v>234</v>
      </c>
      <c r="C57" s="33">
        <v>2</v>
      </c>
      <c r="D57" s="33">
        <v>2</v>
      </c>
      <c r="E57" s="33">
        <v>2</v>
      </c>
      <c r="F57" s="33">
        <v>4</v>
      </c>
      <c r="G57" s="33">
        <v>1</v>
      </c>
      <c r="H57" s="33" cm="1">
        <f t="array" ref="H57">G57*_xlfn.IFS(Настройки!$B$2="M",'Печатные изд.'!C57,Настройки!$B$2="L",'Печатные изд.'!D57,Настройки!$B$2="XL",'Печатные изд.'!E57)</f>
        <v>2</v>
      </c>
      <c r="I57" s="41">
        <f t="shared" si="12"/>
        <v>8</v>
      </c>
      <c r="J57" s="33" t="s">
        <v>516</v>
      </c>
      <c r="K57" s="41" cm="1">
        <f t="array" ref="K57">_xlfn.IFS(J57="Высоконагруженная",Настройки!$B$6,J57="Средне-нагруженная",Настройки!$B$7,J57="Ненагруженная",Настройки!$B$8,J57="Гибкая",Настройки!$B$9)</f>
        <v>1.05</v>
      </c>
      <c r="L57" s="41" cm="1">
        <f t="array" ref="L57">_xlfn.IFS(J57="Высоконагруженная",Настройки!$C$6,J57="Средне-нагруженная",Настройки!$C$7,J57="Ненагруженная",Настройки!$C$8,J57="Гибкая",Настройки!$C$9)/1000</f>
        <v>1</v>
      </c>
      <c r="M57" s="51">
        <f t="shared" si="1"/>
        <v>0</v>
      </c>
      <c r="N57" s="51">
        <f t="shared" si="2"/>
        <v>0</v>
      </c>
      <c r="O57" s="51">
        <f t="shared" si="3"/>
        <v>8.4</v>
      </c>
      <c r="P57" s="51">
        <f t="shared" si="4"/>
        <v>0</v>
      </c>
      <c r="Q57" s="52">
        <f t="shared" si="13"/>
        <v>8.4</v>
      </c>
      <c r="R57" s="43"/>
    </row>
    <row r="58" spans="1:18" ht="15.95" customHeight="1" x14ac:dyDescent="0.25">
      <c r="A58" s="19" t="s">
        <v>236</v>
      </c>
      <c r="B58" s="19" t="s">
        <v>237</v>
      </c>
      <c r="C58" s="33">
        <v>1</v>
      </c>
      <c r="D58" s="33">
        <v>1</v>
      </c>
      <c r="E58" s="33">
        <v>1</v>
      </c>
      <c r="F58" s="33">
        <v>5</v>
      </c>
      <c r="G58" s="33">
        <v>1</v>
      </c>
      <c r="H58" s="33" cm="1">
        <f t="array" ref="H58">G58*_xlfn.IFS(Настройки!$B$2="M",'Печатные изд.'!C58,Настройки!$B$2="L",'Печатные изд.'!D58,Настройки!$B$2="XL",'Печатные изд.'!E58)</f>
        <v>1</v>
      </c>
      <c r="I58" s="41">
        <f t="shared" si="12"/>
        <v>5</v>
      </c>
      <c r="J58" s="33" t="s">
        <v>516</v>
      </c>
      <c r="K58" s="41" cm="1">
        <f t="array" ref="K58">_xlfn.IFS(J58="Высоконагруженная",Настройки!$B$6,J58="Средне-нагруженная",Настройки!$B$7,J58="Ненагруженная",Настройки!$B$8,J58="Гибкая",Настройки!$B$9)</f>
        <v>1.05</v>
      </c>
      <c r="L58" s="41" cm="1">
        <f t="array" ref="L58">_xlfn.IFS(J58="Высоконагруженная",Настройки!$C$6,J58="Средне-нагруженная",Настройки!$C$7,J58="Ненагруженная",Настройки!$C$8,J58="Гибкая",Настройки!$C$9)/1000</f>
        <v>1</v>
      </c>
      <c r="M58" s="51">
        <f t="shared" si="1"/>
        <v>0</v>
      </c>
      <c r="N58" s="51">
        <f t="shared" si="2"/>
        <v>0</v>
      </c>
      <c r="O58" s="51">
        <f t="shared" si="3"/>
        <v>5.25</v>
      </c>
      <c r="P58" s="51">
        <f t="shared" si="4"/>
        <v>0</v>
      </c>
      <c r="Q58" s="52">
        <f t="shared" si="13"/>
        <v>5.25</v>
      </c>
      <c r="R58" s="43"/>
    </row>
    <row r="59" spans="1:18" ht="15.95" customHeight="1" x14ac:dyDescent="0.25">
      <c r="A59" s="19" t="s">
        <v>238</v>
      </c>
      <c r="B59" s="19" t="s">
        <v>237</v>
      </c>
      <c r="C59" s="33">
        <v>1</v>
      </c>
      <c r="D59" s="33">
        <v>1</v>
      </c>
      <c r="E59" s="33">
        <v>1</v>
      </c>
      <c r="F59" s="33">
        <v>5</v>
      </c>
      <c r="G59" s="33">
        <v>1</v>
      </c>
      <c r="H59" s="33" cm="1">
        <f t="array" ref="H59">G59*_xlfn.IFS(Настройки!$B$2="M",'Печатные изд.'!C59,Настройки!$B$2="L",'Печатные изд.'!D59,Настройки!$B$2="XL",'Печатные изд.'!E59)</f>
        <v>1</v>
      </c>
      <c r="I59" s="41">
        <f t="shared" si="12"/>
        <v>5</v>
      </c>
      <c r="J59" s="33" t="s">
        <v>516</v>
      </c>
      <c r="K59" s="41" cm="1">
        <f t="array" ref="K59">_xlfn.IFS(J59="Высоконагруженная",Настройки!$B$6,J59="Средне-нагруженная",Настройки!$B$7,J59="Ненагруженная",Настройки!$B$8,J59="Гибкая",Настройки!$B$9)</f>
        <v>1.05</v>
      </c>
      <c r="L59" s="41" cm="1">
        <f t="array" ref="L59">_xlfn.IFS(J59="Высоконагруженная",Настройки!$C$6,J59="Средне-нагруженная",Настройки!$C$7,J59="Ненагруженная",Настройки!$C$8,J59="Гибкая",Настройки!$C$9)/1000</f>
        <v>1</v>
      </c>
      <c r="M59" s="51">
        <f t="shared" si="1"/>
        <v>0</v>
      </c>
      <c r="N59" s="51">
        <f t="shared" si="2"/>
        <v>0</v>
      </c>
      <c r="O59" s="51">
        <f t="shared" si="3"/>
        <v>5.25</v>
      </c>
      <c r="P59" s="51">
        <f t="shared" si="4"/>
        <v>0</v>
      </c>
      <c r="Q59" s="52">
        <f t="shared" si="13"/>
        <v>5.25</v>
      </c>
      <c r="R59" s="43"/>
    </row>
    <row r="60" spans="1:18" ht="15.95" customHeight="1" x14ac:dyDescent="0.25">
      <c r="A60" s="19" t="s">
        <v>239</v>
      </c>
      <c r="B60" s="19" t="s">
        <v>240</v>
      </c>
      <c r="C60" s="33">
        <v>1</v>
      </c>
      <c r="D60" s="33">
        <v>1</v>
      </c>
      <c r="E60" s="33">
        <v>1</v>
      </c>
      <c r="F60" s="33">
        <v>106</v>
      </c>
      <c r="G60" s="33">
        <v>1</v>
      </c>
      <c r="H60" s="33" cm="1">
        <f t="array" ref="H60">G60*_xlfn.IFS(Настройки!$B$2="M",'Печатные изд.'!C60,Настройки!$B$2="L",'Печатные изд.'!D60,Настройки!$B$2="XL",'Печатные изд.'!E60)</f>
        <v>1</v>
      </c>
      <c r="I60" s="41">
        <f t="shared" si="12"/>
        <v>106</v>
      </c>
      <c r="J60" s="33" t="s">
        <v>516</v>
      </c>
      <c r="K60" s="41" cm="1">
        <f t="array" ref="K60">_xlfn.IFS(J60="Высоконагруженная",Настройки!$B$6,J60="Средне-нагруженная",Настройки!$B$7,J60="Ненагруженная",Настройки!$B$8,J60="Гибкая",Настройки!$B$9)</f>
        <v>1.05</v>
      </c>
      <c r="L60" s="41" cm="1">
        <f t="array" ref="L60">_xlfn.IFS(J60="Высоконагруженная",Настройки!$C$6,J60="Средне-нагруженная",Настройки!$C$7,J60="Ненагруженная",Настройки!$C$8,J60="Гибкая",Настройки!$C$9)/1000</f>
        <v>1</v>
      </c>
      <c r="M60" s="51">
        <f t="shared" si="1"/>
        <v>0</v>
      </c>
      <c r="N60" s="51">
        <f t="shared" si="2"/>
        <v>0</v>
      </c>
      <c r="O60" s="51">
        <f t="shared" si="3"/>
        <v>111.30000000000001</v>
      </c>
      <c r="P60" s="51">
        <f t="shared" si="4"/>
        <v>0</v>
      </c>
      <c r="Q60" s="52">
        <f t="shared" si="13"/>
        <v>111.30000000000001</v>
      </c>
      <c r="R60" s="43"/>
    </row>
    <row r="61" spans="1:18" ht="15.95" customHeight="1" x14ac:dyDescent="0.25">
      <c r="A61" s="19" t="s">
        <v>241</v>
      </c>
      <c r="B61" s="19" t="s">
        <v>242</v>
      </c>
      <c r="C61" s="33">
        <v>1</v>
      </c>
      <c r="D61" s="33">
        <v>1</v>
      </c>
      <c r="E61" s="33">
        <v>1</v>
      </c>
      <c r="F61" s="33">
        <v>2</v>
      </c>
      <c r="G61" s="33">
        <v>1</v>
      </c>
      <c r="H61" s="33" cm="1">
        <f t="array" ref="H61">G61*_xlfn.IFS(Настройки!$B$2="M",'Печатные изд.'!C61,Настройки!$B$2="L",'Печатные изд.'!D61,Настройки!$B$2="XL",'Печатные изд.'!E61)</f>
        <v>1</v>
      </c>
      <c r="I61" s="41">
        <f t="shared" si="12"/>
        <v>2</v>
      </c>
      <c r="J61" s="33" t="s">
        <v>516</v>
      </c>
      <c r="K61" s="41" cm="1">
        <f t="array" ref="K61">_xlfn.IFS(J61="Высоконагруженная",Настройки!$B$6,J61="Средне-нагруженная",Настройки!$B$7,J61="Ненагруженная",Настройки!$B$8,J61="Гибкая",Настройки!$B$9)</f>
        <v>1.05</v>
      </c>
      <c r="L61" s="41" cm="1">
        <f t="array" ref="L61">_xlfn.IFS(J61="Высоконагруженная",Настройки!$C$6,J61="Средне-нагруженная",Настройки!$C$7,J61="Ненагруженная",Настройки!$C$8,J61="Гибкая",Настройки!$C$9)/1000</f>
        <v>1</v>
      </c>
      <c r="M61" s="51">
        <f t="shared" si="1"/>
        <v>0</v>
      </c>
      <c r="N61" s="51">
        <f t="shared" si="2"/>
        <v>0</v>
      </c>
      <c r="O61" s="51">
        <f t="shared" si="3"/>
        <v>2.1</v>
      </c>
      <c r="P61" s="51">
        <f t="shared" si="4"/>
        <v>0</v>
      </c>
      <c r="Q61" s="52">
        <f t="shared" si="13"/>
        <v>2.1</v>
      </c>
      <c r="R61" s="43"/>
    </row>
    <row r="62" spans="1:18" ht="15.95" customHeight="1" x14ac:dyDescent="0.25">
      <c r="A62" s="19" t="s">
        <v>243</v>
      </c>
      <c r="B62" s="19" t="s">
        <v>244</v>
      </c>
      <c r="C62" s="33">
        <v>2</v>
      </c>
      <c r="D62" s="33">
        <v>2</v>
      </c>
      <c r="E62" s="33">
        <v>2</v>
      </c>
      <c r="F62" s="33">
        <v>3</v>
      </c>
      <c r="G62" s="33">
        <v>1</v>
      </c>
      <c r="H62" s="33" cm="1">
        <f t="array" ref="H62">G62*_xlfn.IFS(Настройки!$B$2="M",'Печатные изд.'!C62,Настройки!$B$2="L",'Печатные изд.'!D62,Настройки!$B$2="XL",'Печатные изд.'!E62)</f>
        <v>2</v>
      </c>
      <c r="I62" s="41">
        <f t="shared" si="12"/>
        <v>6</v>
      </c>
      <c r="J62" s="33" t="s">
        <v>516</v>
      </c>
      <c r="K62" s="41" cm="1">
        <f t="array" ref="K62">_xlfn.IFS(J62="Высоконагруженная",Настройки!$B$6,J62="Средне-нагруженная",Настройки!$B$7,J62="Ненагруженная",Настройки!$B$8,J62="Гибкая",Настройки!$B$9)</f>
        <v>1.05</v>
      </c>
      <c r="L62" s="41" cm="1">
        <f t="array" ref="L62">_xlfn.IFS(J62="Высоконагруженная",Настройки!$C$6,J62="Средне-нагруженная",Настройки!$C$7,J62="Ненагруженная",Настройки!$C$8,J62="Гибкая",Настройки!$C$9)/1000</f>
        <v>1</v>
      </c>
      <c r="M62" s="51">
        <f t="shared" si="1"/>
        <v>0</v>
      </c>
      <c r="N62" s="51">
        <f t="shared" si="2"/>
        <v>0</v>
      </c>
      <c r="O62" s="51">
        <f t="shared" si="3"/>
        <v>6.3000000000000007</v>
      </c>
      <c r="P62" s="51">
        <f t="shared" si="4"/>
        <v>0</v>
      </c>
      <c r="Q62" s="52">
        <f t="shared" si="13"/>
        <v>6.3000000000000007</v>
      </c>
      <c r="R62" s="43"/>
    </row>
    <row r="63" spans="1:18" ht="15.95" customHeight="1" x14ac:dyDescent="0.25">
      <c r="A63" s="19" t="s">
        <v>245</v>
      </c>
      <c r="B63" s="19" t="s">
        <v>246</v>
      </c>
      <c r="C63" s="33">
        <v>2</v>
      </c>
      <c r="D63" s="33">
        <v>2</v>
      </c>
      <c r="E63" s="33">
        <v>2</v>
      </c>
      <c r="F63" s="33">
        <v>2</v>
      </c>
      <c r="G63" s="33">
        <v>1</v>
      </c>
      <c r="H63" s="33" cm="1">
        <f t="array" ref="H63">G63*_xlfn.IFS(Настройки!$B$2="M",'Печатные изд.'!C63,Настройки!$B$2="L",'Печатные изд.'!D63,Настройки!$B$2="XL",'Печатные изд.'!E63)</f>
        <v>2</v>
      </c>
      <c r="I63" s="41">
        <f t="shared" si="12"/>
        <v>4</v>
      </c>
      <c r="J63" s="33" t="s">
        <v>516</v>
      </c>
      <c r="K63" s="41" cm="1">
        <f t="array" ref="K63">_xlfn.IFS(J63="Высоконагруженная",Настройки!$B$6,J63="Средне-нагруженная",Настройки!$B$7,J63="Ненагруженная",Настройки!$B$8,J63="Гибкая",Настройки!$B$9)</f>
        <v>1.05</v>
      </c>
      <c r="L63" s="41" cm="1">
        <f t="array" ref="L63">_xlfn.IFS(J63="Высоконагруженная",Настройки!$C$6,J63="Средне-нагруженная",Настройки!$C$7,J63="Ненагруженная",Настройки!$C$8,J63="Гибкая",Настройки!$C$9)/1000</f>
        <v>1</v>
      </c>
      <c r="M63" s="51">
        <f t="shared" si="1"/>
        <v>0</v>
      </c>
      <c r="N63" s="51">
        <f t="shared" si="2"/>
        <v>0</v>
      </c>
      <c r="O63" s="51">
        <f t="shared" si="3"/>
        <v>4.2</v>
      </c>
      <c r="P63" s="51">
        <f t="shared" si="4"/>
        <v>0</v>
      </c>
      <c r="Q63" s="52">
        <f t="shared" si="13"/>
        <v>4.2</v>
      </c>
      <c r="R63" s="43"/>
    </row>
    <row r="64" spans="1:18" ht="15.95" customHeight="1" x14ac:dyDescent="0.25">
      <c r="A64" s="19" t="s">
        <v>247</v>
      </c>
      <c r="B64" s="19" t="s">
        <v>248</v>
      </c>
      <c r="C64" s="33">
        <v>1</v>
      </c>
      <c r="D64" s="33">
        <v>1</v>
      </c>
      <c r="E64" s="33">
        <v>1</v>
      </c>
      <c r="F64" s="33">
        <v>49</v>
      </c>
      <c r="G64" s="33">
        <v>0</v>
      </c>
      <c r="H64" s="33" cm="1">
        <f t="array" ref="H64">G64*_xlfn.IFS(Настройки!$B$2="M",'Печатные изд.'!C64,Настройки!$B$2="L",'Печатные изд.'!D64,Настройки!$B$2="XL",'Печатные изд.'!E64)</f>
        <v>0</v>
      </c>
      <c r="I64" s="41">
        <f t="shared" si="12"/>
        <v>0</v>
      </c>
      <c r="J64" s="33" t="s">
        <v>516</v>
      </c>
      <c r="K64" s="41" cm="1">
        <f t="array" ref="K64">_xlfn.IFS(J64="Высоконагруженная",Настройки!$B$6,J64="Средне-нагруженная",Настройки!$B$7,J64="Ненагруженная",Настройки!$B$8,J64="Гибкая",Настройки!$B$9)</f>
        <v>1.05</v>
      </c>
      <c r="L64" s="41" cm="1">
        <f t="array" ref="L64">_xlfn.IFS(J64="Высоконагруженная",Настройки!$C$6,J64="Средне-нагруженная",Настройки!$C$7,J64="Ненагруженная",Настройки!$C$8,J64="Гибкая",Настройки!$C$9)/1000</f>
        <v>1</v>
      </c>
      <c r="M64" s="51">
        <f t="shared" si="1"/>
        <v>0</v>
      </c>
      <c r="N64" s="51">
        <f t="shared" si="2"/>
        <v>0</v>
      </c>
      <c r="O64" s="51">
        <f t="shared" si="3"/>
        <v>0</v>
      </c>
      <c r="P64" s="51">
        <f t="shared" si="4"/>
        <v>0</v>
      </c>
      <c r="Q64" s="52">
        <f t="shared" si="13"/>
        <v>0</v>
      </c>
      <c r="R64" s="43" t="s">
        <v>536</v>
      </c>
    </row>
    <row r="65" spans="1:18" ht="15.95" customHeight="1" x14ac:dyDescent="0.25">
      <c r="A65" s="19" t="s">
        <v>249</v>
      </c>
      <c r="B65" s="19" t="s">
        <v>250</v>
      </c>
      <c r="C65" s="33">
        <v>1</v>
      </c>
      <c r="D65" s="33">
        <v>1</v>
      </c>
      <c r="E65" s="33">
        <v>0</v>
      </c>
      <c r="F65" s="33">
        <v>24</v>
      </c>
      <c r="G65" s="33">
        <v>1</v>
      </c>
      <c r="H65" s="33" cm="1">
        <f t="array" ref="H65">G65*_xlfn.IFS(Настройки!$B$2="M",'Печатные изд.'!C65,Настройки!$B$2="L",'Печатные изд.'!D65,Настройки!$B$2="XL",'Печатные изд.'!E65)</f>
        <v>1</v>
      </c>
      <c r="I65" s="41">
        <f t="shared" si="12"/>
        <v>24</v>
      </c>
      <c r="J65" s="33" t="s">
        <v>516</v>
      </c>
      <c r="K65" s="41" cm="1">
        <f t="array" ref="K65">_xlfn.IFS(J65="Высоконагруженная",Настройки!$B$6,J65="Средне-нагруженная",Настройки!$B$7,J65="Ненагруженная",Настройки!$B$8,J65="Гибкая",Настройки!$B$9)</f>
        <v>1.05</v>
      </c>
      <c r="L65" s="41" cm="1">
        <f t="array" ref="L65">_xlfn.IFS(J65="Высоконагруженная",Настройки!$C$6,J65="Средне-нагруженная",Настройки!$C$7,J65="Ненагруженная",Настройки!$C$8,J65="Гибкая",Настройки!$C$9)/1000</f>
        <v>1</v>
      </c>
      <c r="M65" s="51">
        <f t="shared" si="1"/>
        <v>0</v>
      </c>
      <c r="N65" s="51">
        <f t="shared" si="2"/>
        <v>0</v>
      </c>
      <c r="O65" s="51">
        <f t="shared" si="3"/>
        <v>25.200000000000003</v>
      </c>
      <c r="P65" s="51">
        <f t="shared" si="4"/>
        <v>0</v>
      </c>
      <c r="Q65" s="52">
        <f t="shared" si="13"/>
        <v>25.200000000000003</v>
      </c>
      <c r="R65" s="43"/>
    </row>
    <row r="66" spans="1:18" ht="15.95" customHeight="1" x14ac:dyDescent="0.25">
      <c r="A66" s="19" t="s">
        <v>251</v>
      </c>
      <c r="B66" s="19" t="s">
        <v>250</v>
      </c>
      <c r="C66" s="33">
        <v>1</v>
      </c>
      <c r="D66" s="33">
        <v>1</v>
      </c>
      <c r="E66" s="33">
        <v>0</v>
      </c>
      <c r="F66" s="33">
        <v>24</v>
      </c>
      <c r="G66" s="33">
        <v>1</v>
      </c>
      <c r="H66" s="33" cm="1">
        <f t="array" ref="H66">G66*_xlfn.IFS(Настройки!$B$2="M",'Печатные изд.'!C66,Настройки!$B$2="L",'Печатные изд.'!D66,Настройки!$B$2="XL",'Печатные изд.'!E66)</f>
        <v>1</v>
      </c>
      <c r="I66" s="41">
        <f t="shared" si="12"/>
        <v>24</v>
      </c>
      <c r="J66" s="33" t="s">
        <v>516</v>
      </c>
      <c r="K66" s="41" cm="1">
        <f t="array" ref="K66">_xlfn.IFS(J66="Высоконагруженная",Настройки!$B$6,J66="Средне-нагруженная",Настройки!$B$7,J66="Ненагруженная",Настройки!$B$8,J66="Гибкая",Настройки!$B$9)</f>
        <v>1.05</v>
      </c>
      <c r="L66" s="41" cm="1">
        <f t="array" ref="L66">_xlfn.IFS(J66="Высоконагруженная",Настройки!$C$6,J66="Средне-нагруженная",Настройки!$C$7,J66="Ненагруженная",Настройки!$C$8,J66="Гибкая",Настройки!$C$9)/1000</f>
        <v>1</v>
      </c>
      <c r="M66" s="51">
        <f t="shared" si="1"/>
        <v>0</v>
      </c>
      <c r="N66" s="51">
        <f t="shared" si="2"/>
        <v>0</v>
      </c>
      <c r="O66" s="51">
        <f t="shared" si="3"/>
        <v>25.200000000000003</v>
      </c>
      <c r="P66" s="51">
        <f t="shared" si="4"/>
        <v>0</v>
      </c>
      <c r="Q66" s="52">
        <f t="shared" si="13"/>
        <v>25.200000000000003</v>
      </c>
      <c r="R66" s="43"/>
    </row>
    <row r="67" spans="1:18" ht="15.95" customHeight="1" x14ac:dyDescent="0.25">
      <c r="A67" s="19" t="s">
        <v>252</v>
      </c>
      <c r="B67" s="19" t="s">
        <v>250</v>
      </c>
      <c r="C67" s="33">
        <v>0</v>
      </c>
      <c r="D67" s="33">
        <v>0</v>
      </c>
      <c r="E67" s="33">
        <v>1</v>
      </c>
      <c r="F67" s="33">
        <v>30</v>
      </c>
      <c r="G67" s="33">
        <v>1</v>
      </c>
      <c r="H67" s="33" cm="1">
        <f t="array" ref="H67">G67*_xlfn.IFS(Настройки!$B$2="M",'Печатные изд.'!C67,Настройки!$B$2="L",'Печатные изд.'!D67,Настройки!$B$2="XL",'Печатные изд.'!E67)</f>
        <v>0</v>
      </c>
      <c r="I67" s="41">
        <f t="shared" si="12"/>
        <v>0</v>
      </c>
      <c r="J67" s="33" t="s">
        <v>516</v>
      </c>
      <c r="K67" s="41" cm="1">
        <f t="array" ref="K67">_xlfn.IFS(J67="Высоконагруженная",Настройки!$B$6,J67="Средне-нагруженная",Настройки!$B$7,J67="Ненагруженная",Настройки!$B$8,J67="Гибкая",Настройки!$B$9)</f>
        <v>1.05</v>
      </c>
      <c r="L67" s="41" cm="1">
        <f t="array" ref="L67">_xlfn.IFS(J67="Высоконагруженная",Настройки!$C$6,J67="Средне-нагруженная",Настройки!$C$7,J67="Ненагруженная",Настройки!$C$8,J67="Гибкая",Настройки!$C$9)/1000</f>
        <v>1</v>
      </c>
      <c r="M67" s="51">
        <f t="shared" si="1"/>
        <v>0</v>
      </c>
      <c r="N67" s="51">
        <f t="shared" si="2"/>
        <v>0</v>
      </c>
      <c r="O67" s="51">
        <f t="shared" si="3"/>
        <v>0</v>
      </c>
      <c r="P67" s="51">
        <f t="shared" si="4"/>
        <v>0</v>
      </c>
      <c r="Q67" s="52">
        <f t="shared" si="13"/>
        <v>0</v>
      </c>
      <c r="R67" s="43"/>
    </row>
    <row r="68" spans="1:18" ht="15.95" customHeight="1" x14ac:dyDescent="0.25">
      <c r="A68" s="19" t="s">
        <v>253</v>
      </c>
      <c r="B68" s="19" t="s">
        <v>250</v>
      </c>
      <c r="C68" s="33">
        <v>0</v>
      </c>
      <c r="D68" s="33">
        <v>0</v>
      </c>
      <c r="E68" s="33">
        <v>1</v>
      </c>
      <c r="F68" s="33">
        <v>30</v>
      </c>
      <c r="G68" s="33">
        <v>1</v>
      </c>
      <c r="H68" s="33" cm="1">
        <f t="array" ref="H68">G68*_xlfn.IFS(Настройки!$B$2="M",'Печатные изд.'!C68,Настройки!$B$2="L",'Печатные изд.'!D68,Настройки!$B$2="XL",'Печатные изд.'!E68)</f>
        <v>0</v>
      </c>
      <c r="I68" s="41">
        <f t="shared" si="12"/>
        <v>0</v>
      </c>
      <c r="J68" s="33" t="s">
        <v>516</v>
      </c>
      <c r="K68" s="41" cm="1">
        <f t="array" ref="K68">_xlfn.IFS(J68="Высоконагруженная",Настройки!$B$6,J68="Средне-нагруженная",Настройки!$B$7,J68="Ненагруженная",Настройки!$B$8,J68="Гибкая",Настройки!$B$9)</f>
        <v>1.05</v>
      </c>
      <c r="L68" s="41" cm="1">
        <f t="array" ref="L68">_xlfn.IFS(J68="Высоконагруженная",Настройки!$C$6,J68="Средне-нагруженная",Настройки!$C$7,J68="Ненагруженная",Настройки!$C$8,J68="Гибкая",Настройки!$C$9)/1000</f>
        <v>1</v>
      </c>
      <c r="M68" s="51">
        <f t="shared" si="1"/>
        <v>0</v>
      </c>
      <c r="N68" s="51">
        <f t="shared" si="2"/>
        <v>0</v>
      </c>
      <c r="O68" s="51">
        <f t="shared" si="3"/>
        <v>0</v>
      </c>
      <c r="P68" s="51">
        <f t="shared" si="4"/>
        <v>0</v>
      </c>
      <c r="Q68" s="52">
        <f t="shared" si="13"/>
        <v>0</v>
      </c>
      <c r="R68" s="43"/>
    </row>
    <row r="69" spans="1:18" ht="15.95" customHeight="1" x14ac:dyDescent="0.25">
      <c r="A69" s="19" t="s">
        <v>254</v>
      </c>
      <c r="B69" s="19" t="s">
        <v>255</v>
      </c>
      <c r="C69" s="33">
        <v>1</v>
      </c>
      <c r="D69" s="33">
        <v>1</v>
      </c>
      <c r="E69" s="33">
        <v>1</v>
      </c>
      <c r="F69" s="33">
        <v>68</v>
      </c>
      <c r="G69" s="33">
        <v>1</v>
      </c>
      <c r="H69" s="33" cm="1">
        <f t="array" ref="H69">G69*_xlfn.IFS(Настройки!$B$2="M",'Печатные изд.'!C69,Настройки!$B$2="L",'Печатные изд.'!D69,Настройки!$B$2="XL",'Печатные изд.'!E69)</f>
        <v>1</v>
      </c>
      <c r="I69" s="41">
        <f t="shared" si="12"/>
        <v>68</v>
      </c>
      <c r="J69" s="33" t="s">
        <v>516</v>
      </c>
      <c r="K69" s="41" cm="1">
        <f t="array" ref="K69">_xlfn.IFS(J69="Высоконагруженная",Настройки!$B$6,J69="Средне-нагруженная",Настройки!$B$7,J69="Ненагруженная",Настройки!$B$8,J69="Гибкая",Настройки!$B$9)</f>
        <v>1.05</v>
      </c>
      <c r="L69" s="41" cm="1">
        <f t="array" ref="L69">_xlfn.IFS(J69="Высоконагруженная",Настройки!$C$6,J69="Средне-нагруженная",Настройки!$C$7,J69="Ненагруженная",Настройки!$C$8,J69="Гибкая",Настройки!$C$9)/1000</f>
        <v>1</v>
      </c>
      <c r="M69" s="51">
        <f t="shared" ref="M69:M124" si="14">IF(J69="Высоконагруженная",1,0)*G69*I69*K69</f>
        <v>0</v>
      </c>
      <c r="N69" s="51">
        <f t="shared" ref="N69:N124" si="15">IF(J69="Средне-нагруженная",1,0)*G69*I69*K69</f>
        <v>0</v>
      </c>
      <c r="O69" s="51">
        <f t="shared" ref="O69:O124" si="16">IF(J69="Ненагруженная",1,0)*G69*I69*K69</f>
        <v>71.400000000000006</v>
      </c>
      <c r="P69" s="51">
        <f t="shared" ref="P69:P124" si="17">IF(J69="Гибкая",1,0)*G69*I69*K69</f>
        <v>0</v>
      </c>
      <c r="Q69" s="52">
        <f t="shared" si="13"/>
        <v>71.400000000000006</v>
      </c>
      <c r="R69" s="43"/>
    </row>
    <row r="70" spans="1:18" ht="15.95" customHeight="1" x14ac:dyDescent="0.25">
      <c r="A70" s="19" t="s">
        <v>256</v>
      </c>
      <c r="B70" s="19" t="s">
        <v>257</v>
      </c>
      <c r="C70" s="33">
        <v>2</v>
      </c>
      <c r="D70" s="33">
        <v>2</v>
      </c>
      <c r="E70" s="33">
        <v>0</v>
      </c>
      <c r="F70" s="33">
        <v>39</v>
      </c>
      <c r="G70" s="33">
        <v>1</v>
      </c>
      <c r="H70" s="33" cm="1">
        <f t="array" ref="H70">G70*_xlfn.IFS(Настройки!$B$2="M",'Печатные изд.'!C70,Настройки!$B$2="L",'Печатные изд.'!D70,Настройки!$B$2="XL",'Печатные изд.'!E70)</f>
        <v>2</v>
      </c>
      <c r="I70" s="41">
        <f t="shared" si="12"/>
        <v>78</v>
      </c>
      <c r="J70" s="33" t="s">
        <v>516</v>
      </c>
      <c r="K70" s="41" cm="1">
        <f t="array" ref="K70">_xlfn.IFS(J70="Высоконагруженная",Настройки!$B$6,J70="Средне-нагруженная",Настройки!$B$7,J70="Ненагруженная",Настройки!$B$8,J70="Гибкая",Настройки!$B$9)</f>
        <v>1.05</v>
      </c>
      <c r="L70" s="41" cm="1">
        <f t="array" ref="L70">_xlfn.IFS(J70="Высоконагруженная",Настройки!$C$6,J70="Средне-нагруженная",Настройки!$C$7,J70="Ненагруженная",Настройки!$C$8,J70="Гибкая",Настройки!$C$9)/1000</f>
        <v>1</v>
      </c>
      <c r="M70" s="51">
        <f t="shared" si="14"/>
        <v>0</v>
      </c>
      <c r="N70" s="51">
        <f t="shared" si="15"/>
        <v>0</v>
      </c>
      <c r="O70" s="51">
        <f t="shared" si="16"/>
        <v>81.900000000000006</v>
      </c>
      <c r="P70" s="51">
        <f t="shared" si="17"/>
        <v>0</v>
      </c>
      <c r="Q70" s="52">
        <f t="shared" si="13"/>
        <v>81.900000000000006</v>
      </c>
      <c r="R70" s="43"/>
    </row>
    <row r="71" spans="1:18" ht="15.95" customHeight="1" x14ac:dyDescent="0.25">
      <c r="A71" s="19" t="s">
        <v>258</v>
      </c>
      <c r="B71" s="19" t="s">
        <v>257</v>
      </c>
      <c r="C71" s="33">
        <v>0</v>
      </c>
      <c r="D71" s="33">
        <v>0</v>
      </c>
      <c r="E71" s="33">
        <v>1</v>
      </c>
      <c r="F71" s="33">
        <v>56</v>
      </c>
      <c r="G71" s="33">
        <v>1</v>
      </c>
      <c r="H71" s="33" cm="1">
        <f t="array" ref="H71">G71*_xlfn.IFS(Настройки!$B$2="M",'Печатные изд.'!C71,Настройки!$B$2="L",'Печатные изд.'!D71,Настройки!$B$2="XL",'Печатные изд.'!E71)</f>
        <v>0</v>
      </c>
      <c r="I71" s="41">
        <f t="shared" si="12"/>
        <v>0</v>
      </c>
      <c r="J71" s="33" t="s">
        <v>516</v>
      </c>
      <c r="K71" s="41" cm="1">
        <f t="array" ref="K71">_xlfn.IFS(J71="Высоконагруженная",Настройки!$B$6,J71="Средне-нагруженная",Настройки!$B$7,J71="Ненагруженная",Настройки!$B$8,J71="Гибкая",Настройки!$B$9)</f>
        <v>1.05</v>
      </c>
      <c r="L71" s="41" cm="1">
        <f t="array" ref="L71">_xlfn.IFS(J71="Высоконагруженная",Настройки!$C$6,J71="Средне-нагруженная",Настройки!$C$7,J71="Ненагруженная",Настройки!$C$8,J71="Гибкая",Настройки!$C$9)/1000</f>
        <v>1</v>
      </c>
      <c r="M71" s="51">
        <f t="shared" si="14"/>
        <v>0</v>
      </c>
      <c r="N71" s="51">
        <f t="shared" si="15"/>
        <v>0</v>
      </c>
      <c r="O71" s="51">
        <f t="shared" si="16"/>
        <v>0</v>
      </c>
      <c r="P71" s="51">
        <f t="shared" si="17"/>
        <v>0</v>
      </c>
      <c r="Q71" s="52">
        <f t="shared" si="13"/>
        <v>0</v>
      </c>
      <c r="R71" s="43"/>
    </row>
    <row r="72" spans="1:18" ht="15.95" customHeight="1" x14ac:dyDescent="0.25">
      <c r="A72" s="19" t="s">
        <v>259</v>
      </c>
      <c r="B72" s="19" t="s">
        <v>260</v>
      </c>
      <c r="C72" s="33">
        <v>1</v>
      </c>
      <c r="D72" s="33">
        <v>1</v>
      </c>
      <c r="E72" s="33">
        <v>1</v>
      </c>
      <c r="F72" s="33">
        <v>26</v>
      </c>
      <c r="G72" s="33">
        <v>1</v>
      </c>
      <c r="H72" s="33" cm="1">
        <f t="array" ref="H72">G72*_xlfn.IFS(Настройки!$B$2="M",'Печатные изд.'!C72,Настройки!$B$2="L",'Печатные изд.'!D72,Настройки!$B$2="XL",'Печатные изд.'!E72)</f>
        <v>1</v>
      </c>
      <c r="I72" s="41">
        <f t="shared" si="12"/>
        <v>26</v>
      </c>
      <c r="J72" s="33" t="s">
        <v>516</v>
      </c>
      <c r="K72" s="41" cm="1">
        <f t="array" ref="K72">_xlfn.IFS(J72="Высоконагруженная",Настройки!$B$6,J72="Средне-нагруженная",Настройки!$B$7,J72="Ненагруженная",Настройки!$B$8,J72="Гибкая",Настройки!$B$9)</f>
        <v>1.05</v>
      </c>
      <c r="L72" s="41" cm="1">
        <f t="array" ref="L72">_xlfn.IFS(J72="Высоконагруженная",Настройки!$C$6,J72="Средне-нагруженная",Настройки!$C$7,J72="Ненагруженная",Настройки!$C$8,J72="Гибкая",Настройки!$C$9)/1000</f>
        <v>1</v>
      </c>
      <c r="M72" s="51">
        <f t="shared" si="14"/>
        <v>0</v>
      </c>
      <c r="N72" s="51">
        <f t="shared" si="15"/>
        <v>0</v>
      </c>
      <c r="O72" s="51">
        <f t="shared" si="16"/>
        <v>27.3</v>
      </c>
      <c r="P72" s="51">
        <f t="shared" si="17"/>
        <v>0</v>
      </c>
      <c r="Q72" s="52">
        <f t="shared" si="13"/>
        <v>27.3</v>
      </c>
      <c r="R72" s="43"/>
    </row>
    <row r="73" spans="1:18" ht="15.95" customHeight="1" x14ac:dyDescent="0.25">
      <c r="A73" s="19" t="s">
        <v>261</v>
      </c>
      <c r="B73" s="19" t="s">
        <v>262</v>
      </c>
      <c r="C73" s="33">
        <v>6</v>
      </c>
      <c r="D73" s="33">
        <v>6</v>
      </c>
      <c r="E73" s="33">
        <v>6</v>
      </c>
      <c r="F73" s="33">
        <v>1</v>
      </c>
      <c r="G73" s="33">
        <v>1</v>
      </c>
      <c r="H73" s="33" cm="1">
        <f t="array" ref="H73">G73*_xlfn.IFS(Настройки!$B$2="M",'Печатные изд.'!C73,Настройки!$B$2="L",'Печатные изд.'!D73,Настройки!$B$2="XL",'Печатные изд.'!E73)</f>
        <v>6</v>
      </c>
      <c r="I73" s="41">
        <f t="shared" si="12"/>
        <v>6</v>
      </c>
      <c r="J73" s="33" t="s">
        <v>524</v>
      </c>
      <c r="K73" s="41" cm="1">
        <f t="array" ref="K73">_xlfn.IFS(J73="Высоконагруженная",Настройки!$B$6,J73="Средне-нагруженная",Настройки!$B$7,J73="Ненагруженная",Настройки!$B$8,J73="Гибкая",Настройки!$B$9)</f>
        <v>1.2</v>
      </c>
      <c r="L73" s="41" cm="1">
        <f t="array" ref="L73">_xlfn.IFS(J73="Высоконагруженная",Настройки!$C$6,J73="Средне-нагруженная",Настройки!$C$7,J73="Ненагруженная",Настройки!$C$8,J73="Гибкая",Настройки!$C$9)/1000</f>
        <v>2</v>
      </c>
      <c r="M73" s="51">
        <f t="shared" si="14"/>
        <v>0</v>
      </c>
      <c r="N73" s="51">
        <f t="shared" si="15"/>
        <v>0</v>
      </c>
      <c r="O73" s="51">
        <f t="shared" si="16"/>
        <v>0</v>
      </c>
      <c r="P73" s="51">
        <f t="shared" si="17"/>
        <v>7.1999999999999993</v>
      </c>
      <c r="Q73" s="52">
        <f t="shared" si="13"/>
        <v>14.399999999999999</v>
      </c>
      <c r="R73" s="43"/>
    </row>
    <row r="74" spans="1:18" ht="15.95" customHeight="1" x14ac:dyDescent="0.25">
      <c r="A74" s="19" t="s">
        <v>263</v>
      </c>
      <c r="B74" s="19" t="s">
        <v>264</v>
      </c>
      <c r="C74" s="33">
        <v>1</v>
      </c>
      <c r="D74" s="33">
        <v>1</v>
      </c>
      <c r="E74" s="33">
        <v>1</v>
      </c>
      <c r="F74" s="33">
        <v>24</v>
      </c>
      <c r="G74" s="33">
        <v>1</v>
      </c>
      <c r="H74" s="33" cm="1">
        <f t="array" ref="H74">G74*_xlfn.IFS(Настройки!$B$2="M",'Печатные изд.'!C74,Настройки!$B$2="L",'Печатные изд.'!D74,Настройки!$B$2="XL",'Печатные изд.'!E74)</f>
        <v>1</v>
      </c>
      <c r="I74" s="41">
        <f t="shared" si="12"/>
        <v>24</v>
      </c>
      <c r="J74" s="33" t="s">
        <v>516</v>
      </c>
      <c r="K74" s="41" cm="1">
        <f t="array" ref="K74">_xlfn.IFS(J74="Высоконагруженная",Настройки!$B$6,J74="Средне-нагруженная",Настройки!$B$7,J74="Ненагруженная",Настройки!$B$8,J74="Гибкая",Настройки!$B$9)</f>
        <v>1.05</v>
      </c>
      <c r="L74" s="41" cm="1">
        <f t="array" ref="L74">_xlfn.IFS(J74="Высоконагруженная",Настройки!$C$6,J74="Средне-нагруженная",Настройки!$C$7,J74="Ненагруженная",Настройки!$C$8,J74="Гибкая",Настройки!$C$9)/1000</f>
        <v>1</v>
      </c>
      <c r="M74" s="51">
        <f t="shared" si="14"/>
        <v>0</v>
      </c>
      <c r="N74" s="51">
        <f t="shared" si="15"/>
        <v>0</v>
      </c>
      <c r="O74" s="51">
        <f t="shared" si="16"/>
        <v>25.200000000000003</v>
      </c>
      <c r="P74" s="51">
        <f t="shared" si="17"/>
        <v>0</v>
      </c>
      <c r="Q74" s="52">
        <f t="shared" si="13"/>
        <v>25.200000000000003</v>
      </c>
      <c r="R74" s="43"/>
    </row>
    <row r="75" spans="1:18" ht="15.95" customHeight="1" x14ac:dyDescent="0.25">
      <c r="A75" s="19" t="s">
        <v>265</v>
      </c>
      <c r="B75" s="19" t="s">
        <v>264</v>
      </c>
      <c r="C75" s="33">
        <v>1</v>
      </c>
      <c r="D75" s="33">
        <v>1</v>
      </c>
      <c r="E75" s="33">
        <v>1</v>
      </c>
      <c r="F75" s="33">
        <v>24</v>
      </c>
      <c r="G75" s="33">
        <v>1</v>
      </c>
      <c r="H75" s="33" cm="1">
        <f t="array" ref="H75">G75*_xlfn.IFS(Настройки!$B$2="M",'Печатные изд.'!C75,Настройки!$B$2="L",'Печатные изд.'!D75,Настройки!$B$2="XL",'Печатные изд.'!E75)</f>
        <v>1</v>
      </c>
      <c r="I75" s="41">
        <f t="shared" si="12"/>
        <v>24</v>
      </c>
      <c r="J75" s="33" t="s">
        <v>516</v>
      </c>
      <c r="K75" s="41" cm="1">
        <f t="array" ref="K75">_xlfn.IFS(J75="Высоконагруженная",Настройки!$B$6,J75="Средне-нагруженная",Настройки!$B$7,J75="Ненагруженная",Настройки!$B$8,J75="Гибкая",Настройки!$B$9)</f>
        <v>1.05</v>
      </c>
      <c r="L75" s="41" cm="1">
        <f t="array" ref="L75">_xlfn.IFS(J75="Высоконагруженная",Настройки!$C$6,J75="Средне-нагруженная",Настройки!$C$7,J75="Ненагруженная",Настройки!$C$8,J75="Гибкая",Настройки!$C$9)/1000</f>
        <v>1</v>
      </c>
      <c r="M75" s="51">
        <f t="shared" si="14"/>
        <v>0</v>
      </c>
      <c r="N75" s="51">
        <f t="shared" si="15"/>
        <v>0</v>
      </c>
      <c r="O75" s="51">
        <f t="shared" si="16"/>
        <v>25.200000000000003</v>
      </c>
      <c r="P75" s="51">
        <f t="shared" si="17"/>
        <v>0</v>
      </c>
      <c r="Q75" s="52">
        <f t="shared" si="13"/>
        <v>25.200000000000003</v>
      </c>
      <c r="R75" s="43"/>
    </row>
    <row r="76" spans="1:18" ht="15.95" customHeight="1" x14ac:dyDescent="0.25">
      <c r="A76" s="19" t="s">
        <v>526</v>
      </c>
      <c r="B76" s="19" t="s">
        <v>266</v>
      </c>
      <c r="C76" s="33">
        <v>1</v>
      </c>
      <c r="D76" s="33">
        <v>1</v>
      </c>
      <c r="E76" s="33">
        <v>1</v>
      </c>
      <c r="F76" s="33">
        <v>30</v>
      </c>
      <c r="G76" s="33">
        <v>1</v>
      </c>
      <c r="H76" s="33" cm="1">
        <f t="array" ref="H76">G76*_xlfn.IFS(Настройки!$B$2="M",'Печатные изд.'!C76,Настройки!$B$2="L",'Печатные изд.'!D76,Настройки!$B$2="XL",'Печатные изд.'!E76)</f>
        <v>1</v>
      </c>
      <c r="I76" s="41">
        <f t="shared" si="12"/>
        <v>30</v>
      </c>
      <c r="J76" s="33" t="s">
        <v>516</v>
      </c>
      <c r="K76" s="41" cm="1">
        <f t="array" ref="K76">_xlfn.IFS(J76="Высоконагруженная",Настройки!$B$6,J76="Средне-нагруженная",Настройки!$B$7,J76="Ненагруженная",Настройки!$B$8,J76="Гибкая",Настройки!$B$9)</f>
        <v>1.05</v>
      </c>
      <c r="L76" s="41" cm="1">
        <f t="array" ref="L76">_xlfn.IFS(J76="Высоконагруженная",Настройки!$C$6,J76="Средне-нагруженная",Настройки!$C$7,J76="Ненагруженная",Настройки!$C$8,J76="Гибкая",Настройки!$C$9)/1000</f>
        <v>1</v>
      </c>
      <c r="M76" s="51">
        <f t="shared" si="14"/>
        <v>0</v>
      </c>
      <c r="N76" s="51">
        <f t="shared" si="15"/>
        <v>0</v>
      </c>
      <c r="O76" s="51">
        <f t="shared" si="16"/>
        <v>31.5</v>
      </c>
      <c r="P76" s="51">
        <f t="shared" si="17"/>
        <v>0</v>
      </c>
      <c r="Q76" s="52">
        <f t="shared" si="13"/>
        <v>31.5</v>
      </c>
      <c r="R76" s="104" t="s">
        <v>528</v>
      </c>
    </row>
    <row r="77" spans="1:18" ht="15.95" customHeight="1" x14ac:dyDescent="0.25">
      <c r="A77" s="19" t="s">
        <v>527</v>
      </c>
      <c r="B77" s="19" t="s">
        <v>266</v>
      </c>
      <c r="C77" s="33">
        <v>1</v>
      </c>
      <c r="D77" s="33">
        <v>1</v>
      </c>
      <c r="E77" s="33">
        <v>1</v>
      </c>
      <c r="F77" s="33">
        <v>30</v>
      </c>
      <c r="G77" s="33">
        <v>1</v>
      </c>
      <c r="H77" s="33" cm="1">
        <f t="array" ref="H77">G77*_xlfn.IFS(Настройки!$B$2="M",'Печатные изд.'!C77,Настройки!$B$2="L",'Печатные изд.'!D77,Настройки!$B$2="XL",'Печатные изд.'!E77)</f>
        <v>1</v>
      </c>
      <c r="I77" s="41">
        <f t="shared" si="12"/>
        <v>30</v>
      </c>
      <c r="J77" s="33" t="s">
        <v>516</v>
      </c>
      <c r="K77" s="41" cm="1">
        <f t="array" ref="K77">_xlfn.IFS(J77="Высоконагруженная",Настройки!$B$6,J77="Средне-нагруженная",Настройки!$B$7,J77="Ненагруженная",Настройки!$B$8,J77="Гибкая",Настройки!$B$9)</f>
        <v>1.05</v>
      </c>
      <c r="L77" s="41" cm="1">
        <f t="array" ref="L77">_xlfn.IFS(J77="Высоконагруженная",Настройки!$C$6,J77="Средне-нагруженная",Настройки!$C$7,J77="Ненагруженная",Настройки!$C$8,J77="Гибкая",Настройки!$C$9)/1000</f>
        <v>1</v>
      </c>
      <c r="M77" s="51">
        <f t="shared" si="14"/>
        <v>0</v>
      </c>
      <c r="N77" s="51">
        <f t="shared" si="15"/>
        <v>0</v>
      </c>
      <c r="O77" s="51">
        <f t="shared" si="16"/>
        <v>31.5</v>
      </c>
      <c r="P77" s="51">
        <f t="shared" si="17"/>
        <v>0</v>
      </c>
      <c r="Q77" s="52">
        <f t="shared" si="13"/>
        <v>31.5</v>
      </c>
      <c r="R77" s="105"/>
    </row>
    <row r="78" spans="1:18" ht="15.95" customHeight="1" x14ac:dyDescent="0.25">
      <c r="A78" s="19" t="s">
        <v>267</v>
      </c>
      <c r="B78" s="19" t="s">
        <v>268</v>
      </c>
      <c r="C78" s="33">
        <v>2</v>
      </c>
      <c r="D78" s="33">
        <v>4</v>
      </c>
      <c r="E78" s="33">
        <v>4</v>
      </c>
      <c r="F78" s="33">
        <v>32</v>
      </c>
      <c r="G78" s="33">
        <v>1</v>
      </c>
      <c r="H78" s="33" cm="1">
        <f t="array" ref="H78">G78*_xlfn.IFS(Настройки!$B$2="M",'Печатные изд.'!C78,Настройки!$B$2="L",'Печатные изд.'!D78,Настройки!$B$2="XL",'Печатные изд.'!E78)</f>
        <v>2</v>
      </c>
      <c r="I78" s="41">
        <f t="shared" si="12"/>
        <v>64</v>
      </c>
      <c r="J78" s="33" t="s">
        <v>516</v>
      </c>
      <c r="K78" s="41" cm="1">
        <f t="array" ref="K78">_xlfn.IFS(J78="Высоконагруженная",Настройки!$B$6,J78="Средне-нагруженная",Настройки!$B$7,J78="Ненагруженная",Настройки!$B$8,J78="Гибкая",Настройки!$B$9)</f>
        <v>1.05</v>
      </c>
      <c r="L78" s="41" cm="1">
        <f t="array" ref="L78">_xlfn.IFS(J78="Высоконагруженная",Настройки!$C$6,J78="Средне-нагруженная",Настройки!$C$7,J78="Ненагруженная",Настройки!$C$8,J78="Гибкая",Настройки!$C$9)/1000</f>
        <v>1</v>
      </c>
      <c r="M78" s="51">
        <f t="shared" si="14"/>
        <v>0</v>
      </c>
      <c r="N78" s="51">
        <f t="shared" si="15"/>
        <v>0</v>
      </c>
      <c r="O78" s="51">
        <f t="shared" si="16"/>
        <v>67.2</v>
      </c>
      <c r="P78" s="51">
        <f t="shared" si="17"/>
        <v>0</v>
      </c>
      <c r="Q78" s="52">
        <f t="shared" si="13"/>
        <v>67.2</v>
      </c>
      <c r="R78" s="43"/>
    </row>
    <row r="79" spans="1:18" ht="15.95" customHeight="1" x14ac:dyDescent="0.25">
      <c r="A79" s="19" t="s">
        <v>269</v>
      </c>
      <c r="B79" s="19" t="s">
        <v>270</v>
      </c>
      <c r="C79" s="33">
        <v>4</v>
      </c>
      <c r="D79" s="33">
        <v>4</v>
      </c>
      <c r="E79" s="33">
        <v>4</v>
      </c>
      <c r="F79" s="33">
        <v>62</v>
      </c>
      <c r="G79" s="33">
        <v>1</v>
      </c>
      <c r="H79" s="33" cm="1">
        <f t="array" ref="H79">G79*_xlfn.IFS(Настройки!$B$2="M",'Печатные изд.'!C79,Настройки!$B$2="L",'Печатные изд.'!D79,Настройки!$B$2="XL",'Печатные изд.'!E79)</f>
        <v>4</v>
      </c>
      <c r="I79" s="41">
        <f t="shared" si="12"/>
        <v>248</v>
      </c>
      <c r="J79" s="33" t="s">
        <v>516</v>
      </c>
      <c r="K79" s="41" cm="1">
        <f t="array" ref="K79">_xlfn.IFS(J79="Высоконагруженная",Настройки!$B$6,J79="Средне-нагруженная",Настройки!$B$7,J79="Ненагруженная",Настройки!$B$8,J79="Гибкая",Настройки!$B$9)</f>
        <v>1.05</v>
      </c>
      <c r="L79" s="41" cm="1">
        <f t="array" ref="L79">_xlfn.IFS(J79="Высоконагруженная",Настройки!$C$6,J79="Средне-нагруженная",Настройки!$C$7,J79="Ненагруженная",Настройки!$C$8,J79="Гибкая",Настройки!$C$9)/1000</f>
        <v>1</v>
      </c>
      <c r="M79" s="51">
        <f t="shared" si="14"/>
        <v>0</v>
      </c>
      <c r="N79" s="51">
        <f t="shared" si="15"/>
        <v>0</v>
      </c>
      <c r="O79" s="51">
        <f t="shared" si="16"/>
        <v>260.40000000000003</v>
      </c>
      <c r="P79" s="51">
        <f t="shared" si="17"/>
        <v>0</v>
      </c>
      <c r="Q79" s="52">
        <f t="shared" si="13"/>
        <v>260.40000000000003</v>
      </c>
      <c r="R79" s="43"/>
    </row>
    <row r="80" spans="1:18" ht="15.95" customHeight="1" x14ac:dyDescent="0.25">
      <c r="A80" s="19" t="s">
        <v>271</v>
      </c>
      <c r="B80" s="19" t="s">
        <v>272</v>
      </c>
      <c r="C80" s="33">
        <v>2</v>
      </c>
      <c r="D80" s="33">
        <v>2</v>
      </c>
      <c r="E80" s="33">
        <v>2</v>
      </c>
      <c r="F80" s="33">
        <v>30</v>
      </c>
      <c r="G80" s="33">
        <v>1</v>
      </c>
      <c r="H80" s="33" cm="1">
        <f t="array" ref="H80">G80*_xlfn.IFS(Настройки!$B$2="M",'Печатные изд.'!C80,Настройки!$B$2="L",'Печатные изд.'!D80,Настройки!$B$2="XL",'Печатные изд.'!E80)</f>
        <v>2</v>
      </c>
      <c r="I80" s="41">
        <f t="shared" si="12"/>
        <v>60</v>
      </c>
      <c r="J80" s="33" t="s">
        <v>516</v>
      </c>
      <c r="K80" s="41" cm="1">
        <f t="array" ref="K80">_xlfn.IFS(J80="Высоконагруженная",Настройки!$B$6,J80="Средне-нагруженная",Настройки!$B$7,J80="Ненагруженная",Настройки!$B$8,J80="Гибкая",Настройки!$B$9)</f>
        <v>1.05</v>
      </c>
      <c r="L80" s="41" cm="1">
        <f t="array" ref="L80">_xlfn.IFS(J80="Высоконагруженная",Настройки!$C$6,J80="Средне-нагруженная",Настройки!$C$7,J80="Ненагруженная",Настройки!$C$8,J80="Гибкая",Настройки!$C$9)/1000</f>
        <v>1</v>
      </c>
      <c r="M80" s="51">
        <f t="shared" si="14"/>
        <v>0</v>
      </c>
      <c r="N80" s="51">
        <f t="shared" si="15"/>
        <v>0</v>
      </c>
      <c r="O80" s="51">
        <f t="shared" si="16"/>
        <v>63</v>
      </c>
      <c r="P80" s="51">
        <f t="shared" si="17"/>
        <v>0</v>
      </c>
      <c r="Q80" s="52">
        <f t="shared" si="13"/>
        <v>63</v>
      </c>
      <c r="R80" s="43"/>
    </row>
    <row r="81" spans="1:18" ht="15.95" customHeight="1" x14ac:dyDescent="0.25">
      <c r="A81" s="19" t="s">
        <v>273</v>
      </c>
      <c r="B81" s="19" t="s">
        <v>272</v>
      </c>
      <c r="C81" s="33">
        <v>2</v>
      </c>
      <c r="D81" s="33">
        <v>2</v>
      </c>
      <c r="E81" s="33">
        <v>2</v>
      </c>
      <c r="F81" s="33">
        <v>30</v>
      </c>
      <c r="G81" s="33">
        <v>1</v>
      </c>
      <c r="H81" s="33" cm="1">
        <f t="array" ref="H81">G81*_xlfn.IFS(Настройки!$B$2="M",'Печатные изд.'!C81,Настройки!$B$2="L",'Печатные изд.'!D81,Настройки!$B$2="XL",'Печатные изд.'!E81)</f>
        <v>2</v>
      </c>
      <c r="I81" s="41">
        <f t="shared" si="12"/>
        <v>60</v>
      </c>
      <c r="J81" s="33" t="s">
        <v>516</v>
      </c>
      <c r="K81" s="41" cm="1">
        <f t="array" ref="K81">_xlfn.IFS(J81="Высоконагруженная",Настройки!$B$6,J81="Средне-нагруженная",Настройки!$B$7,J81="Ненагруженная",Настройки!$B$8,J81="Гибкая",Настройки!$B$9)</f>
        <v>1.05</v>
      </c>
      <c r="L81" s="41" cm="1">
        <f t="array" ref="L81">_xlfn.IFS(J81="Высоконагруженная",Настройки!$C$6,J81="Средне-нагруженная",Настройки!$C$7,J81="Ненагруженная",Настройки!$C$8,J81="Гибкая",Настройки!$C$9)/1000</f>
        <v>1</v>
      </c>
      <c r="M81" s="51">
        <f t="shared" si="14"/>
        <v>0</v>
      </c>
      <c r="N81" s="51">
        <f t="shared" si="15"/>
        <v>0</v>
      </c>
      <c r="O81" s="51">
        <f t="shared" si="16"/>
        <v>63</v>
      </c>
      <c r="P81" s="51">
        <f t="shared" si="17"/>
        <v>0</v>
      </c>
      <c r="Q81" s="52">
        <f t="shared" si="13"/>
        <v>63</v>
      </c>
      <c r="R81" s="43"/>
    </row>
    <row r="82" spans="1:18" ht="15.95" customHeight="1" x14ac:dyDescent="0.25">
      <c r="A82" s="19" t="s">
        <v>274</v>
      </c>
      <c r="B82" s="19" t="s">
        <v>275</v>
      </c>
      <c r="C82" s="33">
        <v>4</v>
      </c>
      <c r="D82" s="33">
        <v>4</v>
      </c>
      <c r="E82" s="33">
        <v>4</v>
      </c>
      <c r="F82" s="33">
        <v>75</v>
      </c>
      <c r="G82" s="33">
        <v>1</v>
      </c>
      <c r="H82" s="33" cm="1">
        <f t="array" ref="H82">G82*_xlfn.IFS(Настройки!$B$2="M",'Печатные изд.'!C82,Настройки!$B$2="L",'Печатные изд.'!D82,Настройки!$B$2="XL",'Печатные изд.'!E82)</f>
        <v>4</v>
      </c>
      <c r="I82" s="41">
        <f t="shared" si="12"/>
        <v>300</v>
      </c>
      <c r="J82" s="33" t="s">
        <v>516</v>
      </c>
      <c r="K82" s="41" cm="1">
        <f t="array" ref="K82">_xlfn.IFS(J82="Высоконагруженная",Настройки!$B$6,J82="Средне-нагруженная",Настройки!$B$7,J82="Ненагруженная",Настройки!$B$8,J82="Гибкая",Настройки!$B$9)</f>
        <v>1.05</v>
      </c>
      <c r="L82" s="41" cm="1">
        <f t="array" ref="L82">_xlfn.IFS(J82="Высоконагруженная",Настройки!$C$6,J82="Средне-нагруженная",Настройки!$C$7,J82="Ненагруженная",Настройки!$C$8,J82="Гибкая",Настройки!$C$9)/1000</f>
        <v>1</v>
      </c>
      <c r="M82" s="51">
        <f t="shared" si="14"/>
        <v>0</v>
      </c>
      <c r="N82" s="51">
        <f t="shared" si="15"/>
        <v>0</v>
      </c>
      <c r="O82" s="51">
        <f t="shared" si="16"/>
        <v>315</v>
      </c>
      <c r="P82" s="51">
        <f t="shared" si="17"/>
        <v>0</v>
      </c>
      <c r="Q82" s="52">
        <f t="shared" si="13"/>
        <v>315</v>
      </c>
      <c r="R82" s="43"/>
    </row>
    <row r="83" spans="1:18" ht="15.95" customHeight="1" x14ac:dyDescent="0.25">
      <c r="A83" s="19" t="s">
        <v>276</v>
      </c>
      <c r="B83" s="19" t="s">
        <v>277</v>
      </c>
      <c r="C83" s="33">
        <v>2</v>
      </c>
      <c r="D83" s="33">
        <v>2</v>
      </c>
      <c r="E83" s="33">
        <v>2</v>
      </c>
      <c r="F83" s="33">
        <v>55</v>
      </c>
      <c r="G83" s="33">
        <v>1</v>
      </c>
      <c r="H83" s="33" cm="1">
        <f t="array" ref="H83">G83*_xlfn.IFS(Настройки!$B$2="M",'Печатные изд.'!C83,Настройки!$B$2="L",'Печатные изд.'!D83,Настройки!$B$2="XL",'Печатные изд.'!E83)</f>
        <v>2</v>
      </c>
      <c r="I83" s="41">
        <f t="shared" si="12"/>
        <v>110</v>
      </c>
      <c r="J83" s="33" t="s">
        <v>516</v>
      </c>
      <c r="K83" s="41" cm="1">
        <f t="array" ref="K83">_xlfn.IFS(J83="Высоконагруженная",Настройки!$B$6,J83="Средне-нагруженная",Настройки!$B$7,J83="Ненагруженная",Настройки!$B$8,J83="Гибкая",Настройки!$B$9)</f>
        <v>1.05</v>
      </c>
      <c r="L83" s="41" cm="1">
        <f t="array" ref="L83">_xlfn.IFS(J83="Высоконагруженная",Настройки!$C$6,J83="Средне-нагруженная",Настройки!$C$7,J83="Ненагруженная",Настройки!$C$8,J83="Гибкая",Настройки!$C$9)/1000</f>
        <v>1</v>
      </c>
      <c r="M83" s="51">
        <f t="shared" si="14"/>
        <v>0</v>
      </c>
      <c r="N83" s="51">
        <f t="shared" si="15"/>
        <v>0</v>
      </c>
      <c r="O83" s="51">
        <f t="shared" si="16"/>
        <v>115.5</v>
      </c>
      <c r="P83" s="51">
        <f t="shared" si="17"/>
        <v>0</v>
      </c>
      <c r="Q83" s="52">
        <f t="shared" si="13"/>
        <v>115.5</v>
      </c>
      <c r="R83" s="43"/>
    </row>
    <row r="84" spans="1:18" ht="15.95" customHeight="1" x14ac:dyDescent="0.25">
      <c r="A84" s="19" t="s">
        <v>278</v>
      </c>
      <c r="B84" s="19" t="s">
        <v>279</v>
      </c>
      <c r="C84" s="33">
        <v>2</v>
      </c>
      <c r="D84" s="33">
        <v>2</v>
      </c>
      <c r="E84" s="33">
        <v>2</v>
      </c>
      <c r="F84" s="33">
        <v>10</v>
      </c>
      <c r="G84" s="33">
        <v>1</v>
      </c>
      <c r="H84" s="33" cm="1">
        <f t="array" ref="H84">G84*_xlfn.IFS(Настройки!$B$2="M",'Печатные изд.'!C84,Настройки!$B$2="L",'Печатные изд.'!D84,Настройки!$B$2="XL",'Печатные изд.'!E84)</f>
        <v>2</v>
      </c>
      <c r="I84" s="41">
        <f t="shared" si="12"/>
        <v>20</v>
      </c>
      <c r="J84" s="33" t="s">
        <v>516</v>
      </c>
      <c r="K84" s="41" cm="1">
        <f t="array" ref="K84">_xlfn.IFS(J84="Высоконагруженная",Настройки!$B$6,J84="Средне-нагруженная",Настройки!$B$7,J84="Ненагруженная",Настройки!$B$8,J84="Гибкая",Настройки!$B$9)</f>
        <v>1.05</v>
      </c>
      <c r="L84" s="41" cm="1">
        <f t="array" ref="L84">_xlfn.IFS(J84="Высоконагруженная",Настройки!$C$6,J84="Средне-нагруженная",Настройки!$C$7,J84="Ненагруженная",Настройки!$C$8,J84="Гибкая",Настройки!$C$9)/1000</f>
        <v>1</v>
      </c>
      <c r="M84" s="51">
        <f t="shared" si="14"/>
        <v>0</v>
      </c>
      <c r="N84" s="51">
        <f t="shared" si="15"/>
        <v>0</v>
      </c>
      <c r="O84" s="51">
        <f t="shared" si="16"/>
        <v>21</v>
      </c>
      <c r="P84" s="51">
        <f t="shared" si="17"/>
        <v>0</v>
      </c>
      <c r="Q84" s="52">
        <f t="shared" si="13"/>
        <v>21</v>
      </c>
      <c r="R84" s="43"/>
    </row>
    <row r="85" spans="1:18" ht="15.95" customHeight="1" x14ac:dyDescent="0.25">
      <c r="A85" s="19" t="s">
        <v>280</v>
      </c>
      <c r="B85" s="19" t="s">
        <v>279</v>
      </c>
      <c r="C85" s="33">
        <v>2</v>
      </c>
      <c r="D85" s="33">
        <v>2</v>
      </c>
      <c r="E85" s="33">
        <v>2</v>
      </c>
      <c r="F85" s="33">
        <v>10</v>
      </c>
      <c r="G85" s="33">
        <v>1</v>
      </c>
      <c r="H85" s="33" cm="1">
        <f t="array" ref="H85">G85*_xlfn.IFS(Настройки!$B$2="M",'Печатные изд.'!C85,Настройки!$B$2="L",'Печатные изд.'!D85,Настройки!$B$2="XL",'Печатные изд.'!E85)</f>
        <v>2</v>
      </c>
      <c r="I85" s="41">
        <f t="shared" si="12"/>
        <v>20</v>
      </c>
      <c r="J85" s="33" t="s">
        <v>516</v>
      </c>
      <c r="K85" s="41" cm="1">
        <f t="array" ref="K85">_xlfn.IFS(J85="Высоконагруженная",Настройки!$B$6,J85="Средне-нагруженная",Настройки!$B$7,J85="Ненагруженная",Настройки!$B$8,J85="Гибкая",Настройки!$B$9)</f>
        <v>1.05</v>
      </c>
      <c r="L85" s="41" cm="1">
        <f t="array" ref="L85">_xlfn.IFS(J85="Высоконагруженная",Настройки!$C$6,J85="Средне-нагруженная",Настройки!$C$7,J85="Ненагруженная",Настройки!$C$8,J85="Гибкая",Настройки!$C$9)/1000</f>
        <v>1</v>
      </c>
      <c r="M85" s="51">
        <f t="shared" si="14"/>
        <v>0</v>
      </c>
      <c r="N85" s="51">
        <f t="shared" si="15"/>
        <v>0</v>
      </c>
      <c r="O85" s="51">
        <f t="shared" si="16"/>
        <v>21</v>
      </c>
      <c r="P85" s="51">
        <f t="shared" si="17"/>
        <v>0</v>
      </c>
      <c r="Q85" s="52">
        <f t="shared" si="13"/>
        <v>21</v>
      </c>
      <c r="R85" s="43"/>
    </row>
    <row r="86" spans="1:18" ht="15.95" customHeight="1" x14ac:dyDescent="0.25">
      <c r="A86" s="19" t="s">
        <v>281</v>
      </c>
      <c r="B86" s="19" t="s">
        <v>282</v>
      </c>
      <c r="C86" s="33">
        <v>2</v>
      </c>
      <c r="D86" s="33">
        <v>2</v>
      </c>
      <c r="E86" s="33">
        <v>2</v>
      </c>
      <c r="F86" s="33">
        <v>16</v>
      </c>
      <c r="G86" s="33">
        <v>1</v>
      </c>
      <c r="H86" s="33" cm="1">
        <f t="array" ref="H86">G86*_xlfn.IFS(Настройки!$B$2="M",'Печатные изд.'!C86,Настройки!$B$2="L",'Печатные изд.'!D86,Настройки!$B$2="XL",'Печатные изд.'!E86)</f>
        <v>2</v>
      </c>
      <c r="I86" s="41">
        <f t="shared" si="12"/>
        <v>32</v>
      </c>
      <c r="J86" s="33" t="s">
        <v>516</v>
      </c>
      <c r="K86" s="41" cm="1">
        <f t="array" ref="K86">_xlfn.IFS(J86="Высоконагруженная",Настройки!$B$6,J86="Средне-нагруженная",Настройки!$B$7,J86="Ненагруженная",Настройки!$B$8,J86="Гибкая",Настройки!$B$9)</f>
        <v>1.05</v>
      </c>
      <c r="L86" s="41" cm="1">
        <f t="array" ref="L86">_xlfn.IFS(J86="Высоконагруженная",Настройки!$C$6,J86="Средне-нагруженная",Настройки!$C$7,J86="Ненагруженная",Настройки!$C$8,J86="Гибкая",Настройки!$C$9)/1000</f>
        <v>1</v>
      </c>
      <c r="M86" s="51">
        <f t="shared" si="14"/>
        <v>0</v>
      </c>
      <c r="N86" s="51">
        <f t="shared" si="15"/>
        <v>0</v>
      </c>
      <c r="O86" s="51">
        <f t="shared" si="16"/>
        <v>33.6</v>
      </c>
      <c r="P86" s="51">
        <f t="shared" si="17"/>
        <v>0</v>
      </c>
      <c r="Q86" s="52">
        <f t="shared" si="13"/>
        <v>33.6</v>
      </c>
      <c r="R86" s="43"/>
    </row>
    <row r="87" spans="1:18" ht="15.95" customHeight="1" x14ac:dyDescent="0.25">
      <c r="A87" s="19" t="s">
        <v>283</v>
      </c>
      <c r="B87" s="19" t="s">
        <v>284</v>
      </c>
      <c r="C87" s="33">
        <v>1</v>
      </c>
      <c r="D87" s="33">
        <v>1</v>
      </c>
      <c r="E87" s="33">
        <v>0</v>
      </c>
      <c r="F87" s="33">
        <v>58</v>
      </c>
      <c r="G87" s="33">
        <v>1</v>
      </c>
      <c r="H87" s="33" cm="1">
        <f t="array" ref="H87">G87*_xlfn.IFS(Настройки!$B$2="M",'Печатные изд.'!C87,Настройки!$B$2="L",'Печатные изд.'!D87,Настройки!$B$2="XL",'Печатные изд.'!E87)</f>
        <v>1</v>
      </c>
      <c r="I87" s="41">
        <f t="shared" si="12"/>
        <v>58</v>
      </c>
      <c r="J87" s="33" t="s">
        <v>516</v>
      </c>
      <c r="K87" s="41" cm="1">
        <f t="array" ref="K87">_xlfn.IFS(J87="Высоконагруженная",Настройки!$B$6,J87="Средне-нагруженная",Настройки!$B$7,J87="Ненагруженная",Настройки!$B$8,J87="Гибкая",Настройки!$B$9)</f>
        <v>1.05</v>
      </c>
      <c r="L87" s="41" cm="1">
        <f t="array" ref="L87">_xlfn.IFS(J87="Высоконагруженная",Настройки!$C$6,J87="Средне-нагруженная",Настройки!$C$7,J87="Ненагруженная",Настройки!$C$8,J87="Гибкая",Настройки!$C$9)/1000</f>
        <v>1</v>
      </c>
      <c r="M87" s="51">
        <f t="shared" si="14"/>
        <v>0</v>
      </c>
      <c r="N87" s="51">
        <f t="shared" si="15"/>
        <v>0</v>
      </c>
      <c r="O87" s="51">
        <f t="shared" si="16"/>
        <v>60.900000000000006</v>
      </c>
      <c r="P87" s="51">
        <f t="shared" si="17"/>
        <v>0</v>
      </c>
      <c r="Q87" s="52">
        <f t="shared" si="13"/>
        <v>60.900000000000006</v>
      </c>
      <c r="R87" s="43"/>
    </row>
    <row r="88" spans="1:18" ht="15.95" customHeight="1" x14ac:dyDescent="0.25">
      <c r="A88" s="19" t="s">
        <v>285</v>
      </c>
      <c r="B88" s="19" t="s">
        <v>284</v>
      </c>
      <c r="C88" s="33">
        <v>0</v>
      </c>
      <c r="D88" s="33">
        <v>0</v>
      </c>
      <c r="E88" s="33">
        <v>1</v>
      </c>
      <c r="F88" s="33">
        <v>68</v>
      </c>
      <c r="G88" s="33">
        <v>1</v>
      </c>
      <c r="H88" s="33" cm="1">
        <f t="array" ref="H88">G88*_xlfn.IFS(Настройки!$B$2="M",'Печатные изд.'!C88,Настройки!$B$2="L",'Печатные изд.'!D88,Настройки!$B$2="XL",'Печатные изд.'!E88)</f>
        <v>0</v>
      </c>
      <c r="I88" s="41">
        <f t="shared" si="12"/>
        <v>0</v>
      </c>
      <c r="J88" s="33" t="s">
        <v>516</v>
      </c>
      <c r="K88" s="41" cm="1">
        <f t="array" ref="K88">_xlfn.IFS(J88="Высоконагруженная",Настройки!$B$6,J88="Средне-нагруженная",Настройки!$B$7,J88="Ненагруженная",Настройки!$B$8,J88="Гибкая",Настройки!$B$9)</f>
        <v>1.05</v>
      </c>
      <c r="L88" s="41" cm="1">
        <f t="array" ref="L88">_xlfn.IFS(J88="Высоконагруженная",Настройки!$C$6,J88="Средне-нагруженная",Настройки!$C$7,J88="Ненагруженная",Настройки!$C$8,J88="Гибкая",Настройки!$C$9)/1000</f>
        <v>1</v>
      </c>
      <c r="M88" s="51">
        <f t="shared" si="14"/>
        <v>0</v>
      </c>
      <c r="N88" s="51">
        <f t="shared" si="15"/>
        <v>0</v>
      </c>
      <c r="O88" s="51">
        <f t="shared" si="16"/>
        <v>0</v>
      </c>
      <c r="P88" s="51">
        <f t="shared" si="17"/>
        <v>0</v>
      </c>
      <c r="Q88" s="52">
        <f t="shared" si="13"/>
        <v>0</v>
      </c>
      <c r="R88" s="43"/>
    </row>
    <row r="89" spans="1:18" ht="15.95" customHeight="1" x14ac:dyDescent="0.25">
      <c r="A89" s="19" t="s">
        <v>286</v>
      </c>
      <c r="B89" s="19" t="s">
        <v>287</v>
      </c>
      <c r="C89" s="33">
        <v>1</v>
      </c>
      <c r="D89" s="33">
        <v>1</v>
      </c>
      <c r="E89" s="33">
        <v>0</v>
      </c>
      <c r="F89" s="33">
        <v>59</v>
      </c>
      <c r="G89" s="33">
        <v>1</v>
      </c>
      <c r="H89" s="33" cm="1">
        <f t="array" ref="H89">G89*_xlfn.IFS(Настройки!$B$2="M",'Печатные изд.'!C89,Настройки!$B$2="L",'Печатные изд.'!D89,Настройки!$B$2="XL",'Печатные изд.'!E89)</f>
        <v>1</v>
      </c>
      <c r="I89" s="41">
        <f t="shared" si="12"/>
        <v>59</v>
      </c>
      <c r="J89" s="33" t="s">
        <v>516</v>
      </c>
      <c r="K89" s="41" cm="1">
        <f t="array" ref="K89">_xlfn.IFS(J89="Высоконагруженная",Настройки!$B$6,J89="Средне-нагруженная",Настройки!$B$7,J89="Ненагруженная",Настройки!$B$8,J89="Гибкая",Настройки!$B$9)</f>
        <v>1.05</v>
      </c>
      <c r="L89" s="41" cm="1">
        <f t="array" ref="L89">_xlfn.IFS(J89="Высоконагруженная",Настройки!$C$6,J89="Средне-нагруженная",Настройки!$C$7,J89="Ненагруженная",Настройки!$C$8,J89="Гибкая",Настройки!$C$9)/1000</f>
        <v>1</v>
      </c>
      <c r="M89" s="51">
        <f t="shared" si="14"/>
        <v>0</v>
      </c>
      <c r="N89" s="51">
        <f t="shared" si="15"/>
        <v>0</v>
      </c>
      <c r="O89" s="51">
        <f t="shared" si="16"/>
        <v>61.95</v>
      </c>
      <c r="P89" s="51">
        <f t="shared" si="17"/>
        <v>0</v>
      </c>
      <c r="Q89" s="52">
        <f t="shared" si="13"/>
        <v>61.95</v>
      </c>
      <c r="R89" s="43"/>
    </row>
    <row r="90" spans="1:18" ht="15.95" customHeight="1" x14ac:dyDescent="0.25">
      <c r="A90" s="19" t="s">
        <v>288</v>
      </c>
      <c r="B90" s="19" t="s">
        <v>287</v>
      </c>
      <c r="C90" s="33">
        <v>0</v>
      </c>
      <c r="D90" s="33">
        <v>0</v>
      </c>
      <c r="E90" s="33">
        <v>1</v>
      </c>
      <c r="F90" s="33">
        <v>68</v>
      </c>
      <c r="G90" s="33">
        <v>1</v>
      </c>
      <c r="H90" s="33" cm="1">
        <f t="array" ref="H90">G90*_xlfn.IFS(Настройки!$B$2="M",'Печатные изд.'!C90,Настройки!$B$2="L",'Печатные изд.'!D90,Настройки!$B$2="XL",'Печатные изд.'!E90)</f>
        <v>0</v>
      </c>
      <c r="I90" s="41">
        <f t="shared" si="12"/>
        <v>0</v>
      </c>
      <c r="J90" s="33" t="s">
        <v>516</v>
      </c>
      <c r="K90" s="41" cm="1">
        <f t="array" ref="K90">_xlfn.IFS(J90="Высоконагруженная",Настройки!$B$6,J90="Средне-нагруженная",Настройки!$B$7,J90="Ненагруженная",Настройки!$B$8,J90="Гибкая",Настройки!$B$9)</f>
        <v>1.05</v>
      </c>
      <c r="L90" s="41" cm="1">
        <f t="array" ref="L90">_xlfn.IFS(J90="Высоконагруженная",Настройки!$C$6,J90="Средне-нагруженная",Настройки!$C$7,J90="Ненагруженная",Настройки!$C$8,J90="Гибкая",Настройки!$C$9)/1000</f>
        <v>1</v>
      </c>
      <c r="M90" s="51">
        <f t="shared" si="14"/>
        <v>0</v>
      </c>
      <c r="N90" s="51">
        <f t="shared" si="15"/>
        <v>0</v>
      </c>
      <c r="O90" s="51">
        <f t="shared" si="16"/>
        <v>0</v>
      </c>
      <c r="P90" s="51">
        <f t="shared" si="17"/>
        <v>0</v>
      </c>
      <c r="Q90" s="52">
        <f t="shared" si="13"/>
        <v>0</v>
      </c>
      <c r="R90" s="43"/>
    </row>
    <row r="91" spans="1:18" ht="15.95" customHeight="1" x14ac:dyDescent="0.25">
      <c r="A91" s="19" t="s">
        <v>502</v>
      </c>
      <c r="B91" s="19" t="s">
        <v>503</v>
      </c>
      <c r="C91" s="33">
        <v>1</v>
      </c>
      <c r="D91" s="33">
        <v>1</v>
      </c>
      <c r="E91" s="33">
        <v>1</v>
      </c>
      <c r="F91" s="33">
        <v>3</v>
      </c>
      <c r="G91" s="33">
        <v>1</v>
      </c>
      <c r="H91" s="33" cm="1">
        <f t="array" ref="H91">G91*_xlfn.IFS(Настройки!$B$2="M",'Печатные изд.'!C91,Настройки!$B$2="L",'Печатные изд.'!D91,Настройки!$B$2="XL",'Печатные изд.'!E91)</f>
        <v>1</v>
      </c>
      <c r="I91" s="41">
        <f t="shared" si="12"/>
        <v>3</v>
      </c>
      <c r="J91" s="33" t="s">
        <v>516</v>
      </c>
      <c r="K91" s="41" cm="1">
        <f t="array" ref="K91">_xlfn.IFS(J91="Высоконагруженная",Настройки!$B$6,J91="Средне-нагруженная",Настройки!$B$7,J91="Ненагруженная",Настройки!$B$8,J91="Гибкая",Настройки!$B$9)</f>
        <v>1.05</v>
      </c>
      <c r="L91" s="41" cm="1">
        <f t="array" ref="L91">_xlfn.IFS(J91="Высоконагруженная",Настройки!$C$6,J91="Средне-нагруженная",Настройки!$C$7,J91="Ненагруженная",Настройки!$C$8,J91="Гибкая",Настройки!$C$9)/1000</f>
        <v>1</v>
      </c>
      <c r="M91" s="51">
        <f t="shared" si="14"/>
        <v>0</v>
      </c>
      <c r="N91" s="51">
        <f t="shared" si="15"/>
        <v>0</v>
      </c>
      <c r="O91" s="51">
        <f t="shared" si="16"/>
        <v>3.1500000000000004</v>
      </c>
      <c r="P91" s="51">
        <f t="shared" si="17"/>
        <v>0</v>
      </c>
      <c r="Q91" s="52">
        <f t="shared" si="13"/>
        <v>3.1500000000000004</v>
      </c>
      <c r="R91" s="43"/>
    </row>
    <row r="92" spans="1:18" ht="15.95" customHeight="1" x14ac:dyDescent="0.25">
      <c r="A92" s="19" t="s">
        <v>289</v>
      </c>
      <c r="B92" s="19" t="s">
        <v>291</v>
      </c>
      <c r="C92" s="33">
        <v>1</v>
      </c>
      <c r="D92" s="33">
        <v>1</v>
      </c>
      <c r="E92" s="33">
        <v>1</v>
      </c>
      <c r="F92" s="33">
        <v>30</v>
      </c>
      <c r="G92" s="33">
        <v>1</v>
      </c>
      <c r="H92" s="33" cm="1">
        <f t="array" ref="H92">G92*_xlfn.IFS(Настройки!$B$2="M",'Печатные изд.'!C92,Настройки!$B$2="L",'Печатные изд.'!D92,Настройки!$B$2="XL",'Печатные изд.'!E92)</f>
        <v>1</v>
      </c>
      <c r="I92" s="41">
        <f t="shared" si="12"/>
        <v>30</v>
      </c>
      <c r="J92" s="33" t="s">
        <v>516</v>
      </c>
      <c r="K92" s="41" cm="1">
        <f t="array" ref="K92">_xlfn.IFS(J92="Высоконагруженная",Настройки!$B$6,J92="Средне-нагруженная",Настройки!$B$7,J92="Ненагруженная",Настройки!$B$8,J92="Гибкая",Настройки!$B$9)</f>
        <v>1.05</v>
      </c>
      <c r="L92" s="41" cm="1">
        <f t="array" ref="L92">_xlfn.IFS(J92="Высоконагруженная",Настройки!$C$6,J92="Средне-нагруженная",Настройки!$C$7,J92="Ненагруженная",Настройки!$C$8,J92="Гибкая",Настройки!$C$9)/1000</f>
        <v>1</v>
      </c>
      <c r="M92" s="51">
        <f t="shared" si="14"/>
        <v>0</v>
      </c>
      <c r="N92" s="51">
        <f t="shared" si="15"/>
        <v>0</v>
      </c>
      <c r="O92" s="51">
        <f t="shared" si="16"/>
        <v>31.5</v>
      </c>
      <c r="P92" s="51">
        <f t="shared" si="17"/>
        <v>0</v>
      </c>
      <c r="Q92" s="52">
        <f t="shared" si="13"/>
        <v>31.5</v>
      </c>
      <c r="R92" s="43"/>
    </row>
    <row r="93" spans="1:18" ht="15.95" customHeight="1" x14ac:dyDescent="0.25">
      <c r="A93" s="19" t="s">
        <v>290</v>
      </c>
      <c r="B93" s="19" t="s">
        <v>291</v>
      </c>
      <c r="C93" s="33">
        <v>1</v>
      </c>
      <c r="D93" s="33">
        <v>1</v>
      </c>
      <c r="E93" s="33">
        <v>1</v>
      </c>
      <c r="F93" s="33">
        <v>30</v>
      </c>
      <c r="G93" s="33">
        <v>1</v>
      </c>
      <c r="H93" s="33" cm="1">
        <f t="array" ref="H93">G93*_xlfn.IFS(Настройки!$B$2="M",'Печатные изд.'!C93,Настройки!$B$2="L",'Печатные изд.'!D93,Настройки!$B$2="XL",'Печатные изд.'!E93)</f>
        <v>1</v>
      </c>
      <c r="I93" s="41">
        <f t="shared" si="12"/>
        <v>30</v>
      </c>
      <c r="J93" s="33" t="s">
        <v>516</v>
      </c>
      <c r="K93" s="41" cm="1">
        <f t="array" ref="K93">_xlfn.IFS(J93="Высоконагруженная",Настройки!$B$6,J93="Средне-нагруженная",Настройки!$B$7,J93="Ненагруженная",Настройки!$B$8,J93="Гибкая",Настройки!$B$9)</f>
        <v>1.05</v>
      </c>
      <c r="L93" s="41" cm="1">
        <f t="array" ref="L93">_xlfn.IFS(J93="Высоконагруженная",Настройки!$C$6,J93="Средне-нагруженная",Настройки!$C$7,J93="Ненагруженная",Настройки!$C$8,J93="Гибкая",Настройки!$C$9)/1000</f>
        <v>1</v>
      </c>
      <c r="M93" s="51">
        <f t="shared" si="14"/>
        <v>0</v>
      </c>
      <c r="N93" s="51">
        <f t="shared" si="15"/>
        <v>0</v>
      </c>
      <c r="O93" s="51">
        <f t="shared" si="16"/>
        <v>31.5</v>
      </c>
      <c r="P93" s="51">
        <f t="shared" si="17"/>
        <v>0</v>
      </c>
      <c r="Q93" s="52">
        <f t="shared" si="13"/>
        <v>31.5</v>
      </c>
      <c r="R93" s="43"/>
    </row>
    <row r="94" spans="1:18" ht="15.95" customHeight="1" x14ac:dyDescent="0.25">
      <c r="A94" s="19" t="s">
        <v>292</v>
      </c>
      <c r="B94" s="19" t="s">
        <v>293</v>
      </c>
      <c r="C94" s="33">
        <v>4</v>
      </c>
      <c r="D94" s="33">
        <v>4</v>
      </c>
      <c r="E94" s="33">
        <v>4</v>
      </c>
      <c r="F94" s="33">
        <v>6</v>
      </c>
      <c r="G94" s="33">
        <v>1</v>
      </c>
      <c r="H94" s="33" cm="1">
        <f t="array" ref="H94">G94*_xlfn.IFS(Настройки!$B$2="M",'Печатные изд.'!C94,Настройки!$B$2="L",'Печатные изд.'!D94,Настройки!$B$2="XL",'Печатные изд.'!E94)</f>
        <v>4</v>
      </c>
      <c r="I94" s="41">
        <f t="shared" si="12"/>
        <v>24</v>
      </c>
      <c r="J94" s="33" t="s">
        <v>516</v>
      </c>
      <c r="K94" s="41" cm="1">
        <f t="array" ref="K94">_xlfn.IFS(J94="Высоконагруженная",Настройки!$B$6,J94="Средне-нагруженная",Настройки!$B$7,J94="Ненагруженная",Настройки!$B$8,J94="Гибкая",Настройки!$B$9)</f>
        <v>1.05</v>
      </c>
      <c r="L94" s="41" cm="1">
        <f t="array" ref="L94">_xlfn.IFS(J94="Высоконагруженная",Настройки!$C$6,J94="Средне-нагруженная",Настройки!$C$7,J94="Ненагруженная",Настройки!$C$8,J94="Гибкая",Настройки!$C$9)/1000</f>
        <v>1</v>
      </c>
      <c r="M94" s="51">
        <f t="shared" si="14"/>
        <v>0</v>
      </c>
      <c r="N94" s="51">
        <f t="shared" si="15"/>
        <v>0</v>
      </c>
      <c r="O94" s="51">
        <f t="shared" si="16"/>
        <v>25.200000000000003</v>
      </c>
      <c r="P94" s="51">
        <f t="shared" si="17"/>
        <v>0</v>
      </c>
      <c r="Q94" s="52">
        <f t="shared" si="13"/>
        <v>25.200000000000003</v>
      </c>
      <c r="R94" s="43"/>
    </row>
    <row r="95" spans="1:18" ht="15.95" customHeight="1" x14ac:dyDescent="0.25">
      <c r="A95" s="19" t="s">
        <v>294</v>
      </c>
      <c r="B95" s="19" t="s">
        <v>295</v>
      </c>
      <c r="C95" s="33">
        <v>1</v>
      </c>
      <c r="D95" s="33">
        <v>1</v>
      </c>
      <c r="E95" s="33">
        <v>1</v>
      </c>
      <c r="F95" s="33">
        <v>56</v>
      </c>
      <c r="G95" s="33">
        <v>1</v>
      </c>
      <c r="H95" s="33" cm="1">
        <f t="array" ref="H95">G95*_xlfn.IFS(Настройки!$B$2="M",'Печатные изд.'!C95,Настройки!$B$2="L",'Печатные изд.'!D95,Настройки!$B$2="XL",'Печатные изд.'!E95)</f>
        <v>1</v>
      </c>
      <c r="I95" s="41">
        <f t="shared" si="12"/>
        <v>56</v>
      </c>
      <c r="J95" s="33" t="s">
        <v>516</v>
      </c>
      <c r="K95" s="41" cm="1">
        <f t="array" ref="K95">_xlfn.IFS(J95="Высоконагруженная",Настройки!$B$6,J95="Средне-нагруженная",Настройки!$B$7,J95="Ненагруженная",Настройки!$B$8,J95="Гибкая",Настройки!$B$9)</f>
        <v>1.05</v>
      </c>
      <c r="L95" s="41" cm="1">
        <f t="array" ref="L95">_xlfn.IFS(J95="Высоконагруженная",Настройки!$C$6,J95="Средне-нагруженная",Настройки!$C$7,J95="Ненагруженная",Настройки!$C$8,J95="Гибкая",Настройки!$C$9)/1000</f>
        <v>1</v>
      </c>
      <c r="M95" s="51">
        <f t="shared" si="14"/>
        <v>0</v>
      </c>
      <c r="N95" s="51">
        <f t="shared" si="15"/>
        <v>0</v>
      </c>
      <c r="O95" s="51">
        <f t="shared" si="16"/>
        <v>58.800000000000004</v>
      </c>
      <c r="P95" s="51">
        <f t="shared" si="17"/>
        <v>0</v>
      </c>
      <c r="Q95" s="52">
        <f t="shared" si="13"/>
        <v>58.800000000000004</v>
      </c>
      <c r="R95" s="43"/>
    </row>
    <row r="96" spans="1:18" ht="15.95" customHeight="1" x14ac:dyDescent="0.25">
      <c r="A96" s="19" t="s">
        <v>296</v>
      </c>
      <c r="B96" s="19" t="s">
        <v>297</v>
      </c>
      <c r="C96" s="33">
        <v>1</v>
      </c>
      <c r="D96" s="33">
        <v>1</v>
      </c>
      <c r="E96" s="33">
        <v>1</v>
      </c>
      <c r="F96" s="33">
        <v>42</v>
      </c>
      <c r="G96" s="33">
        <v>1</v>
      </c>
      <c r="H96" s="33" cm="1">
        <f t="array" ref="H96">G96*_xlfn.IFS(Настройки!$B$2="M",'Печатные изд.'!C96,Настройки!$B$2="L",'Печатные изд.'!D96,Настройки!$B$2="XL",'Печатные изд.'!E96)</f>
        <v>1</v>
      </c>
      <c r="I96" s="41">
        <f t="shared" si="12"/>
        <v>42</v>
      </c>
      <c r="J96" s="33" t="s">
        <v>516</v>
      </c>
      <c r="K96" s="41" cm="1">
        <f t="array" ref="K96">_xlfn.IFS(J96="Высоконагруженная",Настройки!$B$6,J96="Средне-нагруженная",Настройки!$B$7,J96="Ненагруженная",Настройки!$B$8,J96="Гибкая",Настройки!$B$9)</f>
        <v>1.05</v>
      </c>
      <c r="L96" s="41" cm="1">
        <f t="array" ref="L96">_xlfn.IFS(J96="Высоконагруженная",Настройки!$C$6,J96="Средне-нагруженная",Настройки!$C$7,J96="Ненагруженная",Настройки!$C$8,J96="Гибкая",Настройки!$C$9)/1000</f>
        <v>1</v>
      </c>
      <c r="M96" s="51">
        <f t="shared" si="14"/>
        <v>0</v>
      </c>
      <c r="N96" s="51">
        <f t="shared" si="15"/>
        <v>0</v>
      </c>
      <c r="O96" s="51">
        <f t="shared" si="16"/>
        <v>44.1</v>
      </c>
      <c r="P96" s="51">
        <f t="shared" si="17"/>
        <v>0</v>
      </c>
      <c r="Q96" s="52">
        <f t="shared" si="13"/>
        <v>44.1</v>
      </c>
      <c r="R96" s="43"/>
    </row>
    <row r="97" spans="1:18" ht="15.95" customHeight="1" x14ac:dyDescent="0.25">
      <c r="A97" s="19" t="s">
        <v>298</v>
      </c>
      <c r="B97" s="19" t="s">
        <v>299</v>
      </c>
      <c r="C97" s="33">
        <v>1</v>
      </c>
      <c r="D97" s="33">
        <v>1</v>
      </c>
      <c r="E97" s="33">
        <v>1</v>
      </c>
      <c r="F97" s="33">
        <v>19</v>
      </c>
      <c r="G97" s="33">
        <v>1</v>
      </c>
      <c r="H97" s="33" cm="1">
        <f t="array" ref="H97">G97*_xlfn.IFS(Настройки!$B$2="M",'Печатные изд.'!C97,Настройки!$B$2="L",'Печатные изд.'!D97,Настройки!$B$2="XL",'Печатные изд.'!E97)</f>
        <v>1</v>
      </c>
      <c r="I97" s="41">
        <f t="shared" si="12"/>
        <v>19</v>
      </c>
      <c r="J97" s="33" t="s">
        <v>516</v>
      </c>
      <c r="K97" s="41" cm="1">
        <f t="array" ref="K97">_xlfn.IFS(J97="Высоконагруженная",Настройки!$B$6,J97="Средне-нагруженная",Настройки!$B$7,J97="Ненагруженная",Настройки!$B$8,J97="Гибкая",Настройки!$B$9)</f>
        <v>1.05</v>
      </c>
      <c r="L97" s="41" cm="1">
        <f t="array" ref="L97">_xlfn.IFS(J97="Высоконагруженная",Настройки!$C$6,J97="Средне-нагруженная",Настройки!$C$7,J97="Ненагруженная",Настройки!$C$8,J97="Гибкая",Настройки!$C$9)/1000</f>
        <v>1</v>
      </c>
      <c r="M97" s="51">
        <f t="shared" si="14"/>
        <v>0</v>
      </c>
      <c r="N97" s="51">
        <f t="shared" si="15"/>
        <v>0</v>
      </c>
      <c r="O97" s="51">
        <f t="shared" si="16"/>
        <v>19.95</v>
      </c>
      <c r="P97" s="51">
        <f t="shared" si="17"/>
        <v>0</v>
      </c>
      <c r="Q97" s="52">
        <f t="shared" si="13"/>
        <v>19.95</v>
      </c>
      <c r="R97" s="43"/>
    </row>
    <row r="98" spans="1:18" ht="15.95" customHeight="1" x14ac:dyDescent="0.25">
      <c r="A98" s="19" t="s">
        <v>300</v>
      </c>
      <c r="B98" s="19" t="s">
        <v>301</v>
      </c>
      <c r="C98" s="33">
        <v>1</v>
      </c>
      <c r="D98" s="33">
        <v>1</v>
      </c>
      <c r="E98" s="33">
        <v>1</v>
      </c>
      <c r="F98" s="33">
        <v>19</v>
      </c>
      <c r="G98" s="33">
        <v>1</v>
      </c>
      <c r="H98" s="33" cm="1">
        <f t="array" ref="H98">G98*_xlfn.IFS(Настройки!$B$2="M",'Печатные изд.'!C98,Настройки!$B$2="L",'Печатные изд.'!D98,Настройки!$B$2="XL",'Печатные изд.'!E98)</f>
        <v>1</v>
      </c>
      <c r="I98" s="41">
        <f t="shared" si="12"/>
        <v>19</v>
      </c>
      <c r="J98" s="33" t="s">
        <v>516</v>
      </c>
      <c r="K98" s="41" cm="1">
        <f t="array" ref="K98">_xlfn.IFS(J98="Высоконагруженная",Настройки!$B$6,J98="Средне-нагруженная",Настройки!$B$7,J98="Ненагруженная",Настройки!$B$8,J98="Гибкая",Настройки!$B$9)</f>
        <v>1.05</v>
      </c>
      <c r="L98" s="41" cm="1">
        <f t="array" ref="L98">_xlfn.IFS(J98="Высоконагруженная",Настройки!$C$6,J98="Средне-нагруженная",Настройки!$C$7,J98="Ненагруженная",Настройки!$C$8,J98="Гибкая",Настройки!$C$9)/1000</f>
        <v>1</v>
      </c>
      <c r="M98" s="51">
        <f t="shared" si="14"/>
        <v>0</v>
      </c>
      <c r="N98" s="51">
        <f t="shared" si="15"/>
        <v>0</v>
      </c>
      <c r="O98" s="51">
        <f t="shared" si="16"/>
        <v>19.95</v>
      </c>
      <c r="P98" s="51">
        <f t="shared" si="17"/>
        <v>0</v>
      </c>
      <c r="Q98" s="52">
        <f t="shared" si="13"/>
        <v>19.95</v>
      </c>
      <c r="R98" s="43"/>
    </row>
    <row r="99" spans="1:18" ht="15.95" customHeight="1" x14ac:dyDescent="0.25">
      <c r="A99" s="19" t="s">
        <v>302</v>
      </c>
      <c r="B99" s="19" t="s">
        <v>303</v>
      </c>
      <c r="C99" s="33">
        <v>1</v>
      </c>
      <c r="D99" s="33">
        <v>1</v>
      </c>
      <c r="E99" s="33">
        <v>1</v>
      </c>
      <c r="F99" s="33">
        <v>8</v>
      </c>
      <c r="G99" s="33">
        <v>1</v>
      </c>
      <c r="H99" s="33" cm="1">
        <f t="array" ref="H99">G99*_xlfn.IFS(Настройки!$B$2="M",'Печатные изд.'!C99,Настройки!$B$2="L",'Печатные изд.'!D99,Настройки!$B$2="XL",'Печатные изд.'!E99)</f>
        <v>1</v>
      </c>
      <c r="I99" s="41">
        <f t="shared" si="12"/>
        <v>8</v>
      </c>
      <c r="J99" s="33" t="s">
        <v>516</v>
      </c>
      <c r="K99" s="41" cm="1">
        <f t="array" ref="K99">_xlfn.IFS(J99="Высоконагруженная",Настройки!$B$6,J99="Средне-нагруженная",Настройки!$B$7,J99="Ненагруженная",Настройки!$B$8,J99="Гибкая",Настройки!$B$9)</f>
        <v>1.05</v>
      </c>
      <c r="L99" s="41" cm="1">
        <f t="array" ref="L99">_xlfn.IFS(J99="Высоконагруженная",Настройки!$C$6,J99="Средне-нагруженная",Настройки!$C$7,J99="Ненагруженная",Настройки!$C$8,J99="Гибкая",Настройки!$C$9)/1000</f>
        <v>1</v>
      </c>
      <c r="M99" s="51">
        <f t="shared" si="14"/>
        <v>0</v>
      </c>
      <c r="N99" s="51">
        <f t="shared" si="15"/>
        <v>0</v>
      </c>
      <c r="O99" s="51">
        <f t="shared" si="16"/>
        <v>8.4</v>
      </c>
      <c r="P99" s="51">
        <f t="shared" si="17"/>
        <v>0</v>
      </c>
      <c r="Q99" s="52">
        <f t="shared" si="13"/>
        <v>8.4</v>
      </c>
      <c r="R99" s="43"/>
    </row>
    <row r="100" spans="1:18" ht="15.95" customHeight="1" x14ac:dyDescent="0.25">
      <c r="A100" s="19" t="s">
        <v>304</v>
      </c>
      <c r="B100" s="19" t="s">
        <v>305</v>
      </c>
      <c r="C100" s="33">
        <v>1</v>
      </c>
      <c r="D100" s="33">
        <v>1</v>
      </c>
      <c r="E100" s="33">
        <v>1</v>
      </c>
      <c r="F100" s="33">
        <v>25</v>
      </c>
      <c r="G100" s="33">
        <v>1</v>
      </c>
      <c r="H100" s="33" cm="1">
        <f t="array" ref="H100">G100*_xlfn.IFS(Настройки!$B$2="M",'Печатные изд.'!C100,Настройки!$B$2="L",'Печатные изд.'!D100,Настройки!$B$2="XL",'Печатные изд.'!E100)</f>
        <v>1</v>
      </c>
      <c r="I100" s="41">
        <f t="shared" si="12"/>
        <v>25</v>
      </c>
      <c r="J100" s="33" t="s">
        <v>516</v>
      </c>
      <c r="K100" s="41" cm="1">
        <f t="array" ref="K100">_xlfn.IFS(J100="Высоконагруженная",Настройки!$B$6,J100="Средне-нагруженная",Настройки!$B$7,J100="Ненагруженная",Настройки!$B$8,J100="Гибкая",Настройки!$B$9)</f>
        <v>1.05</v>
      </c>
      <c r="L100" s="41" cm="1">
        <f t="array" ref="L100">_xlfn.IFS(J100="Высоконагруженная",Настройки!$C$6,J100="Средне-нагруженная",Настройки!$C$7,J100="Ненагруженная",Настройки!$C$8,J100="Гибкая",Настройки!$C$9)/1000</f>
        <v>1</v>
      </c>
      <c r="M100" s="51">
        <f t="shared" si="14"/>
        <v>0</v>
      </c>
      <c r="N100" s="51">
        <f t="shared" si="15"/>
        <v>0</v>
      </c>
      <c r="O100" s="51">
        <f t="shared" si="16"/>
        <v>26.25</v>
      </c>
      <c r="P100" s="51">
        <f t="shared" si="17"/>
        <v>0</v>
      </c>
      <c r="Q100" s="52">
        <f t="shared" si="13"/>
        <v>26.25</v>
      </c>
      <c r="R100" s="43"/>
    </row>
    <row r="101" spans="1:18" ht="15.95" customHeight="1" x14ac:dyDescent="0.25">
      <c r="A101" s="19" t="s">
        <v>306</v>
      </c>
      <c r="B101" s="19" t="s">
        <v>307</v>
      </c>
      <c r="C101" s="33">
        <v>1</v>
      </c>
      <c r="D101" s="33">
        <v>1</v>
      </c>
      <c r="E101" s="33">
        <v>1</v>
      </c>
      <c r="F101" s="33">
        <v>21</v>
      </c>
      <c r="G101" s="33">
        <v>1</v>
      </c>
      <c r="H101" s="33" cm="1">
        <f t="array" ref="H101">G101*_xlfn.IFS(Настройки!$B$2="M",'Печатные изд.'!C101,Настройки!$B$2="L",'Печатные изд.'!D101,Настройки!$B$2="XL",'Печатные изд.'!E101)</f>
        <v>1</v>
      </c>
      <c r="I101" s="41">
        <f t="shared" si="12"/>
        <v>21</v>
      </c>
      <c r="J101" s="33" t="s">
        <v>516</v>
      </c>
      <c r="K101" s="41" cm="1">
        <f t="array" ref="K101">_xlfn.IFS(J101="Высоконагруженная",Настройки!$B$6,J101="Средне-нагруженная",Настройки!$B$7,J101="Ненагруженная",Настройки!$B$8,J101="Гибкая",Настройки!$B$9)</f>
        <v>1.05</v>
      </c>
      <c r="L101" s="41" cm="1">
        <f t="array" ref="L101">_xlfn.IFS(J101="Высоконагруженная",Настройки!$C$6,J101="Средне-нагруженная",Настройки!$C$7,J101="Ненагруженная",Настройки!$C$8,J101="Гибкая",Настройки!$C$9)/1000</f>
        <v>1</v>
      </c>
      <c r="M101" s="51">
        <f t="shared" si="14"/>
        <v>0</v>
      </c>
      <c r="N101" s="51">
        <f t="shared" si="15"/>
        <v>0</v>
      </c>
      <c r="O101" s="51">
        <f t="shared" si="16"/>
        <v>22.05</v>
      </c>
      <c r="P101" s="51">
        <f t="shared" si="17"/>
        <v>0</v>
      </c>
      <c r="Q101" s="52">
        <f t="shared" si="13"/>
        <v>22.05</v>
      </c>
      <c r="R101" s="43"/>
    </row>
    <row r="102" spans="1:18" ht="15.95" customHeight="1" x14ac:dyDescent="0.25">
      <c r="A102" s="19" t="s">
        <v>308</v>
      </c>
      <c r="B102" s="19" t="s">
        <v>309</v>
      </c>
      <c r="C102" s="33">
        <v>1</v>
      </c>
      <c r="D102" s="33">
        <v>1</v>
      </c>
      <c r="E102" s="33">
        <v>1</v>
      </c>
      <c r="F102" s="33">
        <v>27</v>
      </c>
      <c r="G102" s="33">
        <v>1</v>
      </c>
      <c r="H102" s="33" cm="1">
        <f t="array" ref="H102">G102*_xlfn.IFS(Настройки!$B$2="M",'Печатные изд.'!C102,Настройки!$B$2="L",'Печатные изд.'!D102,Настройки!$B$2="XL",'Печатные изд.'!E102)</f>
        <v>1</v>
      </c>
      <c r="I102" s="41">
        <f t="shared" si="12"/>
        <v>27</v>
      </c>
      <c r="J102" s="33" t="s">
        <v>516</v>
      </c>
      <c r="K102" s="41" cm="1">
        <f t="array" ref="K102">_xlfn.IFS(J102="Высоконагруженная",Настройки!$B$6,J102="Средне-нагруженная",Настройки!$B$7,J102="Ненагруженная",Настройки!$B$8,J102="Гибкая",Настройки!$B$9)</f>
        <v>1.05</v>
      </c>
      <c r="L102" s="41" cm="1">
        <f t="array" ref="L102">_xlfn.IFS(J102="Высоконагруженная",Настройки!$C$6,J102="Средне-нагруженная",Настройки!$C$7,J102="Ненагруженная",Настройки!$C$8,J102="Гибкая",Настройки!$C$9)/1000</f>
        <v>1</v>
      </c>
      <c r="M102" s="51">
        <f t="shared" si="14"/>
        <v>0</v>
      </c>
      <c r="N102" s="51">
        <f t="shared" si="15"/>
        <v>0</v>
      </c>
      <c r="O102" s="51">
        <f t="shared" si="16"/>
        <v>28.35</v>
      </c>
      <c r="P102" s="51">
        <f t="shared" si="17"/>
        <v>0</v>
      </c>
      <c r="Q102" s="52">
        <f t="shared" si="13"/>
        <v>28.35</v>
      </c>
      <c r="R102" s="43"/>
    </row>
    <row r="103" spans="1:18" ht="15.95" customHeight="1" x14ac:dyDescent="0.25">
      <c r="A103" s="19" t="s">
        <v>310</v>
      </c>
      <c r="B103" s="19" t="s">
        <v>311</v>
      </c>
      <c r="C103" s="33">
        <v>1</v>
      </c>
      <c r="D103" s="33">
        <v>1</v>
      </c>
      <c r="E103" s="33">
        <v>1</v>
      </c>
      <c r="F103" s="33">
        <v>9</v>
      </c>
      <c r="G103" s="33">
        <v>1</v>
      </c>
      <c r="H103" s="33" cm="1">
        <f t="array" ref="H103">G103*_xlfn.IFS(Настройки!$B$2="M",'Печатные изд.'!C103,Настройки!$B$2="L",'Печатные изд.'!D103,Настройки!$B$2="XL",'Печатные изд.'!E103)</f>
        <v>1</v>
      </c>
      <c r="I103" s="41">
        <f t="shared" si="12"/>
        <v>9</v>
      </c>
      <c r="J103" s="33" t="s">
        <v>516</v>
      </c>
      <c r="K103" s="41" cm="1">
        <f t="array" ref="K103">_xlfn.IFS(J103="Высоконагруженная",Настройки!$B$6,J103="Средне-нагруженная",Настройки!$B$7,J103="Ненагруженная",Настройки!$B$8,J103="Гибкая",Настройки!$B$9)</f>
        <v>1.05</v>
      </c>
      <c r="L103" s="41" cm="1">
        <f t="array" ref="L103">_xlfn.IFS(J103="Высоконагруженная",Настройки!$C$6,J103="Средне-нагруженная",Настройки!$C$7,J103="Ненагруженная",Настройки!$C$8,J103="Гибкая",Настройки!$C$9)/1000</f>
        <v>1</v>
      </c>
      <c r="M103" s="51">
        <f t="shared" si="14"/>
        <v>0</v>
      </c>
      <c r="N103" s="51">
        <f t="shared" si="15"/>
        <v>0</v>
      </c>
      <c r="O103" s="51">
        <f t="shared" si="16"/>
        <v>9.4500000000000011</v>
      </c>
      <c r="P103" s="51">
        <f t="shared" si="17"/>
        <v>0</v>
      </c>
      <c r="Q103" s="52">
        <f t="shared" si="13"/>
        <v>9.4500000000000011</v>
      </c>
      <c r="R103" s="43"/>
    </row>
    <row r="104" spans="1:18" ht="15.95" customHeight="1" x14ac:dyDescent="0.25">
      <c r="A104" s="19" t="s">
        <v>312</v>
      </c>
      <c r="B104" s="19" t="s">
        <v>313</v>
      </c>
      <c r="C104" s="33">
        <v>1</v>
      </c>
      <c r="D104" s="33">
        <v>1</v>
      </c>
      <c r="E104" s="33">
        <v>1</v>
      </c>
      <c r="F104" s="33">
        <v>86</v>
      </c>
      <c r="G104" s="33">
        <v>1</v>
      </c>
      <c r="H104" s="33" cm="1">
        <f t="array" ref="H104">G104*_xlfn.IFS(Настройки!$B$2="M",'Печатные изд.'!C104,Настройки!$B$2="L",'Печатные изд.'!D104,Настройки!$B$2="XL",'Печатные изд.'!E104)</f>
        <v>1</v>
      </c>
      <c r="I104" s="41">
        <f t="shared" si="12"/>
        <v>86</v>
      </c>
      <c r="J104" s="33" t="s">
        <v>516</v>
      </c>
      <c r="K104" s="41" cm="1">
        <f t="array" ref="K104">_xlfn.IFS(J104="Высоконагруженная",Настройки!$B$6,J104="Средне-нагруженная",Настройки!$B$7,J104="Ненагруженная",Настройки!$B$8,J104="Гибкая",Настройки!$B$9)</f>
        <v>1.05</v>
      </c>
      <c r="L104" s="41" cm="1">
        <f t="array" ref="L104">_xlfn.IFS(J104="Высоконагруженная",Настройки!$C$6,J104="Средне-нагруженная",Настройки!$C$7,J104="Ненагруженная",Настройки!$C$8,J104="Гибкая",Настройки!$C$9)/1000</f>
        <v>1</v>
      </c>
      <c r="M104" s="51">
        <f t="shared" si="14"/>
        <v>0</v>
      </c>
      <c r="N104" s="51">
        <f t="shared" si="15"/>
        <v>0</v>
      </c>
      <c r="O104" s="51">
        <f t="shared" si="16"/>
        <v>90.3</v>
      </c>
      <c r="P104" s="51">
        <f t="shared" si="17"/>
        <v>0</v>
      </c>
      <c r="Q104" s="52">
        <f t="shared" si="13"/>
        <v>90.3</v>
      </c>
      <c r="R104" s="43"/>
    </row>
    <row r="105" spans="1:18" ht="15.95" customHeight="1" x14ac:dyDescent="0.25">
      <c r="A105" s="19" t="s">
        <v>314</v>
      </c>
      <c r="B105" s="19" t="s">
        <v>315</v>
      </c>
      <c r="C105" s="33">
        <v>2</v>
      </c>
      <c r="D105" s="33">
        <v>2</v>
      </c>
      <c r="E105" s="33">
        <v>2</v>
      </c>
      <c r="F105" s="33">
        <v>15</v>
      </c>
      <c r="G105" s="33">
        <v>1</v>
      </c>
      <c r="H105" s="33" cm="1">
        <f t="array" ref="H105">G105*_xlfn.IFS(Настройки!$B$2="M",'Печатные изд.'!C105,Настройки!$B$2="L",'Печатные изд.'!D105,Настройки!$B$2="XL",'Печатные изд.'!E105)</f>
        <v>2</v>
      </c>
      <c r="I105" s="41">
        <f t="shared" si="12"/>
        <v>30</v>
      </c>
      <c r="J105" s="33" t="s">
        <v>516</v>
      </c>
      <c r="K105" s="41" cm="1">
        <f t="array" ref="K105">_xlfn.IFS(J105="Высоконагруженная",Настройки!$B$6,J105="Средне-нагруженная",Настройки!$B$7,J105="Ненагруженная",Настройки!$B$8,J105="Гибкая",Настройки!$B$9)</f>
        <v>1.05</v>
      </c>
      <c r="L105" s="41" cm="1">
        <f t="array" ref="L105">_xlfn.IFS(J105="Высоконагруженная",Настройки!$C$6,J105="Средне-нагруженная",Настройки!$C$7,J105="Ненагруженная",Настройки!$C$8,J105="Гибкая",Настройки!$C$9)/1000</f>
        <v>1</v>
      </c>
      <c r="M105" s="51">
        <f t="shared" si="14"/>
        <v>0</v>
      </c>
      <c r="N105" s="51">
        <f t="shared" si="15"/>
        <v>0</v>
      </c>
      <c r="O105" s="51">
        <f t="shared" si="16"/>
        <v>31.5</v>
      </c>
      <c r="P105" s="51">
        <f t="shared" si="17"/>
        <v>0</v>
      </c>
      <c r="Q105" s="52">
        <f t="shared" si="13"/>
        <v>31.5</v>
      </c>
      <c r="R105" s="43"/>
    </row>
    <row r="106" spans="1:18" ht="15.95" customHeight="1" x14ac:dyDescent="0.25">
      <c r="A106" s="19" t="s">
        <v>316</v>
      </c>
      <c r="B106" s="19" t="s">
        <v>317</v>
      </c>
      <c r="C106" s="33">
        <v>1</v>
      </c>
      <c r="D106" s="33">
        <v>1</v>
      </c>
      <c r="E106" s="33">
        <v>1</v>
      </c>
      <c r="F106" s="33">
        <v>30</v>
      </c>
      <c r="G106" s="33">
        <v>1</v>
      </c>
      <c r="H106" s="33" cm="1">
        <f t="array" ref="H106">G106*_xlfn.IFS(Настройки!$B$2="M",'Печатные изд.'!C106,Настройки!$B$2="L",'Печатные изд.'!D106,Настройки!$B$2="XL",'Печатные изд.'!E106)</f>
        <v>1</v>
      </c>
      <c r="I106" s="41">
        <f t="shared" si="12"/>
        <v>30</v>
      </c>
      <c r="J106" s="33" t="s">
        <v>516</v>
      </c>
      <c r="K106" s="41" cm="1">
        <f t="array" ref="K106">_xlfn.IFS(J106="Высоконагруженная",Настройки!$B$6,J106="Средне-нагруженная",Настройки!$B$7,J106="Ненагруженная",Настройки!$B$8,J106="Гибкая",Настройки!$B$9)</f>
        <v>1.05</v>
      </c>
      <c r="L106" s="41" cm="1">
        <f t="array" ref="L106">_xlfn.IFS(J106="Высоконагруженная",Настройки!$C$6,J106="Средне-нагруженная",Настройки!$C$7,J106="Ненагруженная",Настройки!$C$8,J106="Гибкая",Настройки!$C$9)/1000</f>
        <v>1</v>
      </c>
      <c r="M106" s="51">
        <f t="shared" si="14"/>
        <v>0</v>
      </c>
      <c r="N106" s="51">
        <f t="shared" si="15"/>
        <v>0</v>
      </c>
      <c r="O106" s="51">
        <f t="shared" si="16"/>
        <v>31.5</v>
      </c>
      <c r="P106" s="51">
        <f t="shared" si="17"/>
        <v>0</v>
      </c>
      <c r="Q106" s="52">
        <f t="shared" si="13"/>
        <v>31.5</v>
      </c>
      <c r="R106" s="43"/>
    </row>
    <row r="107" spans="1:18" ht="15.95" customHeight="1" x14ac:dyDescent="0.25">
      <c r="A107" s="19" t="s">
        <v>318</v>
      </c>
      <c r="B107" s="19" t="s">
        <v>319</v>
      </c>
      <c r="C107" s="33">
        <v>1</v>
      </c>
      <c r="D107" s="33">
        <v>1</v>
      </c>
      <c r="E107" s="33">
        <v>1</v>
      </c>
      <c r="F107" s="33">
        <v>47</v>
      </c>
      <c r="G107" s="33">
        <v>1</v>
      </c>
      <c r="H107" s="33" cm="1">
        <f t="array" ref="H107">G107*_xlfn.IFS(Настройки!$B$2="M",'Печатные изд.'!C107,Настройки!$B$2="L",'Печатные изд.'!D107,Настройки!$B$2="XL",'Печатные изд.'!E107)</f>
        <v>1</v>
      </c>
      <c r="I107" s="41">
        <f t="shared" si="12"/>
        <v>47</v>
      </c>
      <c r="J107" s="33" t="s">
        <v>516</v>
      </c>
      <c r="K107" s="41" cm="1">
        <f t="array" ref="K107">_xlfn.IFS(J107="Высоконагруженная",Настройки!$B$6,J107="Средне-нагруженная",Настройки!$B$7,J107="Ненагруженная",Настройки!$B$8,J107="Гибкая",Настройки!$B$9)</f>
        <v>1.05</v>
      </c>
      <c r="L107" s="41" cm="1">
        <f t="array" ref="L107">_xlfn.IFS(J107="Высоконагруженная",Настройки!$C$6,J107="Средне-нагруженная",Настройки!$C$7,J107="Ненагруженная",Настройки!$C$8,J107="Гибкая",Настройки!$C$9)/1000</f>
        <v>1</v>
      </c>
      <c r="M107" s="51">
        <f t="shared" si="14"/>
        <v>0</v>
      </c>
      <c r="N107" s="51">
        <f t="shared" si="15"/>
        <v>0</v>
      </c>
      <c r="O107" s="51">
        <f t="shared" si="16"/>
        <v>49.35</v>
      </c>
      <c r="P107" s="51">
        <f t="shared" si="17"/>
        <v>0</v>
      </c>
      <c r="Q107" s="52">
        <f t="shared" si="13"/>
        <v>49.35</v>
      </c>
      <c r="R107" s="43"/>
    </row>
    <row r="108" spans="1:18" ht="15.95" customHeight="1" x14ac:dyDescent="0.25">
      <c r="A108" s="19" t="s">
        <v>320</v>
      </c>
      <c r="B108" s="19" t="s">
        <v>321</v>
      </c>
      <c r="C108" s="33">
        <v>2</v>
      </c>
      <c r="D108" s="33">
        <v>2</v>
      </c>
      <c r="E108" s="33">
        <v>2</v>
      </c>
      <c r="F108" s="33">
        <v>20</v>
      </c>
      <c r="G108" s="33">
        <v>1</v>
      </c>
      <c r="H108" s="33" cm="1">
        <f t="array" ref="H108">G108*_xlfn.IFS(Настройки!$B$2="M",'Печатные изд.'!C108,Настройки!$B$2="L",'Печатные изд.'!D108,Настройки!$B$2="XL",'Печатные изд.'!E108)</f>
        <v>2</v>
      </c>
      <c r="I108" s="41">
        <f t="shared" si="12"/>
        <v>40</v>
      </c>
      <c r="J108" s="33" t="s">
        <v>516</v>
      </c>
      <c r="K108" s="41" cm="1">
        <f t="array" ref="K108">_xlfn.IFS(J108="Высоконагруженная",Настройки!$B$6,J108="Средне-нагруженная",Настройки!$B$7,J108="Ненагруженная",Настройки!$B$8,J108="Гибкая",Настройки!$B$9)</f>
        <v>1.05</v>
      </c>
      <c r="L108" s="41" cm="1">
        <f t="array" ref="L108">_xlfn.IFS(J108="Высоконагруженная",Настройки!$C$6,J108="Средне-нагруженная",Настройки!$C$7,J108="Ненагруженная",Настройки!$C$8,J108="Гибкая",Настройки!$C$9)/1000</f>
        <v>1</v>
      </c>
      <c r="M108" s="51">
        <f t="shared" si="14"/>
        <v>0</v>
      </c>
      <c r="N108" s="51">
        <f t="shared" si="15"/>
        <v>0</v>
      </c>
      <c r="O108" s="51">
        <f t="shared" si="16"/>
        <v>42</v>
      </c>
      <c r="P108" s="51">
        <f t="shared" si="17"/>
        <v>0</v>
      </c>
      <c r="Q108" s="52">
        <f t="shared" si="13"/>
        <v>42</v>
      </c>
      <c r="R108" s="43"/>
    </row>
    <row r="109" spans="1:18" ht="15.95" customHeight="1" x14ac:dyDescent="0.25">
      <c r="A109" s="19" t="s">
        <v>322</v>
      </c>
      <c r="B109" s="19" t="s">
        <v>323</v>
      </c>
      <c r="C109" s="33">
        <v>8</v>
      </c>
      <c r="D109" s="33">
        <v>8</v>
      </c>
      <c r="E109" s="33">
        <v>8</v>
      </c>
      <c r="F109" s="33">
        <v>6</v>
      </c>
      <c r="G109" s="33">
        <v>1</v>
      </c>
      <c r="H109" s="33" cm="1">
        <f t="array" ref="H109">G109*_xlfn.IFS(Настройки!$B$2="M",'Печатные изд.'!C109,Настройки!$B$2="L",'Печатные изд.'!D109,Настройки!$B$2="XL",'Печатные изд.'!E109)</f>
        <v>8</v>
      </c>
      <c r="I109" s="41">
        <f t="shared" si="12"/>
        <v>48</v>
      </c>
      <c r="J109" s="33" t="s">
        <v>515</v>
      </c>
      <c r="K109" s="41" cm="1">
        <f t="array" ref="K109">_xlfn.IFS(J109="Высоконагруженная",Настройки!$B$6,J109="Средне-нагруженная",Настройки!$B$7,J109="Ненагруженная",Настройки!$B$8,J109="Гибкая",Настройки!$B$9)</f>
        <v>1.1499999999999999</v>
      </c>
      <c r="L109" s="41" cm="1">
        <f t="array" ref="L109">_xlfn.IFS(J109="Высоконагруженная",Настройки!$C$6,J109="Средне-нагруженная",Настройки!$C$7,J109="Ненагруженная",Настройки!$C$8,J109="Гибкая",Настройки!$C$9)/1000</f>
        <v>2</v>
      </c>
      <c r="M109" s="51">
        <f t="shared" si="14"/>
        <v>0</v>
      </c>
      <c r="N109" s="51">
        <f t="shared" si="15"/>
        <v>55.199999999999996</v>
      </c>
      <c r="O109" s="51">
        <f t="shared" si="16"/>
        <v>0</v>
      </c>
      <c r="P109" s="51">
        <f t="shared" si="17"/>
        <v>0</v>
      </c>
      <c r="Q109" s="52">
        <f t="shared" si="13"/>
        <v>110.39999999999999</v>
      </c>
      <c r="R109" s="43"/>
    </row>
    <row r="110" spans="1:18" ht="15.95" customHeight="1" x14ac:dyDescent="0.25">
      <c r="A110" s="19" t="s">
        <v>324</v>
      </c>
      <c r="B110" s="19" t="s">
        <v>325</v>
      </c>
      <c r="C110" s="33">
        <v>1</v>
      </c>
      <c r="D110" s="33">
        <v>1</v>
      </c>
      <c r="E110" s="33">
        <v>1</v>
      </c>
      <c r="F110" s="33">
        <v>56</v>
      </c>
      <c r="G110" s="33">
        <v>1</v>
      </c>
      <c r="H110" s="33" cm="1">
        <f t="array" ref="H110">G110*_xlfn.IFS(Настройки!$B$2="M",'Печатные изд.'!C110,Настройки!$B$2="L",'Печатные изд.'!D110,Настройки!$B$2="XL",'Печатные изд.'!E110)</f>
        <v>1</v>
      </c>
      <c r="I110" s="41">
        <f t="shared" si="12"/>
        <v>56</v>
      </c>
      <c r="J110" s="33" t="s">
        <v>515</v>
      </c>
      <c r="K110" s="41" cm="1">
        <f t="array" ref="K110">_xlfn.IFS(J110="Высоконагруженная",Настройки!$B$6,J110="Средне-нагруженная",Настройки!$B$7,J110="Ненагруженная",Настройки!$B$8,J110="Гибкая",Настройки!$B$9)</f>
        <v>1.1499999999999999</v>
      </c>
      <c r="L110" s="41" cm="1">
        <f t="array" ref="L110">_xlfn.IFS(J110="Высоконагруженная",Настройки!$C$6,J110="Средне-нагруженная",Настройки!$C$7,J110="Ненагруженная",Настройки!$C$8,J110="Гибкая",Настройки!$C$9)/1000</f>
        <v>2</v>
      </c>
      <c r="M110" s="51">
        <f t="shared" si="14"/>
        <v>0</v>
      </c>
      <c r="N110" s="51">
        <f t="shared" si="15"/>
        <v>64.399999999999991</v>
      </c>
      <c r="O110" s="51">
        <f t="shared" si="16"/>
        <v>0</v>
      </c>
      <c r="P110" s="51">
        <f t="shared" si="17"/>
        <v>0</v>
      </c>
      <c r="Q110" s="52">
        <f t="shared" si="13"/>
        <v>128.79999999999998</v>
      </c>
      <c r="R110" s="43"/>
    </row>
    <row r="111" spans="1:18" ht="15.95" customHeight="1" x14ac:dyDescent="0.25">
      <c r="A111" s="19" t="s">
        <v>326</v>
      </c>
      <c r="B111" s="19" t="s">
        <v>325</v>
      </c>
      <c r="C111" s="33">
        <v>1</v>
      </c>
      <c r="D111" s="33">
        <v>1</v>
      </c>
      <c r="E111" s="33">
        <v>1</v>
      </c>
      <c r="F111" s="33">
        <v>56</v>
      </c>
      <c r="G111" s="33">
        <v>1</v>
      </c>
      <c r="H111" s="33" cm="1">
        <f t="array" ref="H111">G111*_xlfn.IFS(Настройки!$B$2="M",'Печатные изд.'!C111,Настройки!$B$2="L",'Печатные изд.'!D111,Настройки!$B$2="XL",'Печатные изд.'!E111)</f>
        <v>1</v>
      </c>
      <c r="I111" s="41">
        <f t="shared" si="12"/>
        <v>56</v>
      </c>
      <c r="J111" s="33" t="s">
        <v>515</v>
      </c>
      <c r="K111" s="41" cm="1">
        <f t="array" ref="K111">_xlfn.IFS(J111="Высоконагруженная",Настройки!$B$6,J111="Средне-нагруженная",Настройки!$B$7,J111="Ненагруженная",Настройки!$B$8,J111="Гибкая",Настройки!$B$9)</f>
        <v>1.1499999999999999</v>
      </c>
      <c r="L111" s="41" cm="1">
        <f t="array" ref="L111">_xlfn.IFS(J111="Высоконагруженная",Настройки!$C$6,J111="Средне-нагруженная",Настройки!$C$7,J111="Ненагруженная",Настройки!$C$8,J111="Гибкая",Настройки!$C$9)/1000</f>
        <v>2</v>
      </c>
      <c r="M111" s="51">
        <f t="shared" si="14"/>
        <v>0</v>
      </c>
      <c r="N111" s="51">
        <f t="shared" si="15"/>
        <v>64.399999999999991</v>
      </c>
      <c r="O111" s="51">
        <f t="shared" si="16"/>
        <v>0</v>
      </c>
      <c r="P111" s="51">
        <f t="shared" si="17"/>
        <v>0</v>
      </c>
      <c r="Q111" s="52">
        <f t="shared" si="13"/>
        <v>128.79999999999998</v>
      </c>
      <c r="R111" s="43"/>
    </row>
    <row r="112" spans="1:18" ht="15.95" customHeight="1" x14ac:dyDescent="0.25">
      <c r="A112" s="19" t="s">
        <v>327</v>
      </c>
      <c r="B112" s="19" t="s">
        <v>328</v>
      </c>
      <c r="C112" s="33">
        <v>1</v>
      </c>
      <c r="D112" s="33">
        <v>1</v>
      </c>
      <c r="E112" s="33">
        <v>1</v>
      </c>
      <c r="F112" s="33">
        <v>50</v>
      </c>
      <c r="G112" s="33">
        <v>1</v>
      </c>
      <c r="H112" s="33" cm="1">
        <f t="array" ref="H112">G112*_xlfn.IFS(Настройки!$B$2="M",'Печатные изд.'!C112,Настройки!$B$2="L",'Печатные изд.'!D112,Настройки!$B$2="XL",'Печатные изд.'!E112)</f>
        <v>1</v>
      </c>
      <c r="I112" s="41">
        <f t="shared" si="12"/>
        <v>50</v>
      </c>
      <c r="J112" s="33" t="s">
        <v>515</v>
      </c>
      <c r="K112" s="41" cm="1">
        <f t="array" ref="K112">_xlfn.IFS(J112="Высоконагруженная",Настройки!$B$6,J112="Средне-нагруженная",Настройки!$B$7,J112="Ненагруженная",Настройки!$B$8,J112="Гибкая",Настройки!$B$9)</f>
        <v>1.1499999999999999</v>
      </c>
      <c r="L112" s="41" cm="1">
        <f t="array" ref="L112">_xlfn.IFS(J112="Высоконагруженная",Настройки!$C$6,J112="Средне-нагруженная",Настройки!$C$7,J112="Ненагруженная",Настройки!$C$8,J112="Гибкая",Настройки!$C$9)/1000</f>
        <v>2</v>
      </c>
      <c r="M112" s="51">
        <f t="shared" si="14"/>
        <v>0</v>
      </c>
      <c r="N112" s="51">
        <f t="shared" si="15"/>
        <v>57.499999999999993</v>
      </c>
      <c r="O112" s="51">
        <f t="shared" si="16"/>
        <v>0</v>
      </c>
      <c r="P112" s="51">
        <f t="shared" si="17"/>
        <v>0</v>
      </c>
      <c r="Q112" s="52">
        <f t="shared" si="13"/>
        <v>114.99999999999999</v>
      </c>
      <c r="R112" s="43"/>
    </row>
    <row r="113" spans="1:18" ht="15.95" customHeight="1" x14ac:dyDescent="0.25">
      <c r="A113" s="19" t="s">
        <v>329</v>
      </c>
      <c r="B113" s="19" t="s">
        <v>328</v>
      </c>
      <c r="C113" s="33">
        <v>1</v>
      </c>
      <c r="D113" s="33">
        <v>1</v>
      </c>
      <c r="E113" s="33">
        <v>1</v>
      </c>
      <c r="F113" s="33">
        <v>50</v>
      </c>
      <c r="G113" s="33">
        <v>1</v>
      </c>
      <c r="H113" s="33" cm="1">
        <f t="array" ref="H113">G113*_xlfn.IFS(Настройки!$B$2="M",'Печатные изд.'!C113,Настройки!$B$2="L",'Печатные изд.'!D113,Настройки!$B$2="XL",'Печатные изд.'!E113)</f>
        <v>1</v>
      </c>
      <c r="I113" s="41">
        <f t="shared" si="12"/>
        <v>50</v>
      </c>
      <c r="J113" s="33" t="s">
        <v>515</v>
      </c>
      <c r="K113" s="41" cm="1">
        <f t="array" ref="K113">_xlfn.IFS(J113="Высоконагруженная",Настройки!$B$6,J113="Средне-нагруженная",Настройки!$B$7,J113="Ненагруженная",Настройки!$B$8,J113="Гибкая",Настройки!$B$9)</f>
        <v>1.1499999999999999</v>
      </c>
      <c r="L113" s="41" cm="1">
        <f t="array" ref="L113">_xlfn.IFS(J113="Высоконагруженная",Настройки!$C$6,J113="Средне-нагруженная",Настройки!$C$7,J113="Ненагруженная",Настройки!$C$8,J113="Гибкая",Настройки!$C$9)/1000</f>
        <v>2</v>
      </c>
      <c r="M113" s="51">
        <f t="shared" si="14"/>
        <v>0</v>
      </c>
      <c r="N113" s="51">
        <f t="shared" si="15"/>
        <v>57.499999999999993</v>
      </c>
      <c r="O113" s="51">
        <f t="shared" si="16"/>
        <v>0</v>
      </c>
      <c r="P113" s="51">
        <f t="shared" si="17"/>
        <v>0</v>
      </c>
      <c r="Q113" s="52">
        <f t="shared" si="13"/>
        <v>114.99999999999999</v>
      </c>
      <c r="R113" s="43"/>
    </row>
    <row r="114" spans="1:18" ht="15.95" customHeight="1" x14ac:dyDescent="0.25">
      <c r="A114" s="19" t="s">
        <v>330</v>
      </c>
      <c r="B114" s="19" t="s">
        <v>331</v>
      </c>
      <c r="C114" s="33">
        <v>1</v>
      </c>
      <c r="D114" s="33">
        <v>1</v>
      </c>
      <c r="E114" s="33">
        <v>1</v>
      </c>
      <c r="F114" s="33">
        <v>8</v>
      </c>
      <c r="G114" s="33">
        <v>1</v>
      </c>
      <c r="H114" s="33" cm="1">
        <f t="array" ref="H114">G114*_xlfn.IFS(Настройки!$B$2="M",'Печатные изд.'!C114,Настройки!$B$2="L",'Печатные изд.'!D114,Настройки!$B$2="XL",'Печатные изд.'!E114)</f>
        <v>1</v>
      </c>
      <c r="I114" s="41">
        <f t="shared" si="12"/>
        <v>8</v>
      </c>
      <c r="J114" s="33" t="s">
        <v>516</v>
      </c>
      <c r="K114" s="41" cm="1">
        <f t="array" ref="K114">_xlfn.IFS(J114="Высоконагруженная",Настройки!$B$6,J114="Средне-нагруженная",Настройки!$B$7,J114="Ненагруженная",Настройки!$B$8,J114="Гибкая",Настройки!$B$9)</f>
        <v>1.05</v>
      </c>
      <c r="L114" s="41" cm="1">
        <f t="array" ref="L114">_xlfn.IFS(J114="Высоконагруженная",Настройки!$C$6,J114="Средне-нагруженная",Настройки!$C$7,J114="Ненагруженная",Настройки!$C$8,J114="Гибкая",Настройки!$C$9)/1000</f>
        <v>1</v>
      </c>
      <c r="M114" s="51">
        <f t="shared" si="14"/>
        <v>0</v>
      </c>
      <c r="N114" s="51">
        <f t="shared" si="15"/>
        <v>0</v>
      </c>
      <c r="O114" s="51">
        <f t="shared" si="16"/>
        <v>8.4</v>
      </c>
      <c r="P114" s="51">
        <f t="shared" si="17"/>
        <v>0</v>
      </c>
      <c r="Q114" s="52">
        <f t="shared" si="13"/>
        <v>8.4</v>
      </c>
      <c r="R114" s="43"/>
    </row>
    <row r="115" spans="1:18" ht="15.95" customHeight="1" x14ac:dyDescent="0.25">
      <c r="A115" s="19" t="s">
        <v>332</v>
      </c>
      <c r="B115" s="19" t="s">
        <v>333</v>
      </c>
      <c r="C115" s="33">
        <v>1</v>
      </c>
      <c r="D115" s="33">
        <v>1</v>
      </c>
      <c r="E115" s="33">
        <v>1</v>
      </c>
      <c r="F115" s="33">
        <v>22</v>
      </c>
      <c r="G115" s="33">
        <v>1</v>
      </c>
      <c r="H115" s="33" cm="1">
        <f t="array" ref="H115">G115*_xlfn.IFS(Настройки!$B$2="M",'Печатные изд.'!C115,Настройки!$B$2="L",'Печатные изд.'!D115,Настройки!$B$2="XL",'Печатные изд.'!E115)</f>
        <v>1</v>
      </c>
      <c r="I115" s="41">
        <f t="shared" si="12"/>
        <v>22</v>
      </c>
      <c r="J115" s="33" t="s">
        <v>516</v>
      </c>
      <c r="K115" s="41" cm="1">
        <f t="array" ref="K115">_xlfn.IFS(J115="Высоконагруженная",Настройки!$B$6,J115="Средне-нагруженная",Настройки!$B$7,J115="Ненагруженная",Настройки!$B$8,J115="Гибкая",Настройки!$B$9)</f>
        <v>1.05</v>
      </c>
      <c r="L115" s="41" cm="1">
        <f t="array" ref="L115">_xlfn.IFS(J115="Высоконагруженная",Настройки!$C$6,J115="Средне-нагруженная",Настройки!$C$7,J115="Ненагруженная",Настройки!$C$8,J115="Гибкая",Настройки!$C$9)/1000</f>
        <v>1</v>
      </c>
      <c r="M115" s="51">
        <f t="shared" si="14"/>
        <v>0</v>
      </c>
      <c r="N115" s="51">
        <f t="shared" si="15"/>
        <v>0</v>
      </c>
      <c r="O115" s="51">
        <f t="shared" si="16"/>
        <v>23.1</v>
      </c>
      <c r="P115" s="51">
        <f t="shared" si="17"/>
        <v>0</v>
      </c>
      <c r="Q115" s="52">
        <f t="shared" si="13"/>
        <v>23.1</v>
      </c>
      <c r="R115" s="43"/>
    </row>
    <row r="116" spans="1:18" ht="15.95" customHeight="1" x14ac:dyDescent="0.25">
      <c r="A116" s="19" t="s">
        <v>334</v>
      </c>
      <c r="B116" s="19" t="s">
        <v>335</v>
      </c>
      <c r="C116" s="33">
        <v>1</v>
      </c>
      <c r="D116" s="33">
        <v>1</v>
      </c>
      <c r="E116" s="33">
        <v>1</v>
      </c>
      <c r="F116" s="33">
        <v>42</v>
      </c>
      <c r="G116" s="33">
        <v>1</v>
      </c>
      <c r="H116" s="33" cm="1">
        <f t="array" ref="H116">G116*_xlfn.IFS(Настройки!$B$2="M",'Печатные изд.'!C116,Настройки!$B$2="L",'Печатные изд.'!D116,Настройки!$B$2="XL",'Печатные изд.'!E116)</f>
        <v>1</v>
      </c>
      <c r="I116" s="41">
        <f t="shared" si="12"/>
        <v>42</v>
      </c>
      <c r="J116" s="33" t="s">
        <v>516</v>
      </c>
      <c r="K116" s="41" cm="1">
        <f t="array" ref="K116">_xlfn.IFS(J116="Высоконагруженная",Настройки!$B$6,J116="Средне-нагруженная",Настройки!$B$7,J116="Ненагруженная",Настройки!$B$8,J116="Гибкая",Настройки!$B$9)</f>
        <v>1.05</v>
      </c>
      <c r="L116" s="41" cm="1">
        <f t="array" ref="L116">_xlfn.IFS(J116="Высоконагруженная",Настройки!$C$6,J116="Средне-нагруженная",Настройки!$C$7,J116="Ненагруженная",Настройки!$C$8,J116="Гибкая",Настройки!$C$9)/1000</f>
        <v>1</v>
      </c>
      <c r="M116" s="51">
        <f t="shared" si="14"/>
        <v>0</v>
      </c>
      <c r="N116" s="51">
        <f t="shared" si="15"/>
        <v>0</v>
      </c>
      <c r="O116" s="51">
        <f t="shared" si="16"/>
        <v>44.1</v>
      </c>
      <c r="P116" s="51">
        <f t="shared" si="17"/>
        <v>0</v>
      </c>
      <c r="Q116" s="52">
        <f t="shared" si="13"/>
        <v>44.1</v>
      </c>
      <c r="R116" s="44"/>
    </row>
    <row r="117" spans="1:18" ht="15.95" customHeight="1" x14ac:dyDescent="0.25">
      <c r="A117" s="19" t="s">
        <v>336</v>
      </c>
      <c r="B117" s="19" t="s">
        <v>337</v>
      </c>
      <c r="C117" s="33">
        <v>2</v>
      </c>
      <c r="D117" s="33">
        <v>2</v>
      </c>
      <c r="E117" s="33">
        <v>2</v>
      </c>
      <c r="F117" s="33">
        <v>7</v>
      </c>
      <c r="G117" s="33">
        <v>1</v>
      </c>
      <c r="H117" s="33" cm="1">
        <f t="array" ref="H117">G117*_xlfn.IFS(Настройки!$B$2="M",'Печатные изд.'!C117,Настройки!$B$2="L",'Печатные изд.'!D117,Настройки!$B$2="XL",'Печатные изд.'!E117)</f>
        <v>2</v>
      </c>
      <c r="I117" s="41">
        <f t="shared" ref="I117:I124" si="18">F117*H117</f>
        <v>14</v>
      </c>
      <c r="J117" s="33" t="s">
        <v>516</v>
      </c>
      <c r="K117" s="41" cm="1">
        <f t="array" ref="K117">_xlfn.IFS(J117="Высоконагруженная",Настройки!$B$6,J117="Средне-нагруженная",Настройки!$B$7,J117="Ненагруженная",Настройки!$B$8,J117="Гибкая",Настройки!$B$9)</f>
        <v>1.05</v>
      </c>
      <c r="L117" s="41" cm="1">
        <f t="array" ref="L117">_xlfn.IFS(J117="Высоконагруженная",Настройки!$C$6,J117="Средне-нагруженная",Настройки!$C$7,J117="Ненагруженная",Настройки!$C$8,J117="Гибкая",Настройки!$C$9)/1000</f>
        <v>1</v>
      </c>
      <c r="M117" s="51">
        <f t="shared" si="14"/>
        <v>0</v>
      </c>
      <c r="N117" s="51">
        <f t="shared" si="15"/>
        <v>0</v>
      </c>
      <c r="O117" s="51">
        <f t="shared" si="16"/>
        <v>14.700000000000001</v>
      </c>
      <c r="P117" s="51">
        <f t="shared" si="17"/>
        <v>0</v>
      </c>
      <c r="Q117" s="52">
        <f t="shared" ref="Q117:Q124" si="19">SUM(M117:P117)*L117</f>
        <v>14.700000000000001</v>
      </c>
      <c r="R117" s="44"/>
    </row>
    <row r="118" spans="1:18" ht="15.95" customHeight="1" x14ac:dyDescent="0.25">
      <c r="A118" s="19" t="s">
        <v>338</v>
      </c>
      <c r="B118" s="19" t="s">
        <v>339</v>
      </c>
      <c r="C118" s="33">
        <v>1</v>
      </c>
      <c r="D118" s="33">
        <v>1</v>
      </c>
      <c r="E118" s="33">
        <v>1</v>
      </c>
      <c r="F118" s="33">
        <v>2</v>
      </c>
      <c r="G118" s="33">
        <v>1</v>
      </c>
      <c r="H118" s="33" cm="1">
        <f t="array" ref="H118">G118*_xlfn.IFS(Настройки!$B$2="M",'Печатные изд.'!C118,Настройки!$B$2="L",'Печатные изд.'!D118,Настройки!$B$2="XL",'Печатные изд.'!E118)</f>
        <v>1</v>
      </c>
      <c r="I118" s="41">
        <f t="shared" si="18"/>
        <v>2</v>
      </c>
      <c r="J118" s="33" t="s">
        <v>516</v>
      </c>
      <c r="K118" s="41" cm="1">
        <f t="array" ref="K118">_xlfn.IFS(J118="Высоконагруженная",Настройки!$B$6,J118="Средне-нагруженная",Настройки!$B$7,J118="Ненагруженная",Настройки!$B$8,J118="Гибкая",Настройки!$B$9)</f>
        <v>1.05</v>
      </c>
      <c r="L118" s="41" cm="1">
        <f t="array" ref="L118">_xlfn.IFS(J118="Высоконагруженная",Настройки!$C$6,J118="Средне-нагруженная",Настройки!$C$7,J118="Ненагруженная",Настройки!$C$8,J118="Гибкая",Настройки!$C$9)/1000</f>
        <v>1</v>
      </c>
      <c r="M118" s="51">
        <f t="shared" si="14"/>
        <v>0</v>
      </c>
      <c r="N118" s="51">
        <f t="shared" si="15"/>
        <v>0</v>
      </c>
      <c r="O118" s="51">
        <f t="shared" si="16"/>
        <v>2.1</v>
      </c>
      <c r="P118" s="51">
        <f t="shared" si="17"/>
        <v>0</v>
      </c>
      <c r="Q118" s="52">
        <f t="shared" si="19"/>
        <v>2.1</v>
      </c>
      <c r="R118" s="44"/>
    </row>
    <row r="119" spans="1:18" ht="15.95" customHeight="1" x14ac:dyDescent="0.25">
      <c r="A119" s="19" t="s">
        <v>504</v>
      </c>
      <c r="B119" s="19" t="s">
        <v>505</v>
      </c>
      <c r="C119" s="33">
        <v>1</v>
      </c>
      <c r="D119" s="33">
        <v>1</v>
      </c>
      <c r="E119" s="33">
        <v>2</v>
      </c>
      <c r="F119" s="33">
        <v>36</v>
      </c>
      <c r="G119" s="33">
        <v>1</v>
      </c>
      <c r="H119" s="33" cm="1">
        <f t="array" ref="H119">G119*_xlfn.IFS(Настройки!$B$2="M",'Печатные изд.'!C119,Настройки!$B$2="L",'Печатные изд.'!D119,Настройки!$B$2="XL",'Печатные изд.'!E119)</f>
        <v>1</v>
      </c>
      <c r="I119" s="41">
        <f t="shared" si="18"/>
        <v>36</v>
      </c>
      <c r="J119" s="33" t="s">
        <v>515</v>
      </c>
      <c r="K119" s="41" cm="1">
        <f t="array" ref="K119">_xlfn.IFS(J119="Высоконагруженная",Настройки!$B$6,J119="Средне-нагруженная",Настройки!$B$7,J119="Ненагруженная",Настройки!$B$8,J119="Гибкая",Настройки!$B$9)</f>
        <v>1.1499999999999999</v>
      </c>
      <c r="L119" s="41" cm="1">
        <f t="array" ref="L119">_xlfn.IFS(J119="Высоконагруженная",Настройки!$C$6,J119="Средне-нагруженная",Настройки!$C$7,J119="Ненагруженная",Настройки!$C$8,J119="Гибкая",Настройки!$C$9)/1000</f>
        <v>2</v>
      </c>
      <c r="M119" s="51">
        <f t="shared" si="14"/>
        <v>0</v>
      </c>
      <c r="N119" s="51">
        <f t="shared" si="15"/>
        <v>41.4</v>
      </c>
      <c r="O119" s="51">
        <f t="shared" si="16"/>
        <v>0</v>
      </c>
      <c r="P119" s="51">
        <f t="shared" si="17"/>
        <v>0</v>
      </c>
      <c r="Q119" s="52">
        <f t="shared" si="19"/>
        <v>82.8</v>
      </c>
      <c r="R119" s="44"/>
    </row>
    <row r="120" spans="1:18" ht="15.95" customHeight="1" x14ac:dyDescent="0.25">
      <c r="A120" s="19" t="s">
        <v>506</v>
      </c>
      <c r="B120" s="19" t="s">
        <v>507</v>
      </c>
      <c r="C120" s="33">
        <v>3</v>
      </c>
      <c r="D120" s="33">
        <v>3</v>
      </c>
      <c r="E120" s="33">
        <v>6</v>
      </c>
      <c r="F120" s="33">
        <v>1</v>
      </c>
      <c r="G120" s="33">
        <v>1</v>
      </c>
      <c r="H120" s="33" cm="1">
        <f t="array" ref="H120">G120*_xlfn.IFS(Настройки!$B$2="M",'Печатные изд.'!C120,Настройки!$B$2="L",'Печатные изд.'!D120,Настройки!$B$2="XL",'Печатные изд.'!E120)</f>
        <v>3</v>
      </c>
      <c r="I120" s="41">
        <f t="shared" si="18"/>
        <v>3</v>
      </c>
      <c r="J120" s="33" t="s">
        <v>516</v>
      </c>
      <c r="K120" s="41" cm="1">
        <f t="array" ref="K120">_xlfn.IFS(J120="Высоконагруженная",Настройки!$B$6,J120="Средне-нагруженная",Настройки!$B$7,J120="Ненагруженная",Настройки!$B$8,J120="Гибкая",Настройки!$B$9)</f>
        <v>1.05</v>
      </c>
      <c r="L120" s="41" cm="1">
        <f t="array" ref="L120">_xlfn.IFS(J120="Высоконагруженная",Настройки!$C$6,J120="Средне-нагруженная",Настройки!$C$7,J120="Ненагруженная",Настройки!$C$8,J120="Гибкая",Настройки!$C$9)/1000</f>
        <v>1</v>
      </c>
      <c r="M120" s="51">
        <f t="shared" si="14"/>
        <v>0</v>
      </c>
      <c r="N120" s="51">
        <f t="shared" si="15"/>
        <v>0</v>
      </c>
      <c r="O120" s="51">
        <f t="shared" si="16"/>
        <v>3.1500000000000004</v>
      </c>
      <c r="P120" s="51">
        <f t="shared" si="17"/>
        <v>0</v>
      </c>
      <c r="Q120" s="52">
        <f t="shared" si="19"/>
        <v>3.1500000000000004</v>
      </c>
      <c r="R120" s="44"/>
    </row>
    <row r="121" spans="1:18" ht="15.95" customHeight="1" x14ac:dyDescent="0.25">
      <c r="A121" s="19" t="s">
        <v>537</v>
      </c>
      <c r="B121" s="19" t="s">
        <v>538</v>
      </c>
      <c r="C121" s="33">
        <v>1</v>
      </c>
      <c r="D121" s="33">
        <v>1</v>
      </c>
      <c r="E121" s="33">
        <v>1</v>
      </c>
      <c r="F121" s="33">
        <v>7</v>
      </c>
      <c r="G121" s="33">
        <v>1</v>
      </c>
      <c r="H121" s="33" cm="1">
        <f t="array" ref="H121">G121*_xlfn.IFS(Настройки!$B$2="M",'Печатные изд.'!C121,Настройки!$B$2="L",'Печатные изд.'!D121,Настройки!$B$2="XL",'Печатные изд.'!E121)</f>
        <v>1</v>
      </c>
      <c r="I121" s="41">
        <f t="shared" ref="I121" si="20">F121*H121</f>
        <v>7</v>
      </c>
      <c r="J121" s="33" t="s">
        <v>516</v>
      </c>
      <c r="K121" s="41" cm="1">
        <f t="array" ref="K121">_xlfn.IFS(J121="Высоконагруженная",Настройки!$B$6,J121="Средне-нагруженная",Настройки!$B$7,J121="Ненагруженная",Настройки!$B$8,J121="Гибкая",Настройки!$B$9)</f>
        <v>1.05</v>
      </c>
      <c r="L121" s="41" cm="1">
        <f t="array" ref="L121">_xlfn.IFS(J121="Высоконагруженная",Настройки!$C$6,J121="Средне-нагруженная",Настройки!$C$7,J121="Ненагруженная",Настройки!$C$8,J121="Гибкая",Настройки!$C$9)/1000</f>
        <v>1</v>
      </c>
      <c r="M121" s="51">
        <f t="shared" ref="M121" si="21">IF(J121="Высоконагруженная",1,0)*G121*I121*K121</f>
        <v>0</v>
      </c>
      <c r="N121" s="51">
        <f t="shared" ref="N121" si="22">IF(J121="Средне-нагруженная",1,0)*G121*I121*K121</f>
        <v>0</v>
      </c>
      <c r="O121" s="51">
        <f t="shared" ref="O121" si="23">IF(J121="Ненагруженная",1,0)*G121*I121*K121</f>
        <v>7.3500000000000005</v>
      </c>
      <c r="P121" s="51">
        <f t="shared" ref="P121" si="24">IF(J121="Гибкая",1,0)*G121*I121*K121</f>
        <v>0</v>
      </c>
      <c r="Q121" s="52">
        <f t="shared" ref="Q121" si="25">SUM(M121:P121)*L121</f>
        <v>7.3500000000000005</v>
      </c>
      <c r="R121" s="79"/>
    </row>
    <row r="122" spans="1:18" ht="15.95" customHeight="1" x14ac:dyDescent="0.25">
      <c r="A122" s="19" t="s">
        <v>340</v>
      </c>
      <c r="B122" s="19" t="s">
        <v>341</v>
      </c>
      <c r="C122" s="33">
        <v>2</v>
      </c>
      <c r="D122" s="33">
        <v>2</v>
      </c>
      <c r="E122" s="33">
        <v>2</v>
      </c>
      <c r="F122" s="33">
        <v>34</v>
      </c>
      <c r="G122" s="33">
        <v>1</v>
      </c>
      <c r="H122" s="33" cm="1">
        <f t="array" ref="H122">G122*_xlfn.IFS(Настройки!$B$2="M",'Печатные изд.'!C122,Настройки!$B$2="L",'Печатные изд.'!D122,Настройки!$B$2="XL",'Печатные изд.'!E122)</f>
        <v>2</v>
      </c>
      <c r="I122" s="41">
        <f t="shared" si="18"/>
        <v>68</v>
      </c>
      <c r="J122" s="33" t="s">
        <v>516</v>
      </c>
      <c r="K122" s="41" cm="1">
        <f t="array" ref="K122">_xlfn.IFS(J122="Высоконагруженная",Настройки!$B$6,J122="Средне-нагруженная",Настройки!$B$7,J122="Ненагруженная",Настройки!$B$8,J122="Гибкая",Настройки!$B$9)</f>
        <v>1.05</v>
      </c>
      <c r="L122" s="41" cm="1">
        <f t="array" ref="L122">_xlfn.IFS(J122="Высоконагруженная",Настройки!$C$6,J122="Средне-нагруженная",Настройки!$C$7,J122="Ненагруженная",Настройки!$C$8,J122="Гибкая",Настройки!$C$9)/1000</f>
        <v>1</v>
      </c>
      <c r="M122" s="51">
        <f t="shared" si="14"/>
        <v>0</v>
      </c>
      <c r="N122" s="51">
        <f t="shared" si="15"/>
        <v>0</v>
      </c>
      <c r="O122" s="51">
        <f t="shared" si="16"/>
        <v>71.400000000000006</v>
      </c>
      <c r="P122" s="51">
        <f t="shared" si="17"/>
        <v>0</v>
      </c>
      <c r="Q122" s="52">
        <f t="shared" si="19"/>
        <v>71.400000000000006</v>
      </c>
      <c r="R122" s="44" t="s">
        <v>525</v>
      </c>
    </row>
    <row r="123" spans="1:18" ht="15.95" customHeight="1" x14ac:dyDescent="0.25">
      <c r="A123" s="19" t="s">
        <v>342</v>
      </c>
      <c r="B123" s="19" t="s">
        <v>343</v>
      </c>
      <c r="C123" s="33">
        <v>1</v>
      </c>
      <c r="D123" s="33">
        <v>1</v>
      </c>
      <c r="E123" s="33">
        <v>1</v>
      </c>
      <c r="F123" s="33">
        <v>20</v>
      </c>
      <c r="G123" s="33">
        <v>1</v>
      </c>
      <c r="H123" s="33" cm="1">
        <f t="array" ref="H123">G123*_xlfn.IFS(Настройки!$B$2="M",'Печатные изд.'!C123,Настройки!$B$2="L",'Печатные изд.'!D123,Настройки!$B$2="XL",'Печатные изд.'!E123)</f>
        <v>1</v>
      </c>
      <c r="I123" s="41">
        <f t="shared" si="18"/>
        <v>20</v>
      </c>
      <c r="J123" s="33" t="s">
        <v>516</v>
      </c>
      <c r="K123" s="41" cm="1">
        <f t="array" ref="K123">_xlfn.IFS(J123="Высоконагруженная",Настройки!$B$6,J123="Средне-нагруженная",Настройки!$B$7,J123="Ненагруженная",Настройки!$B$8,J123="Гибкая",Настройки!$B$9)</f>
        <v>1.05</v>
      </c>
      <c r="L123" s="41" cm="1">
        <f t="array" ref="L123">_xlfn.IFS(J123="Высоконагруженная",Настройки!$C$6,J123="Средне-нагруженная",Настройки!$C$7,J123="Ненагруженная",Настройки!$C$8,J123="Гибкая",Настройки!$C$9)/1000</f>
        <v>1</v>
      </c>
      <c r="M123" s="51">
        <f t="shared" si="14"/>
        <v>0</v>
      </c>
      <c r="N123" s="51">
        <f t="shared" si="15"/>
        <v>0</v>
      </c>
      <c r="O123" s="51">
        <f t="shared" si="16"/>
        <v>21</v>
      </c>
      <c r="P123" s="51">
        <f t="shared" si="17"/>
        <v>0</v>
      </c>
      <c r="Q123" s="52">
        <f t="shared" si="19"/>
        <v>21</v>
      </c>
      <c r="R123" s="44"/>
    </row>
    <row r="124" spans="1:18" ht="15.95" customHeight="1" x14ac:dyDescent="0.25">
      <c r="A124" s="19" t="s">
        <v>344</v>
      </c>
      <c r="B124" s="19" t="s">
        <v>345</v>
      </c>
      <c r="C124" s="33">
        <v>1</v>
      </c>
      <c r="D124" s="33">
        <v>1</v>
      </c>
      <c r="E124" s="33">
        <v>1</v>
      </c>
      <c r="F124" s="33">
        <v>22</v>
      </c>
      <c r="G124" s="33">
        <v>1</v>
      </c>
      <c r="H124" s="33" cm="1">
        <f t="array" ref="H124">G124*_xlfn.IFS(Настройки!$B$2="M",'Печатные изд.'!C124,Настройки!$B$2="L",'Печатные изд.'!D124,Настройки!$B$2="XL",'Печатные изд.'!E124)</f>
        <v>1</v>
      </c>
      <c r="I124" s="41">
        <f t="shared" si="18"/>
        <v>22</v>
      </c>
      <c r="J124" s="33" t="s">
        <v>516</v>
      </c>
      <c r="K124" s="41" cm="1">
        <f t="array" ref="K124">_xlfn.IFS(J124="Высоконагруженная",Настройки!$B$6,J124="Средне-нагруженная",Настройки!$B$7,J124="Ненагруженная",Настройки!$B$8,J124="Гибкая",Настройки!$B$9)</f>
        <v>1.05</v>
      </c>
      <c r="L124" s="41" cm="1">
        <f t="array" ref="L124">_xlfn.IFS(J124="Высоконагруженная",Настройки!$C$6,J124="Средне-нагруженная",Настройки!$C$7,J124="Ненагруженная",Настройки!$C$8,J124="Гибкая",Настройки!$C$9)/1000</f>
        <v>1</v>
      </c>
      <c r="M124" s="51">
        <f t="shared" si="14"/>
        <v>0</v>
      </c>
      <c r="N124" s="51">
        <f t="shared" si="15"/>
        <v>0</v>
      </c>
      <c r="O124" s="51">
        <f t="shared" si="16"/>
        <v>23.1</v>
      </c>
      <c r="P124" s="51">
        <f t="shared" si="17"/>
        <v>0</v>
      </c>
      <c r="Q124" s="52">
        <f t="shared" si="19"/>
        <v>23.1</v>
      </c>
      <c r="R124" s="44"/>
    </row>
    <row r="125" spans="1:18" ht="15.95" customHeight="1" x14ac:dyDescent="0.25">
      <c r="A125" s="19" t="s">
        <v>539</v>
      </c>
      <c r="B125" s="19" t="s">
        <v>540</v>
      </c>
      <c r="C125" s="33">
        <v>1</v>
      </c>
      <c r="D125" s="33">
        <v>1</v>
      </c>
      <c r="E125" s="33">
        <v>1</v>
      </c>
      <c r="F125" s="33">
        <v>41</v>
      </c>
      <c r="G125" s="33">
        <v>1</v>
      </c>
      <c r="H125" s="33" cm="1">
        <f t="array" ref="H125">G125*_xlfn.IFS(Настройки!$B$2="M",'Печатные изд.'!C125,Настройки!$B$2="L",'Печатные изд.'!D125,Настройки!$B$2="XL",'Печатные изд.'!E125)</f>
        <v>1</v>
      </c>
      <c r="I125" s="41">
        <f t="shared" ref="I125" si="26">F125*H125</f>
        <v>41</v>
      </c>
      <c r="J125" s="33" t="s">
        <v>516</v>
      </c>
      <c r="K125" s="41" cm="1">
        <f t="array" ref="K125">_xlfn.IFS(J125="Высоконагруженная",Настройки!$B$6,J125="Средне-нагруженная",Настройки!$B$7,J125="Ненагруженная",Настройки!$B$8,J125="Гибкая",Настройки!$B$9)</f>
        <v>1.05</v>
      </c>
      <c r="L125" s="41" cm="1">
        <f t="array" ref="L125">_xlfn.IFS(J125="Высоконагруженная",Настройки!$C$6,J125="Средне-нагруженная",Настройки!$C$7,J125="Ненагруженная",Настройки!$C$8,J125="Гибкая",Настройки!$C$9)/1000</f>
        <v>1</v>
      </c>
      <c r="M125" s="51">
        <f t="shared" ref="M125" si="27">IF(J125="Высоконагруженная",1,0)*G125*I125*K125</f>
        <v>0</v>
      </c>
      <c r="N125" s="51">
        <f t="shared" ref="N125" si="28">IF(J125="Средне-нагруженная",1,0)*G125*I125*K125</f>
        <v>0</v>
      </c>
      <c r="O125" s="51">
        <f t="shared" ref="O125" si="29">IF(J125="Ненагруженная",1,0)*G125*I125*K125</f>
        <v>43.050000000000004</v>
      </c>
      <c r="P125" s="51">
        <f t="shared" ref="P125" si="30">IF(J125="Гибкая",1,0)*G125*I125*K125</f>
        <v>0</v>
      </c>
      <c r="Q125" s="52">
        <f t="shared" ref="Q125" si="31">SUM(M125:P125)*L125</f>
        <v>43.050000000000004</v>
      </c>
      <c r="R125" s="79"/>
    </row>
  </sheetData>
  <mergeCells count="16">
    <mergeCell ref="R76:R77"/>
    <mergeCell ref="H1:H2"/>
    <mergeCell ref="I1:I2"/>
    <mergeCell ref="J1:J2"/>
    <mergeCell ref="K1:K2"/>
    <mergeCell ref="R25:R26"/>
    <mergeCell ref="Q1:Q2"/>
    <mergeCell ref="R1:R2"/>
    <mergeCell ref="L1:L2"/>
    <mergeCell ref="M1:P1"/>
    <mergeCell ref="R17:R18"/>
    <mergeCell ref="A1:A2"/>
    <mergeCell ref="B1:B2"/>
    <mergeCell ref="C1:E1"/>
    <mergeCell ref="F1:F2"/>
    <mergeCell ref="G1:G2"/>
  </mergeCells>
  <dataValidations count="2">
    <dataValidation operator="equal" allowBlank="1" showErrorMessage="1" sqref="A1:B1 C1:C2 D2:E2 F1:L1 M1:M2 N2:P2 Q1:R1" xr:uid="{00000000-0002-0000-0300-000000000000}">
      <formula1>0</formula1>
      <formula2>0</formula2>
    </dataValidation>
    <dataValidation type="list" operator="equal" allowBlank="1" showErrorMessage="1" sqref="J3:J125" xr:uid="{86BF0902-52DE-480D-8EF2-D3F0F0E5FB01}">
      <formula1>"Высоконагруженная,Средне-нагруженная,Ненагруженная,Гибкая"</formula1>
    </dataValidation>
  </dataValidation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Лист5"/>
  <dimension ref="A1:P13"/>
  <sheetViews>
    <sheetView zoomScaleNormal="100" workbookViewId="0">
      <selection activeCell="B10" sqref="B10"/>
    </sheetView>
  </sheetViews>
  <sheetFormatPr defaultColWidth="10.625" defaultRowHeight="13.5" x14ac:dyDescent="0.25"/>
  <cols>
    <col min="1" max="1" width="14.25" customWidth="1"/>
    <col min="2" max="2" width="40.375" customWidth="1"/>
    <col min="3" max="3" width="23.5" customWidth="1"/>
    <col min="4" max="4" width="8" hidden="1" customWidth="1"/>
    <col min="5" max="5" width="7.625" hidden="1" customWidth="1"/>
    <col min="6" max="6" width="8.125" hidden="1" customWidth="1"/>
    <col min="7" max="7" width="9.5" customWidth="1"/>
    <col min="8" max="8" width="8.75" hidden="1" customWidth="1"/>
    <col min="9" max="9" width="8.875" hidden="1" customWidth="1"/>
    <col min="10" max="10" width="9.375" hidden="1" customWidth="1"/>
    <col min="11" max="11" width="6.75" customWidth="1"/>
    <col min="12" max="12" width="8" hidden="1" customWidth="1"/>
    <col min="13" max="13" width="12.25" hidden="1" customWidth="1"/>
    <col min="14" max="14" width="9.625" hidden="1" customWidth="1"/>
    <col min="15" max="15" width="10.75" customWidth="1"/>
  </cols>
  <sheetData>
    <row r="1" spans="1:16" ht="16.5" x14ac:dyDescent="0.3">
      <c r="A1" s="54" t="s">
        <v>143</v>
      </c>
      <c r="B1" s="55" t="s">
        <v>32</v>
      </c>
      <c r="C1" s="55" t="s">
        <v>346</v>
      </c>
      <c r="D1" s="55" t="s">
        <v>347</v>
      </c>
      <c r="E1" s="55" t="s">
        <v>348</v>
      </c>
      <c r="F1" s="55" t="s">
        <v>349</v>
      </c>
      <c r="G1" s="55" t="s">
        <v>350</v>
      </c>
      <c r="H1" s="55" t="s">
        <v>107</v>
      </c>
      <c r="I1" s="55" t="s">
        <v>108</v>
      </c>
      <c r="J1" s="55" t="s">
        <v>109</v>
      </c>
      <c r="K1" s="55" t="s">
        <v>111</v>
      </c>
      <c r="L1" s="55" t="s">
        <v>351</v>
      </c>
      <c r="M1" s="55" t="s">
        <v>352</v>
      </c>
      <c r="N1" s="55" t="s">
        <v>353</v>
      </c>
      <c r="O1" s="55" t="s">
        <v>354</v>
      </c>
      <c r="P1" s="55" t="s">
        <v>112</v>
      </c>
    </row>
    <row r="2" spans="1:16" ht="16.5" x14ac:dyDescent="0.3">
      <c r="A2" s="56" t="s">
        <v>355</v>
      </c>
      <c r="B2" s="56" t="s">
        <v>356</v>
      </c>
      <c r="C2" s="57" t="s">
        <v>357</v>
      </c>
      <c r="D2" s="58">
        <v>450</v>
      </c>
      <c r="E2" s="58">
        <v>600</v>
      </c>
      <c r="F2" s="58">
        <v>700</v>
      </c>
      <c r="G2" s="59">
        <f>_xlfn.IFS(Настройки!$B$2="M",D2,Настройки!$B$2="L",E2,Настройки!$B$2="XL",F2)</f>
        <v>450</v>
      </c>
      <c r="H2" s="57">
        <v>2</v>
      </c>
      <c r="I2" s="57">
        <v>2</v>
      </c>
      <c r="J2" s="57">
        <v>2</v>
      </c>
      <c r="K2" s="60">
        <f>_xlfn.IFS(Настройки!$B$2="M",H2,Настройки!$B$2="L",I2,Настройки!$B$2="XL",J2)</f>
        <v>2</v>
      </c>
      <c r="L2" s="57">
        <f>994/1000</f>
        <v>0.99399999999999999</v>
      </c>
      <c r="M2" s="57">
        <f t="shared" ref="M2:M13" si="0">K2+1</f>
        <v>3</v>
      </c>
      <c r="N2" s="57">
        <v>40</v>
      </c>
      <c r="O2" s="61">
        <f t="shared" ref="O2:O13" si="1">G2*L2*K2+M2*N2</f>
        <v>1014.6</v>
      </c>
      <c r="P2" s="62" t="s">
        <v>358</v>
      </c>
    </row>
    <row r="3" spans="1:16" ht="16.5" x14ac:dyDescent="0.3">
      <c r="A3" s="56" t="s">
        <v>359</v>
      </c>
      <c r="B3" s="56" t="s">
        <v>360</v>
      </c>
      <c r="C3" s="57" t="s">
        <v>361</v>
      </c>
      <c r="D3" s="58">
        <v>650</v>
      </c>
      <c r="E3" s="58">
        <v>650</v>
      </c>
      <c r="F3" s="58">
        <v>750</v>
      </c>
      <c r="G3" s="59">
        <f>_xlfn.IFS(Настройки!$B$2="M",D3,Настройки!$B$2="L",E3,Настройки!$B$2="XL",F3)</f>
        <v>650</v>
      </c>
      <c r="H3" s="57">
        <v>2</v>
      </c>
      <c r="I3" s="57">
        <v>2</v>
      </c>
      <c r="J3" s="57">
        <v>2</v>
      </c>
      <c r="K3" s="60">
        <f>_xlfn.IFS(Настройки!$B$2="M",H3,Настройки!$B$2="L",I3,Настройки!$B$2="XL",J3)</f>
        <v>2</v>
      </c>
      <c r="L3" s="57">
        <f>0.458</f>
        <v>0.45800000000000002</v>
      </c>
      <c r="M3" s="57">
        <f t="shared" si="0"/>
        <v>3</v>
      </c>
      <c r="N3" s="57">
        <v>40</v>
      </c>
      <c r="O3" s="61">
        <f t="shared" si="1"/>
        <v>715.4</v>
      </c>
      <c r="P3" s="62" t="s">
        <v>358</v>
      </c>
    </row>
    <row r="4" spans="1:16" ht="16.5" x14ac:dyDescent="0.3">
      <c r="A4" s="56" t="s">
        <v>362</v>
      </c>
      <c r="B4" s="56" t="s">
        <v>363</v>
      </c>
      <c r="C4" s="57" t="s">
        <v>361</v>
      </c>
      <c r="D4" s="58">
        <v>530</v>
      </c>
      <c r="E4" s="58">
        <v>530</v>
      </c>
      <c r="F4" s="58">
        <v>630</v>
      </c>
      <c r="G4" s="59">
        <f>_xlfn.IFS(Настройки!$B$2="M",D4,Настройки!$B$2="L",E4,Настройки!$B$2="XL",F4)</f>
        <v>530</v>
      </c>
      <c r="H4" s="57">
        <v>1</v>
      </c>
      <c r="I4" s="57">
        <v>1</v>
      </c>
      <c r="J4" s="57">
        <v>1</v>
      </c>
      <c r="K4" s="60">
        <f>_xlfn.IFS(Настройки!$B$2="M",H4,Настройки!$B$2="L",I4,Настройки!$B$2="XL",J4)</f>
        <v>1</v>
      </c>
      <c r="L4" s="57">
        <f>0.458</f>
        <v>0.45800000000000002</v>
      </c>
      <c r="M4" s="57">
        <f t="shared" si="0"/>
        <v>2</v>
      </c>
      <c r="N4" s="57">
        <v>40</v>
      </c>
      <c r="O4" s="61">
        <f t="shared" si="1"/>
        <v>322.74</v>
      </c>
      <c r="P4" s="62" t="s">
        <v>358</v>
      </c>
    </row>
    <row r="5" spans="1:16" ht="16.5" x14ac:dyDescent="0.3">
      <c r="A5" s="56" t="s">
        <v>364</v>
      </c>
      <c r="B5" s="56" t="s">
        <v>365</v>
      </c>
      <c r="C5" s="57" t="s">
        <v>361</v>
      </c>
      <c r="D5" s="58">
        <v>470</v>
      </c>
      <c r="E5" s="58">
        <v>620</v>
      </c>
      <c r="F5" s="58">
        <v>720</v>
      </c>
      <c r="G5" s="59">
        <f>_xlfn.IFS(Настройки!$B$2="M",D5,Настройки!$B$2="L",E5,Настройки!$B$2="XL",F5)</f>
        <v>470</v>
      </c>
      <c r="H5" s="57">
        <v>4</v>
      </c>
      <c r="I5" s="57">
        <v>4</v>
      </c>
      <c r="J5" s="57">
        <v>4</v>
      </c>
      <c r="K5" s="60">
        <f>_xlfn.IFS(Настройки!$B$2="M",H5,Настройки!$B$2="L",I5,Настройки!$B$2="XL",J5)</f>
        <v>4</v>
      </c>
      <c r="L5" s="57">
        <f>0.458</f>
        <v>0.45800000000000002</v>
      </c>
      <c r="M5" s="57">
        <f t="shared" si="0"/>
        <v>5</v>
      </c>
      <c r="N5" s="57">
        <v>40</v>
      </c>
      <c r="O5" s="61">
        <f t="shared" si="1"/>
        <v>1061.04</v>
      </c>
      <c r="P5" s="62" t="s">
        <v>358</v>
      </c>
    </row>
    <row r="6" spans="1:16" ht="16.5" x14ac:dyDescent="0.3">
      <c r="A6" s="56" t="s">
        <v>366</v>
      </c>
      <c r="B6" s="56" t="s">
        <v>367</v>
      </c>
      <c r="C6" s="57" t="s">
        <v>368</v>
      </c>
      <c r="D6" s="58">
        <v>420</v>
      </c>
      <c r="E6" s="58">
        <v>570</v>
      </c>
      <c r="F6" s="58">
        <v>670</v>
      </c>
      <c r="G6" s="59">
        <f>_xlfn.IFS(Настройки!$B$2="M",D6,Настройки!$B$2="L",E6,Настройки!$B$2="XL",F6)</f>
        <v>420</v>
      </c>
      <c r="H6" s="57">
        <v>2</v>
      </c>
      <c r="I6" s="57">
        <v>4</v>
      </c>
      <c r="J6" s="57">
        <v>4</v>
      </c>
      <c r="K6" s="60">
        <f>_xlfn.IFS(Настройки!$B$2="M",H6,Настройки!$B$2="L",I6,Настройки!$B$2="XL",J6)</f>
        <v>2</v>
      </c>
      <c r="L6" s="57">
        <v>0.38800000000000001</v>
      </c>
      <c r="M6" s="57">
        <f t="shared" si="0"/>
        <v>3</v>
      </c>
      <c r="N6" s="57">
        <v>40</v>
      </c>
      <c r="O6" s="61">
        <f t="shared" si="1"/>
        <v>445.92</v>
      </c>
      <c r="P6" s="62" t="s">
        <v>358</v>
      </c>
    </row>
    <row r="7" spans="1:16" ht="16.5" x14ac:dyDescent="0.3">
      <c r="A7" s="56" t="s">
        <v>369</v>
      </c>
      <c r="B7" s="56" t="s">
        <v>370</v>
      </c>
      <c r="C7" s="57" t="s">
        <v>361</v>
      </c>
      <c r="D7" s="58">
        <v>420</v>
      </c>
      <c r="E7" s="58">
        <v>570</v>
      </c>
      <c r="F7" s="58">
        <v>670</v>
      </c>
      <c r="G7" s="59">
        <f>_xlfn.IFS(Настройки!$B$2="M",D7,Настройки!$B$2="L",E7,Настройки!$B$2="XL",F7)</f>
        <v>420</v>
      </c>
      <c r="H7" s="57">
        <v>2</v>
      </c>
      <c r="I7" s="57">
        <v>2</v>
      </c>
      <c r="J7" s="57">
        <v>2</v>
      </c>
      <c r="K7" s="60">
        <f>_xlfn.IFS(Настройки!$B$2="M",H7,Настройки!$B$2="L",I7,Настройки!$B$2="XL",J7)</f>
        <v>2</v>
      </c>
      <c r="L7" s="57">
        <f t="shared" ref="L7:L12" si="2">0.458</f>
        <v>0.45800000000000002</v>
      </c>
      <c r="M7" s="57">
        <f t="shared" si="0"/>
        <v>3</v>
      </c>
      <c r="N7" s="57">
        <v>40</v>
      </c>
      <c r="O7" s="61">
        <f t="shared" si="1"/>
        <v>504.72</v>
      </c>
      <c r="P7" s="62" t="s">
        <v>358</v>
      </c>
    </row>
    <row r="8" spans="1:16" ht="16.5" x14ac:dyDescent="0.3">
      <c r="A8" s="56" t="s">
        <v>371</v>
      </c>
      <c r="B8" s="56" t="s">
        <v>372</v>
      </c>
      <c r="C8" s="57" t="s">
        <v>361</v>
      </c>
      <c r="D8" s="58">
        <v>450</v>
      </c>
      <c r="E8" s="58">
        <v>600</v>
      </c>
      <c r="F8" s="58">
        <v>700</v>
      </c>
      <c r="G8" s="59">
        <f>_xlfn.IFS(Настройки!$B$2="M",D8,Настройки!$B$2="L",E8,Настройки!$B$2="XL",F8)</f>
        <v>450</v>
      </c>
      <c r="H8" s="57">
        <v>2</v>
      </c>
      <c r="I8" s="57">
        <v>2</v>
      </c>
      <c r="J8" s="57">
        <v>2</v>
      </c>
      <c r="K8" s="60">
        <f>_xlfn.IFS(Настройки!$B$2="M",H8,Настройки!$B$2="L",I8,Настройки!$B$2="XL",J8)</f>
        <v>2</v>
      </c>
      <c r="L8" s="57">
        <f t="shared" si="2"/>
        <v>0.45800000000000002</v>
      </c>
      <c r="M8" s="57">
        <f t="shared" si="0"/>
        <v>3</v>
      </c>
      <c r="N8" s="57">
        <v>40</v>
      </c>
      <c r="O8" s="61">
        <f t="shared" si="1"/>
        <v>532.20000000000005</v>
      </c>
      <c r="P8" s="62" t="s">
        <v>358</v>
      </c>
    </row>
    <row r="9" spans="1:16" ht="16.5" x14ac:dyDescent="0.3">
      <c r="A9" s="56" t="s">
        <v>373</v>
      </c>
      <c r="B9" s="56" t="s">
        <v>374</v>
      </c>
      <c r="C9" s="57" t="s">
        <v>361</v>
      </c>
      <c r="D9" s="58">
        <v>610</v>
      </c>
      <c r="E9" s="58">
        <v>610</v>
      </c>
      <c r="F9" s="58">
        <v>710</v>
      </c>
      <c r="G9" s="59">
        <f>_xlfn.IFS(Настройки!$B$2="M",D9,Настройки!$B$2="L",E9,Настройки!$B$2="XL",F9)</f>
        <v>610</v>
      </c>
      <c r="H9" s="57">
        <v>3</v>
      </c>
      <c r="I9" s="57">
        <v>3</v>
      </c>
      <c r="J9" s="57">
        <v>3</v>
      </c>
      <c r="K9" s="60">
        <f>_xlfn.IFS(Настройки!$B$2="M",H9,Настройки!$B$2="L",I9,Настройки!$B$2="XL",J9)</f>
        <v>3</v>
      </c>
      <c r="L9" s="57">
        <f t="shared" si="2"/>
        <v>0.45800000000000002</v>
      </c>
      <c r="M9" s="57">
        <f t="shared" si="0"/>
        <v>4</v>
      </c>
      <c r="N9" s="57">
        <v>40</v>
      </c>
      <c r="O9" s="61">
        <f t="shared" si="1"/>
        <v>998.14</v>
      </c>
      <c r="P9" s="62" t="s">
        <v>358</v>
      </c>
    </row>
    <row r="10" spans="1:16" ht="16.5" x14ac:dyDescent="0.3">
      <c r="A10" s="56" t="s">
        <v>375</v>
      </c>
      <c r="B10" s="56" t="s">
        <v>376</v>
      </c>
      <c r="C10" s="57" t="s">
        <v>361</v>
      </c>
      <c r="D10" s="58">
        <v>500</v>
      </c>
      <c r="E10" s="58">
        <v>500</v>
      </c>
      <c r="F10" s="58">
        <v>600</v>
      </c>
      <c r="G10" s="59">
        <f>_xlfn.IFS(Настройки!$B$2="M",D10,Настройки!$B$2="L",E10,Настройки!$B$2="XL",F10)</f>
        <v>500</v>
      </c>
      <c r="H10" s="57">
        <v>2</v>
      </c>
      <c r="I10" s="57">
        <v>2</v>
      </c>
      <c r="J10" s="57">
        <v>2</v>
      </c>
      <c r="K10" s="60">
        <f>_xlfn.IFS(Настройки!$B$2="M",H10,Настройки!$B$2="L",I10,Настройки!$B$2="XL",J10)</f>
        <v>2</v>
      </c>
      <c r="L10" s="57">
        <f t="shared" si="2"/>
        <v>0.45800000000000002</v>
      </c>
      <c r="M10" s="57">
        <f t="shared" si="0"/>
        <v>3</v>
      </c>
      <c r="N10" s="57">
        <v>40</v>
      </c>
      <c r="O10" s="61">
        <f t="shared" si="1"/>
        <v>578</v>
      </c>
      <c r="P10" s="62" t="s">
        <v>358</v>
      </c>
    </row>
    <row r="11" spans="1:16" ht="16.5" x14ac:dyDescent="0.3">
      <c r="A11" s="56" t="s">
        <v>377</v>
      </c>
      <c r="B11" s="56" t="s">
        <v>378</v>
      </c>
      <c r="C11" s="57" t="s">
        <v>361</v>
      </c>
      <c r="D11" s="58">
        <v>170</v>
      </c>
      <c r="E11" s="58">
        <v>320</v>
      </c>
      <c r="F11" s="58">
        <v>420</v>
      </c>
      <c r="G11" s="59">
        <f>_xlfn.IFS(Настройки!$B$2="M",D11,Настройки!$B$2="L",E11,Настройки!$B$2="XL",F11)</f>
        <v>170</v>
      </c>
      <c r="H11" s="57">
        <v>2</v>
      </c>
      <c r="I11" s="57">
        <v>2</v>
      </c>
      <c r="J11" s="57">
        <v>2</v>
      </c>
      <c r="K11" s="60">
        <f>_xlfn.IFS(Настройки!$B$2="M",H11,Настройки!$B$2="L",I11,Настройки!$B$2="XL",J11)</f>
        <v>2</v>
      </c>
      <c r="L11" s="57">
        <f t="shared" si="2"/>
        <v>0.45800000000000002</v>
      </c>
      <c r="M11" s="57">
        <f t="shared" si="0"/>
        <v>3</v>
      </c>
      <c r="N11" s="57">
        <v>40</v>
      </c>
      <c r="O11" s="61">
        <f t="shared" si="1"/>
        <v>275.72000000000003</v>
      </c>
      <c r="P11" s="62" t="s">
        <v>358</v>
      </c>
    </row>
    <row r="12" spans="1:16" ht="16.5" x14ac:dyDescent="0.3">
      <c r="A12" s="56" t="s">
        <v>379</v>
      </c>
      <c r="B12" s="56" t="s">
        <v>380</v>
      </c>
      <c r="C12" s="57" t="s">
        <v>361</v>
      </c>
      <c r="D12" s="58">
        <v>320</v>
      </c>
      <c r="E12" s="58">
        <v>470</v>
      </c>
      <c r="F12" s="58">
        <v>570</v>
      </c>
      <c r="G12" s="59">
        <f>_xlfn.IFS(Настройки!$B$2="M",D12,Настройки!$B$2="L",E12,Настройки!$B$2="XL",F12)</f>
        <v>320</v>
      </c>
      <c r="H12" s="57">
        <v>3</v>
      </c>
      <c r="I12" s="57">
        <v>3</v>
      </c>
      <c r="J12" s="57">
        <v>3</v>
      </c>
      <c r="K12" s="60">
        <f>_xlfn.IFS(Настройки!$B$2="M",H12,Настройки!$B$2="L",I12,Настройки!$B$2="XL",J12)</f>
        <v>3</v>
      </c>
      <c r="L12" s="57">
        <f t="shared" si="2"/>
        <v>0.45800000000000002</v>
      </c>
      <c r="M12" s="57">
        <f t="shared" si="0"/>
        <v>4</v>
      </c>
      <c r="N12" s="57">
        <v>40</v>
      </c>
      <c r="O12" s="61">
        <f t="shared" si="1"/>
        <v>599.68000000000006</v>
      </c>
      <c r="P12" s="62" t="s">
        <v>358</v>
      </c>
    </row>
    <row r="13" spans="1:16" ht="16.5" x14ac:dyDescent="0.3">
      <c r="A13" s="56" t="s">
        <v>381</v>
      </c>
      <c r="B13" s="56" t="s">
        <v>382</v>
      </c>
      <c r="C13" s="57" t="s">
        <v>383</v>
      </c>
      <c r="D13" s="58">
        <v>220</v>
      </c>
      <c r="E13" s="58">
        <v>220</v>
      </c>
      <c r="F13" s="58">
        <v>220</v>
      </c>
      <c r="G13" s="59">
        <f>_xlfn.IFS(Настройки!$B$2="M",D13,Настройки!$B$2="L",E13,Настройки!$B$2="XL",F13)</f>
        <v>220</v>
      </c>
      <c r="H13" s="57">
        <v>2</v>
      </c>
      <c r="I13" s="57">
        <v>2</v>
      </c>
      <c r="J13" s="57">
        <v>2</v>
      </c>
      <c r="K13" s="60">
        <f>_xlfn.IFS(Настройки!$B$2="M",H13,Настройки!$B$2="L",I13,Настройки!$B$2="XL",J13)</f>
        <v>2</v>
      </c>
      <c r="L13" s="57">
        <v>0.439</v>
      </c>
      <c r="M13" s="57">
        <f t="shared" si="0"/>
        <v>3</v>
      </c>
      <c r="N13" s="57">
        <v>40</v>
      </c>
      <c r="O13" s="61">
        <f t="shared" si="1"/>
        <v>313.15999999999997</v>
      </c>
      <c r="P13" s="62" t="s">
        <v>358</v>
      </c>
    </row>
  </sheetData>
  <dataValidations count="2">
    <dataValidation operator="equal" allowBlank="1" showErrorMessage="1" sqref="A1:P13" xr:uid="{00000000-0002-0000-0400-000000000000}">
      <formula1>0</formula1>
      <formula2>0</formula2>
    </dataValidation>
    <dataValidation type="list" operator="equal" allowBlank="1" showErrorMessage="1" sqref="C14:C25" xr:uid="{00000000-0002-0000-0400-000001000000}">
      <formula1>"2020 T-slot,2020 V-slot,2060 T-slot"</formula1>
      <formula2>0</formula2>
    </dataValidation>
  </dataValidations>
  <hyperlinks>
    <hyperlink ref="P2" r:id="rId1" xr:uid="{00000000-0004-0000-0400-000000000000}"/>
    <hyperlink ref="P3" r:id="rId2" xr:uid="{00000000-0004-0000-0400-000001000000}"/>
    <hyperlink ref="P4" r:id="rId3" xr:uid="{00000000-0004-0000-0400-000002000000}"/>
    <hyperlink ref="P5" r:id="rId4" xr:uid="{00000000-0004-0000-0400-000003000000}"/>
    <hyperlink ref="P6" r:id="rId5" xr:uid="{00000000-0004-0000-0400-000004000000}"/>
    <hyperlink ref="P7" r:id="rId6" xr:uid="{00000000-0004-0000-0400-000005000000}"/>
    <hyperlink ref="P8" r:id="rId7" xr:uid="{00000000-0004-0000-0400-000006000000}"/>
    <hyperlink ref="P9" r:id="rId8" xr:uid="{00000000-0004-0000-0400-000007000000}"/>
    <hyperlink ref="P10" r:id="rId9" xr:uid="{00000000-0004-0000-0400-000008000000}"/>
    <hyperlink ref="P11" r:id="rId10" xr:uid="{00000000-0004-0000-0400-000009000000}"/>
    <hyperlink ref="P12" r:id="rId11" xr:uid="{00000000-0004-0000-0400-00000A000000}"/>
    <hyperlink ref="P13" r:id="rId12" xr:uid="{00000000-0004-0000-0400-00000B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Лист7"/>
  <dimension ref="A1:J13"/>
  <sheetViews>
    <sheetView zoomScaleNormal="100" workbookViewId="0">
      <selection activeCell="J8" sqref="J8:J10"/>
    </sheetView>
  </sheetViews>
  <sheetFormatPr defaultColWidth="10.625" defaultRowHeight="13.5" x14ac:dyDescent="0.25"/>
  <cols>
    <col min="1" max="1" width="13.375" style="3" customWidth="1"/>
    <col min="2" max="2" width="32.25" style="3" customWidth="1"/>
    <col min="3" max="3" width="14.875" style="4" customWidth="1"/>
    <col min="4" max="4" width="10.625" style="4"/>
    <col min="5" max="7" width="10.625" style="4" hidden="1"/>
    <col min="8" max="9" width="10.625" style="4"/>
    <col min="10" max="10" width="59.75" style="5" customWidth="1"/>
    <col min="11" max="16384" width="10.625" style="3"/>
  </cols>
  <sheetData>
    <row r="1" spans="1:10" ht="16.5" x14ac:dyDescent="0.25">
      <c r="A1" s="63" t="s">
        <v>143</v>
      </c>
      <c r="B1" s="63" t="s">
        <v>32</v>
      </c>
      <c r="C1" s="16" t="s">
        <v>147</v>
      </c>
      <c r="D1" s="16" t="s">
        <v>111</v>
      </c>
      <c r="E1" s="16" t="s">
        <v>413</v>
      </c>
      <c r="F1" s="16" t="s">
        <v>414</v>
      </c>
      <c r="G1" s="16" t="s">
        <v>415</v>
      </c>
      <c r="H1" s="16" t="s">
        <v>38</v>
      </c>
      <c r="I1" s="16" t="s">
        <v>112</v>
      </c>
      <c r="J1" s="64" t="s">
        <v>1</v>
      </c>
    </row>
    <row r="2" spans="1:10" ht="16.5" x14ac:dyDescent="0.25">
      <c r="A2" s="88" t="s">
        <v>416</v>
      </c>
      <c r="B2" s="88"/>
      <c r="C2" s="88"/>
      <c r="D2" s="88"/>
      <c r="E2" s="88"/>
      <c r="F2" s="88"/>
      <c r="G2" s="88"/>
      <c r="H2" s="88"/>
      <c r="I2" s="88"/>
      <c r="J2" s="88"/>
    </row>
    <row r="3" spans="1:10" ht="12.75" customHeight="1" x14ac:dyDescent="0.25">
      <c r="A3" s="19" t="s">
        <v>417</v>
      </c>
      <c r="B3" s="19" t="s">
        <v>418</v>
      </c>
      <c r="C3" s="34" t="s">
        <v>419</v>
      </c>
      <c r="D3" s="34">
        <v>1</v>
      </c>
      <c r="E3" s="95">
        <v>10150</v>
      </c>
      <c r="F3" s="95">
        <v>12760</v>
      </c>
      <c r="G3" s="95">
        <v>16990</v>
      </c>
      <c r="H3" s="95">
        <v>10150</v>
      </c>
      <c r="I3" s="36" t="s">
        <v>75</v>
      </c>
      <c r="J3" s="108" t="s">
        <v>420</v>
      </c>
    </row>
    <row r="4" spans="1:10" ht="16.5" x14ac:dyDescent="0.25">
      <c r="A4" s="19" t="s">
        <v>421</v>
      </c>
      <c r="B4" s="19" t="s">
        <v>422</v>
      </c>
      <c r="C4" s="34" t="s">
        <v>419</v>
      </c>
      <c r="D4" s="34">
        <v>2</v>
      </c>
      <c r="E4" s="95"/>
      <c r="F4" s="95"/>
      <c r="G4" s="95"/>
      <c r="H4" s="95"/>
      <c r="I4" s="36" t="s">
        <v>75</v>
      </c>
      <c r="J4" s="108"/>
    </row>
    <row r="5" spans="1:10" ht="16.5" x14ac:dyDescent="0.25">
      <c r="A5" s="19" t="s">
        <v>423</v>
      </c>
      <c r="B5" s="19" t="s">
        <v>424</v>
      </c>
      <c r="C5" s="34" t="s">
        <v>419</v>
      </c>
      <c r="D5" s="34">
        <v>1</v>
      </c>
      <c r="E5" s="95"/>
      <c r="F5" s="95"/>
      <c r="G5" s="95"/>
      <c r="H5" s="95"/>
      <c r="I5" s="36" t="s">
        <v>75</v>
      </c>
      <c r="J5" s="108"/>
    </row>
    <row r="6" spans="1:10" ht="16.5" x14ac:dyDescent="0.25">
      <c r="A6" s="88" t="s">
        <v>425</v>
      </c>
      <c r="B6" s="88"/>
      <c r="C6" s="88"/>
      <c r="D6" s="88"/>
      <c r="E6" s="88"/>
      <c r="F6" s="88"/>
      <c r="G6" s="88"/>
      <c r="H6" s="88"/>
      <c r="I6" s="88"/>
      <c r="J6" s="88"/>
    </row>
    <row r="7" spans="1:10" ht="16.5" x14ac:dyDescent="0.25">
      <c r="A7" s="19" t="s">
        <v>426</v>
      </c>
      <c r="B7" s="19" t="s">
        <v>427</v>
      </c>
      <c r="C7" s="34" t="s">
        <v>428</v>
      </c>
      <c r="D7" s="34">
        <v>2</v>
      </c>
      <c r="E7" s="95">
        <v>10400</v>
      </c>
      <c r="F7" s="95">
        <v>13640</v>
      </c>
      <c r="G7" s="95">
        <v>17200</v>
      </c>
      <c r="H7" s="95">
        <v>10400</v>
      </c>
      <c r="I7" s="36" t="s">
        <v>75</v>
      </c>
      <c r="J7" s="65"/>
    </row>
    <row r="8" spans="1:10" ht="16.5" x14ac:dyDescent="0.25">
      <c r="A8" s="19" t="s">
        <v>429</v>
      </c>
      <c r="B8" s="19" t="s">
        <v>430</v>
      </c>
      <c r="C8" s="34" t="s">
        <v>428</v>
      </c>
      <c r="D8" s="34">
        <v>1</v>
      </c>
      <c r="E8" s="95"/>
      <c r="F8" s="95"/>
      <c r="G8" s="95"/>
      <c r="H8" s="95"/>
      <c r="I8" s="36" t="s">
        <v>75</v>
      </c>
      <c r="J8" s="108" t="s">
        <v>431</v>
      </c>
    </row>
    <row r="9" spans="1:10" ht="16.5" x14ac:dyDescent="0.25">
      <c r="A9" s="19" t="s">
        <v>432</v>
      </c>
      <c r="B9" s="19" t="s">
        <v>433</v>
      </c>
      <c r="C9" s="34" t="s">
        <v>428</v>
      </c>
      <c r="D9" s="34">
        <v>1</v>
      </c>
      <c r="E9" s="95"/>
      <c r="F9" s="95"/>
      <c r="G9" s="95"/>
      <c r="H9" s="95"/>
      <c r="I9" s="36" t="s">
        <v>75</v>
      </c>
      <c r="J9" s="108"/>
    </row>
    <row r="10" spans="1:10" ht="16.5" x14ac:dyDescent="0.25">
      <c r="A10" s="19" t="s">
        <v>434</v>
      </c>
      <c r="B10" s="19" t="s">
        <v>435</v>
      </c>
      <c r="C10" s="34" t="s">
        <v>428</v>
      </c>
      <c r="D10" s="34">
        <v>2</v>
      </c>
      <c r="E10" s="95"/>
      <c r="F10" s="95"/>
      <c r="G10" s="95"/>
      <c r="H10" s="95"/>
      <c r="I10" s="36" t="s">
        <v>75</v>
      </c>
      <c r="J10" s="108"/>
    </row>
    <row r="11" spans="1:10" ht="16.5" x14ac:dyDescent="0.25">
      <c r="A11" s="19" t="s">
        <v>436</v>
      </c>
      <c r="B11" s="19" t="s">
        <v>437</v>
      </c>
      <c r="C11" s="34" t="s">
        <v>428</v>
      </c>
      <c r="D11" s="34">
        <v>2</v>
      </c>
      <c r="E11" s="95"/>
      <c r="F11" s="95"/>
      <c r="G11" s="95"/>
      <c r="H11" s="95"/>
      <c r="I11" s="36" t="s">
        <v>75</v>
      </c>
      <c r="J11" s="65"/>
    </row>
    <row r="12" spans="1:10" ht="16.5" x14ac:dyDescent="0.25">
      <c r="A12" s="19" t="s">
        <v>438</v>
      </c>
      <c r="B12" s="19" t="s">
        <v>439</v>
      </c>
      <c r="C12" s="34" t="s">
        <v>428</v>
      </c>
      <c r="D12" s="34">
        <v>4</v>
      </c>
      <c r="E12" s="95"/>
      <c r="F12" s="95"/>
      <c r="G12" s="95"/>
      <c r="H12" s="95"/>
      <c r="I12" s="36" t="s">
        <v>75</v>
      </c>
      <c r="J12" s="65"/>
    </row>
    <row r="13" spans="1:10" ht="16.5" x14ac:dyDescent="0.25">
      <c r="A13" s="19" t="s">
        <v>440</v>
      </c>
      <c r="B13" s="19" t="s">
        <v>441</v>
      </c>
      <c r="C13" s="34" t="s">
        <v>428</v>
      </c>
      <c r="D13" s="34">
        <v>2</v>
      </c>
      <c r="E13" s="95"/>
      <c r="F13" s="95"/>
      <c r="G13" s="95"/>
      <c r="H13" s="95"/>
      <c r="I13" s="36" t="s">
        <v>75</v>
      </c>
      <c r="J13" s="65"/>
    </row>
  </sheetData>
  <mergeCells count="12">
    <mergeCell ref="A2:J2"/>
    <mergeCell ref="E3:E5"/>
    <mergeCell ref="F3:F5"/>
    <mergeCell ref="G3:G5"/>
    <mergeCell ref="H3:H5"/>
    <mergeCell ref="J3:J5"/>
    <mergeCell ref="A6:J6"/>
    <mergeCell ref="E7:E13"/>
    <mergeCell ref="F7:F13"/>
    <mergeCell ref="G7:G13"/>
    <mergeCell ref="H7:H13"/>
    <mergeCell ref="J8:J10"/>
  </mergeCells>
  <dataValidations count="2">
    <dataValidation operator="equal" allowBlank="1" showErrorMessage="1" promptTitle="Материал" prompt="АКП - алюмокомпозит. Пластиковый лист,_x000a_обклеенный тонкими листами алюминия с двух_x000a_сторон. Лёгкий, достаточно прочный и жёсткий,_x000a_относительно дешёвый._x000a__x000a_АМг2 - алюминиевый сплав. Дороже, тяжелее, но_x000a_жёстче._x000a__x000a_ПК - поликарбонат. Прозрачный, достаточно прочный" sqref="A1:J1 A2:I13" xr:uid="{00000000-0002-0000-0600-000000000000}">
      <formula1>0</formula1>
      <formula2>0</formula2>
    </dataValidation>
    <dataValidation operator="equal" allowBlank="1" showInputMessage="1" showErrorMessage="1" promptTitle="Материал" prompt="АКП - алюмокомпозит. Пластиковый лист,_x000a_обклеенный тонкими листами алюминия с двух_x000a_сторон. Лёгкий, достаточно прочный и жёсткий,_x000a_относительно дешёвый._x000a__x000a_АМг2 - алюминиевый сплав. Дороже, тяжелее, но_x000a_жёстче._x000a__x000a_ПК - поликарбонат. Прозрачный, достаточно прочный" sqref="C14:C1013" xr:uid="{00000000-0002-0000-0600-000001000000}">
      <formula1>0</formula1>
      <formula2>0</formula2>
    </dataValidation>
  </dataValidations>
  <hyperlinks>
    <hyperlink ref="I3" r:id="rId1" xr:uid="{00000000-0004-0000-0600-000000000000}"/>
    <hyperlink ref="I4" r:id="rId2" xr:uid="{00000000-0004-0000-0600-000001000000}"/>
    <hyperlink ref="I5" r:id="rId3" xr:uid="{00000000-0004-0000-0600-000002000000}"/>
    <hyperlink ref="I7" r:id="rId4" xr:uid="{00000000-0004-0000-0600-000003000000}"/>
    <hyperlink ref="I8" r:id="rId5" xr:uid="{00000000-0004-0000-0600-000004000000}"/>
    <hyperlink ref="I9" r:id="rId6" xr:uid="{00000000-0004-0000-0600-000005000000}"/>
    <hyperlink ref="I10" r:id="rId7" xr:uid="{00000000-0004-0000-0600-000006000000}"/>
    <hyperlink ref="I11" r:id="rId8" xr:uid="{00000000-0004-0000-0600-000007000000}"/>
    <hyperlink ref="I12" r:id="rId9" xr:uid="{00000000-0004-0000-0600-000008000000}"/>
    <hyperlink ref="I13" r:id="rId10" xr:uid="{00000000-0004-0000-0600-000009000000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Лист6"/>
  <dimension ref="A1:M21"/>
  <sheetViews>
    <sheetView zoomScaleNormal="100" workbookViewId="0">
      <selection activeCell="K11" sqref="K11"/>
    </sheetView>
  </sheetViews>
  <sheetFormatPr defaultColWidth="10.625" defaultRowHeight="13.5" x14ac:dyDescent="0.25"/>
  <cols>
    <col min="1" max="1" width="34.125" style="1" customWidth="1"/>
    <col min="2" max="4" width="10.625" style="9" hidden="1" customWidth="1"/>
    <col min="5" max="5" width="5.25" style="9" hidden="1" customWidth="1"/>
    <col min="6" max="6" width="10.625" style="68" hidden="1" customWidth="1"/>
    <col min="7" max="7" width="10.625" style="9" customWidth="1"/>
    <col min="8" max="8" width="8.25" style="74" customWidth="1"/>
    <col min="9" max="10" width="10.625" style="72" hidden="1" customWidth="1"/>
    <col min="11" max="11" width="10.625" style="72" customWidth="1"/>
    <col min="12" max="12" width="9.375" style="9" customWidth="1"/>
    <col min="13" max="13" width="87.5" style="2" customWidth="1"/>
    <col min="14" max="16384" width="10.625" style="2"/>
  </cols>
  <sheetData>
    <row r="1" spans="1:13" ht="12.75" customHeight="1" x14ac:dyDescent="0.25">
      <c r="A1" s="88" t="s">
        <v>32</v>
      </c>
      <c r="B1" s="88" t="s">
        <v>384</v>
      </c>
      <c r="C1" s="88" t="s">
        <v>33</v>
      </c>
      <c r="D1" s="88" t="s">
        <v>34</v>
      </c>
      <c r="E1" s="88" t="s">
        <v>35</v>
      </c>
      <c r="F1" s="114" t="s">
        <v>385</v>
      </c>
      <c r="G1" s="116" t="s">
        <v>386</v>
      </c>
      <c r="H1" s="111" t="s">
        <v>387</v>
      </c>
      <c r="I1" s="113" t="s">
        <v>388</v>
      </c>
      <c r="J1" s="113" t="s">
        <v>37</v>
      </c>
      <c r="K1" s="113" t="s">
        <v>38</v>
      </c>
      <c r="L1" s="88" t="s">
        <v>39</v>
      </c>
      <c r="M1" s="88" t="s">
        <v>1</v>
      </c>
    </row>
    <row r="2" spans="1:13" ht="16.5" x14ac:dyDescent="0.25">
      <c r="A2" s="88"/>
      <c r="B2" s="16" t="s">
        <v>3</v>
      </c>
      <c r="C2" s="16" t="s">
        <v>389</v>
      </c>
      <c r="D2" s="16" t="s">
        <v>390</v>
      </c>
      <c r="E2" s="88"/>
      <c r="F2" s="115"/>
      <c r="G2" s="88"/>
      <c r="H2" s="112"/>
      <c r="I2" s="70" t="s">
        <v>391</v>
      </c>
      <c r="J2" s="70" t="s">
        <v>392</v>
      </c>
      <c r="K2" s="70" t="s">
        <v>393</v>
      </c>
      <c r="L2" s="88"/>
      <c r="M2" s="88"/>
    </row>
    <row r="3" spans="1:13" ht="16.5" x14ac:dyDescent="0.25">
      <c r="A3" s="88" t="s">
        <v>394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</row>
    <row r="4" spans="1:13" ht="12.75" customHeight="1" x14ac:dyDescent="0.25">
      <c r="A4" s="19" t="s">
        <v>395</v>
      </c>
      <c r="B4" s="34">
        <v>11900</v>
      </c>
      <c r="C4" s="34">
        <v>13000</v>
      </c>
      <c r="D4" s="34">
        <v>14500</v>
      </c>
      <c r="E4" s="34">
        <v>1</v>
      </c>
      <c r="F4" s="67">
        <v>1.1000000000000001</v>
      </c>
      <c r="G4" s="34">
        <f>ROUNDUP(_xlfn.IFS(Настройки!$B$2="M",B4,Настройки!$B$2="L",C4,Настройки!$B$2="XL",D4)*F4*E4,-3)</f>
        <v>14000</v>
      </c>
      <c r="H4" s="73">
        <f>Настройки!$B$11/Константы!$B$1</f>
        <v>1</v>
      </c>
      <c r="I4" s="69">
        <f>29/1000</f>
        <v>2.9000000000000001E-2</v>
      </c>
      <c r="J4" s="69">
        <f>I4*H4*E4</f>
        <v>2.9000000000000001E-2</v>
      </c>
      <c r="K4" s="71">
        <f>J4*G4</f>
        <v>406</v>
      </c>
      <c r="L4" s="36" t="s">
        <v>41</v>
      </c>
      <c r="M4" s="109" t="s">
        <v>396</v>
      </c>
    </row>
    <row r="5" spans="1:13" ht="16.5" x14ac:dyDescent="0.25">
      <c r="A5" s="19" t="s">
        <v>397</v>
      </c>
      <c r="B5" s="34">
        <v>4000</v>
      </c>
      <c r="C5" s="34">
        <f>B5+500</f>
        <v>4500</v>
      </c>
      <c r="D5" s="34">
        <f>C5+600</f>
        <v>5100</v>
      </c>
      <c r="E5" s="34">
        <v>1</v>
      </c>
      <c r="F5" s="67">
        <v>1.1000000000000001</v>
      </c>
      <c r="G5" s="34">
        <f>ROUNDUP(_xlfn.IFS(Настройки!$B$2="M",B5,Настройки!$B$2="L",C5,Настройки!$B$2="XL",D5)*F5*E5,-3)</f>
        <v>5000</v>
      </c>
      <c r="H5" s="73">
        <f>Настройки!$B$11/Константы!$B$1</f>
        <v>1</v>
      </c>
      <c r="I5" s="69">
        <f>40/1000</f>
        <v>0.04</v>
      </c>
      <c r="J5" s="69">
        <f>I5*H5*E5</f>
        <v>0.04</v>
      </c>
      <c r="K5" s="71">
        <f>J5*G5</f>
        <v>200</v>
      </c>
      <c r="L5" s="36" t="s">
        <v>41</v>
      </c>
      <c r="M5" s="109"/>
    </row>
    <row r="6" spans="1:13" ht="16.5" x14ac:dyDescent="0.3">
      <c r="A6" s="19" t="s">
        <v>398</v>
      </c>
      <c r="B6" s="34">
        <v>500</v>
      </c>
      <c r="C6" s="34">
        <v>500</v>
      </c>
      <c r="D6" s="34">
        <v>500</v>
      </c>
      <c r="E6" s="34">
        <v>1</v>
      </c>
      <c r="F6" s="67">
        <v>1.1000000000000001</v>
      </c>
      <c r="G6" s="34">
        <f>_xlfn.IFS(Настройки!$B$2="M",B6,Настройки!$B$2="L",C6,Настройки!$B$2="XL",D6)*E6</f>
        <v>500</v>
      </c>
      <c r="H6" s="73">
        <f>Настройки!$B$11/Константы!$B$1</f>
        <v>1</v>
      </c>
      <c r="I6" s="69">
        <f>200/1000</f>
        <v>0.2</v>
      </c>
      <c r="J6" s="69">
        <f>I6*H6*E6</f>
        <v>0.2</v>
      </c>
      <c r="K6" s="71">
        <f>J6*G6</f>
        <v>100</v>
      </c>
      <c r="L6" s="36" t="s">
        <v>41</v>
      </c>
      <c r="M6" s="76"/>
    </row>
    <row r="7" spans="1:13" ht="16.5" x14ac:dyDescent="0.25">
      <c r="A7" s="19" t="s">
        <v>398</v>
      </c>
      <c r="B7" s="34">
        <v>3000</v>
      </c>
      <c r="C7" s="34">
        <v>5000</v>
      </c>
      <c r="D7" s="34">
        <v>5000</v>
      </c>
      <c r="E7" s="34">
        <v>1</v>
      </c>
      <c r="F7" s="67">
        <v>1.1000000000000001</v>
      </c>
      <c r="G7" s="34">
        <f>_xlfn.IFS(Настройки!$B$2="M",B7,Настройки!$B$2="L",C7,Настройки!$B$2="XL",D7)*E7</f>
        <v>3000</v>
      </c>
      <c r="H7" s="73">
        <f>Настройки!$B$11/Константы!$B$1</f>
        <v>1</v>
      </c>
      <c r="I7" s="69">
        <f>200/1000</f>
        <v>0.2</v>
      </c>
      <c r="J7" s="69">
        <f>I7*H7*E7</f>
        <v>0.2</v>
      </c>
      <c r="K7" s="71">
        <f>J7*G7</f>
        <v>600</v>
      </c>
      <c r="L7" s="36" t="s">
        <v>41</v>
      </c>
      <c r="M7" s="110" t="s">
        <v>399</v>
      </c>
    </row>
    <row r="8" spans="1:13" ht="16.5" x14ac:dyDescent="0.25">
      <c r="A8" s="19" t="s">
        <v>400</v>
      </c>
      <c r="B8" s="34">
        <v>3000</v>
      </c>
      <c r="C8" s="34">
        <v>5000</v>
      </c>
      <c r="D8" s="34">
        <v>5000</v>
      </c>
      <c r="E8" s="34">
        <v>1</v>
      </c>
      <c r="F8" s="67">
        <v>1.1000000000000001</v>
      </c>
      <c r="G8" s="34">
        <f>_xlfn.IFS(Настройки!$B$2="M",B8,Настройки!$B$2="L",C8,Настройки!$B$2="XL",D8)*E8</f>
        <v>3000</v>
      </c>
      <c r="H8" s="73">
        <f>Настройки!$B$11/Константы!$B$1</f>
        <v>1</v>
      </c>
      <c r="I8" s="69">
        <f>1000/3000</f>
        <v>0.33333333333333331</v>
      </c>
      <c r="J8" s="69">
        <f>I8*H8*E8</f>
        <v>0.33333333333333331</v>
      </c>
      <c r="K8" s="71">
        <f>J8*G8</f>
        <v>1000</v>
      </c>
      <c r="L8" s="36" t="s">
        <v>41</v>
      </c>
      <c r="M8" s="110"/>
    </row>
    <row r="9" spans="1:13" ht="16.5" x14ac:dyDescent="0.25">
      <c r="A9" s="88" t="s">
        <v>401</v>
      </c>
      <c r="B9" s="88"/>
      <c r="C9" s="88"/>
      <c r="D9" s="88"/>
      <c r="E9" s="88"/>
      <c r="F9" s="88"/>
      <c r="G9" s="88"/>
      <c r="H9" s="88"/>
      <c r="I9" s="88"/>
      <c r="J9" s="88"/>
      <c r="K9" s="88"/>
      <c r="L9" s="88"/>
      <c r="M9" s="88"/>
    </row>
    <row r="10" spans="1:13" ht="16.5" x14ac:dyDescent="0.3">
      <c r="A10" s="19" t="s">
        <v>402</v>
      </c>
      <c r="B10" s="34">
        <v>6</v>
      </c>
      <c r="C10" s="34">
        <v>6</v>
      </c>
      <c r="D10" s="34">
        <v>6</v>
      </c>
      <c r="E10" s="34">
        <v>1</v>
      </c>
      <c r="F10" s="67">
        <v>1.1000000000000001</v>
      </c>
      <c r="G10" s="34">
        <f>ROUNDUP(_xlfn.IFS(Настройки!$B$2="M",B10,Настройки!$B$2="L",C10,Настройки!$B$2="XL",D10)*F10,0)*E10</f>
        <v>7</v>
      </c>
      <c r="H10" s="73">
        <f>Настройки!$B$11/Константы!$B$1</f>
        <v>1</v>
      </c>
      <c r="I10" s="69">
        <f>64/50</f>
        <v>1.28</v>
      </c>
      <c r="J10" s="69">
        <f t="shared" ref="J10:J21" si="0">I10*H10</f>
        <v>1.28</v>
      </c>
      <c r="K10" s="69">
        <f t="shared" ref="K10:K21" si="1">J10*G10</f>
        <v>8.9600000000000009</v>
      </c>
      <c r="L10" s="36" t="s">
        <v>41</v>
      </c>
      <c r="M10" s="66"/>
    </row>
    <row r="11" spans="1:13" ht="16.5" x14ac:dyDescent="0.3">
      <c r="A11" s="19" t="s">
        <v>403</v>
      </c>
      <c r="B11" s="34">
        <v>4</v>
      </c>
      <c r="C11" s="34">
        <v>4</v>
      </c>
      <c r="D11" s="34">
        <v>4</v>
      </c>
      <c r="E11" s="34">
        <v>1</v>
      </c>
      <c r="F11" s="67">
        <v>1.1000000000000001</v>
      </c>
      <c r="G11" s="34">
        <f>ROUNDUP(_xlfn.IFS(Настройки!$B$2="M",B11,Настройки!$B$2="L",C11,Настройки!$B$2="XL",D11)*F11,0)*E11</f>
        <v>5</v>
      </c>
      <c r="H11" s="73">
        <f>Настройки!$B$11/Константы!$B$1</f>
        <v>1</v>
      </c>
      <c r="I11" s="69">
        <f>61/50</f>
        <v>1.22</v>
      </c>
      <c r="J11" s="69">
        <f t="shared" si="0"/>
        <v>1.22</v>
      </c>
      <c r="K11" s="69">
        <f t="shared" si="1"/>
        <v>6.1</v>
      </c>
      <c r="L11" s="36" t="s">
        <v>41</v>
      </c>
      <c r="M11" s="66"/>
    </row>
    <row r="12" spans="1:13" ht="16.5" x14ac:dyDescent="0.3">
      <c r="A12" s="19" t="s">
        <v>404</v>
      </c>
      <c r="B12" s="34">
        <v>7</v>
      </c>
      <c r="C12" s="34">
        <v>7</v>
      </c>
      <c r="D12" s="34">
        <v>7</v>
      </c>
      <c r="E12" s="34">
        <v>1</v>
      </c>
      <c r="F12" s="67">
        <v>1.1000000000000001</v>
      </c>
      <c r="G12" s="34">
        <f>ROUNDUP(_xlfn.IFS(Настройки!$B$2="M",B12,Настройки!$B$2="L",C12,Настройки!$B$2="XL",D12)*F12,0)*E12</f>
        <v>8</v>
      </c>
      <c r="H12" s="73">
        <f>Настройки!$B$11/Константы!$B$1</f>
        <v>1</v>
      </c>
      <c r="I12" s="69">
        <f>67/50</f>
        <v>1.34</v>
      </c>
      <c r="J12" s="69">
        <f t="shared" si="0"/>
        <v>1.34</v>
      </c>
      <c r="K12" s="71">
        <f t="shared" si="1"/>
        <v>10.72</v>
      </c>
      <c r="L12" s="36" t="s">
        <v>41</v>
      </c>
      <c r="M12" s="66"/>
    </row>
    <row r="13" spans="1:13" ht="16.5" x14ac:dyDescent="0.3">
      <c r="A13" s="19" t="s">
        <v>405</v>
      </c>
      <c r="B13" s="34">
        <v>1</v>
      </c>
      <c r="C13" s="34">
        <v>1</v>
      </c>
      <c r="D13" s="34">
        <v>1</v>
      </c>
      <c r="E13" s="34">
        <v>1</v>
      </c>
      <c r="F13" s="67">
        <v>1.1000000000000001</v>
      </c>
      <c r="G13" s="34">
        <f>ROUNDUP(_xlfn.IFS(Настройки!$B$2="M",B13,Настройки!$B$2="L",C13,Настройки!$B$2="XL",D13)*F13,0)*E13</f>
        <v>2</v>
      </c>
      <c r="H13" s="73">
        <f>Настройки!$B$11/Константы!$B$1</f>
        <v>1</v>
      </c>
      <c r="I13" s="69">
        <f>74/50</f>
        <v>1.48</v>
      </c>
      <c r="J13" s="69">
        <f t="shared" si="0"/>
        <v>1.48</v>
      </c>
      <c r="K13" s="69">
        <f t="shared" si="1"/>
        <v>2.96</v>
      </c>
      <c r="L13" s="36" t="s">
        <v>41</v>
      </c>
      <c r="M13" s="66"/>
    </row>
    <row r="14" spans="1:13" ht="16.5" x14ac:dyDescent="0.3">
      <c r="A14" s="19" t="s">
        <v>406</v>
      </c>
      <c r="B14" s="34">
        <f>ROUNDUP(B10*2+B11*3+B12*4+B13*5,-2)/100</f>
        <v>1</v>
      </c>
      <c r="C14" s="34">
        <f>ROUNDUP(C10*2+C11*3+C12*4+C13*5,-2)/100</f>
        <v>1</v>
      </c>
      <c r="D14" s="34">
        <f>ROUNDUP(D10*2+D11*3+D12*4+D13*5,-2)/100</f>
        <v>1</v>
      </c>
      <c r="E14" s="34">
        <v>1</v>
      </c>
      <c r="F14" s="67">
        <v>1.1000000000000001</v>
      </c>
      <c r="G14" s="34">
        <f>ROUNDUP(_xlfn.IFS(Настройки!$B$2="M",B14,Настройки!$B$2="L",C14,Настройки!$B$2="XL",D14)*F14,0)*E14</f>
        <v>2</v>
      </c>
      <c r="H14" s="73">
        <f>Настройки!$B$11/Константы!$B$1</f>
        <v>1</v>
      </c>
      <c r="I14" s="71">
        <v>77</v>
      </c>
      <c r="J14" s="71">
        <f t="shared" si="0"/>
        <v>77</v>
      </c>
      <c r="K14" s="71">
        <f t="shared" si="1"/>
        <v>154</v>
      </c>
      <c r="L14" s="36" t="s">
        <v>41</v>
      </c>
      <c r="M14" s="66"/>
    </row>
    <row r="15" spans="1:13" ht="16.5" x14ac:dyDescent="0.3">
      <c r="A15" s="19" t="s">
        <v>407</v>
      </c>
      <c r="B15" s="34">
        <v>4</v>
      </c>
      <c r="C15" s="34">
        <v>4</v>
      </c>
      <c r="D15" s="34">
        <v>4</v>
      </c>
      <c r="E15" s="34">
        <v>1</v>
      </c>
      <c r="F15" s="67">
        <v>1.1000000000000001</v>
      </c>
      <c r="G15" s="34">
        <f>ROUNDUP(_xlfn.IFS(Настройки!$B$2="M",B15,Настройки!$B$2="L",C15,Настройки!$B$2="XL",D15)*F15,0)*E15</f>
        <v>5</v>
      </c>
      <c r="H15" s="73">
        <f>Настройки!$B$11/Константы!$B$1</f>
        <v>1</v>
      </c>
      <c r="I15" s="69">
        <f>(34+19)/50</f>
        <v>1.06</v>
      </c>
      <c r="J15" s="69">
        <f t="shared" si="0"/>
        <v>1.06</v>
      </c>
      <c r="K15" s="69">
        <f t="shared" si="1"/>
        <v>5.3000000000000007</v>
      </c>
      <c r="L15" s="36" t="s">
        <v>41</v>
      </c>
      <c r="M15" s="66"/>
    </row>
    <row r="16" spans="1:13" ht="16.5" x14ac:dyDescent="0.3">
      <c r="A16" s="19" t="s">
        <v>408</v>
      </c>
      <c r="B16" s="34">
        <v>2</v>
      </c>
      <c r="C16" s="34">
        <v>2</v>
      </c>
      <c r="D16" s="34">
        <v>2</v>
      </c>
      <c r="E16" s="34">
        <v>1</v>
      </c>
      <c r="F16" s="67">
        <v>1.1000000000000001</v>
      </c>
      <c r="G16" s="34">
        <f>ROUNDUP(_xlfn.IFS(Настройки!$B$2="M",B16,Настройки!$B$2="L",C16,Настройки!$B$2="XL",D16)*F16,0)*E16</f>
        <v>3</v>
      </c>
      <c r="H16" s="73">
        <f>Настройки!$B$11/Константы!$B$1</f>
        <v>1</v>
      </c>
      <c r="I16" s="69">
        <f>(36+19)/50</f>
        <v>1.1000000000000001</v>
      </c>
      <c r="J16" s="69">
        <f t="shared" si="0"/>
        <v>1.1000000000000001</v>
      </c>
      <c r="K16" s="69">
        <f t="shared" si="1"/>
        <v>3.3000000000000003</v>
      </c>
      <c r="L16" s="36" t="s">
        <v>41</v>
      </c>
      <c r="M16" s="66"/>
    </row>
    <row r="17" spans="1:13" ht="16.5" x14ac:dyDescent="0.3">
      <c r="A17" s="19" t="s">
        <v>409</v>
      </c>
      <c r="B17" s="34">
        <v>2</v>
      </c>
      <c r="C17" s="34">
        <v>2</v>
      </c>
      <c r="D17" s="34">
        <v>2</v>
      </c>
      <c r="E17" s="34">
        <v>1</v>
      </c>
      <c r="F17" s="67">
        <v>1.1000000000000001</v>
      </c>
      <c r="G17" s="34">
        <f>ROUNDUP(_xlfn.IFS(Настройки!$B$2="M",B17,Настройки!$B$2="L",C17,Настройки!$B$2="XL",D17)*F17,0)*E17</f>
        <v>3</v>
      </c>
      <c r="H17" s="73">
        <f>Настройки!$B$11/Константы!$B$1</f>
        <v>1</v>
      </c>
      <c r="I17" s="69">
        <f>(39+19)/50</f>
        <v>1.1599999999999999</v>
      </c>
      <c r="J17" s="69">
        <f t="shared" si="0"/>
        <v>1.1599999999999999</v>
      </c>
      <c r="K17" s="69">
        <f t="shared" si="1"/>
        <v>3.4799999999999995</v>
      </c>
      <c r="L17" s="36" t="s">
        <v>41</v>
      </c>
      <c r="M17" s="66"/>
    </row>
    <row r="18" spans="1:13" ht="16.5" x14ac:dyDescent="0.3">
      <c r="A18" s="19" t="s">
        <v>410</v>
      </c>
      <c r="B18" s="34">
        <f>ROUNDUP(B14*2+B15*3+B16*4+B17*5,-2)/100</f>
        <v>1</v>
      </c>
      <c r="C18" s="34">
        <f>ROUNDUP(C14*2+C15*3+C16*4+C17*5,-2)/100</f>
        <v>1</v>
      </c>
      <c r="D18" s="34">
        <f>ROUNDUP(D14*2+D15*3+D16*4+D17*5,-2)/100</f>
        <v>1</v>
      </c>
      <c r="E18" s="34">
        <v>1</v>
      </c>
      <c r="F18" s="67">
        <v>1.1000000000000001</v>
      </c>
      <c r="G18" s="34">
        <f>ROUNDUP(_xlfn.IFS(Настройки!$B$2="M",B18,Настройки!$B$2="L",C18,Настройки!$B$2="XL",D18)*F18,0)*E18</f>
        <v>2</v>
      </c>
      <c r="H18" s="73">
        <f>Настройки!$B$11/Константы!$B$1</f>
        <v>1</v>
      </c>
      <c r="I18" s="71">
        <v>116</v>
      </c>
      <c r="J18" s="71">
        <f t="shared" si="0"/>
        <v>116</v>
      </c>
      <c r="K18" s="71">
        <f t="shared" si="1"/>
        <v>232</v>
      </c>
      <c r="L18" s="36" t="s">
        <v>41</v>
      </c>
      <c r="M18" s="66"/>
    </row>
    <row r="19" spans="1:13" ht="16.5" x14ac:dyDescent="0.3">
      <c r="A19" s="19" t="s">
        <v>531</v>
      </c>
      <c r="B19" s="53">
        <v>2</v>
      </c>
      <c r="C19" s="53">
        <v>2</v>
      </c>
      <c r="D19" s="53">
        <v>2</v>
      </c>
      <c r="E19" s="53">
        <v>1</v>
      </c>
      <c r="F19" s="67">
        <v>1.1000000000000001</v>
      </c>
      <c r="G19" s="53">
        <f>ROUNDUP(_xlfn.IFS(Настройки!$B$2="M",B19,Настройки!$B$2="L",C19,Настройки!$B$2="XL",D19)*F19,0)*E19</f>
        <v>3</v>
      </c>
      <c r="H19" s="73">
        <f>Настройки!$B$11/Константы!$B$1</f>
        <v>1</v>
      </c>
      <c r="I19" s="71">
        <v>123</v>
      </c>
      <c r="J19" s="71">
        <f t="shared" ref="J19:J20" si="2">I19*H19</f>
        <v>123</v>
      </c>
      <c r="K19" s="71">
        <f t="shared" ref="K19:K20" si="3">J19*G19</f>
        <v>369</v>
      </c>
      <c r="L19" s="36" t="s">
        <v>41</v>
      </c>
      <c r="M19" s="66" t="s">
        <v>533</v>
      </c>
    </row>
    <row r="20" spans="1:13" ht="16.5" x14ac:dyDescent="0.3">
      <c r="A20" s="19" t="s">
        <v>532</v>
      </c>
      <c r="B20" s="53">
        <v>1</v>
      </c>
      <c r="C20" s="53">
        <v>1</v>
      </c>
      <c r="D20" s="53">
        <v>1</v>
      </c>
      <c r="E20" s="53">
        <v>1</v>
      </c>
      <c r="F20" s="67">
        <v>1.1000000000000001</v>
      </c>
      <c r="G20" s="53">
        <f>ROUNDUP(_xlfn.IFS(Настройки!$B$2="M",B20,Настройки!$B$2="L",C20,Настройки!$B$2="XL",D20)*F20,0)*E20</f>
        <v>2</v>
      </c>
      <c r="H20" s="73">
        <f>Настройки!$B$11/Константы!$B$1</f>
        <v>1</v>
      </c>
      <c r="I20" s="71">
        <v>123</v>
      </c>
      <c r="J20" s="71">
        <f t="shared" si="2"/>
        <v>123</v>
      </c>
      <c r="K20" s="71">
        <f t="shared" si="3"/>
        <v>246</v>
      </c>
      <c r="L20" s="36" t="s">
        <v>41</v>
      </c>
      <c r="M20" s="66" t="s">
        <v>534</v>
      </c>
    </row>
    <row r="21" spans="1:13" ht="33" x14ac:dyDescent="0.3">
      <c r="A21" s="19" t="s">
        <v>411</v>
      </c>
      <c r="B21" s="34">
        <v>1</v>
      </c>
      <c r="C21" s="34">
        <v>1</v>
      </c>
      <c r="D21" s="34">
        <v>1</v>
      </c>
      <c r="E21" s="34">
        <v>1</v>
      </c>
      <c r="F21" s="67">
        <v>1.1000000000000001</v>
      </c>
      <c r="G21" s="34">
        <f>ROUNDUP(_xlfn.IFS(Настройки!$B$2="M",B21,Настройки!$B$2="L",C21,Настройки!$B$2="XL",D21)*F21,0)*E21</f>
        <v>2</v>
      </c>
      <c r="H21" s="73">
        <f>Настройки!$B$11/Константы!$B$1</f>
        <v>1</v>
      </c>
      <c r="I21" s="71">
        <v>155</v>
      </c>
      <c r="J21" s="71">
        <f t="shared" si="0"/>
        <v>155</v>
      </c>
      <c r="K21" s="71">
        <f t="shared" si="1"/>
        <v>310</v>
      </c>
      <c r="L21" s="36" t="s">
        <v>41</v>
      </c>
      <c r="M21" s="77" t="s">
        <v>412</v>
      </c>
    </row>
  </sheetData>
  <mergeCells count="13">
    <mergeCell ref="M4:M5"/>
    <mergeCell ref="M7:M8"/>
    <mergeCell ref="A9:M9"/>
    <mergeCell ref="H1:H2"/>
    <mergeCell ref="I1:K1"/>
    <mergeCell ref="L1:L2"/>
    <mergeCell ref="M1:M2"/>
    <mergeCell ref="A3:M3"/>
    <mergeCell ref="A1:A2"/>
    <mergeCell ref="B1:D1"/>
    <mergeCell ref="E1:E2"/>
    <mergeCell ref="F1:F2"/>
    <mergeCell ref="G1:G2"/>
  </mergeCells>
  <dataValidations count="4">
    <dataValidation operator="equal" allowBlank="1" showErrorMessage="1" sqref="A1:M2 A3:L21" xr:uid="{00000000-0002-0000-0500-000000000000}">
      <formula1>0</formula1>
      <formula2>0</formula2>
    </dataValidation>
    <dataValidation operator="equal" allowBlank="1" showInputMessage="1" showErrorMessage="1" promptTitle="Единиц / Длина" prompt="Для товаров, продающихся поштучно - количетство_x000a_единиц этого товара._x000a__x000a_Для товаров, продающихся погонажно - длина в_x000a_миллиметрах." sqref="G22:G1021" xr:uid="{00000000-0002-0000-0500-000001000000}">
      <formula1>0</formula1>
      <formula2>0</formula2>
    </dataValidation>
    <dataValidation operator="equal" allowBlank="1" showInputMessage="1" showErrorMessage="1" promptTitle="Цена итого" prompt="Суммарная цена всех единиц товара._x000a__x000a_Изменение значений в этом столбце влияет на_x000a_расчёт общей стоимости принтера." sqref="K22:K1021" xr:uid="{00000000-0002-0000-0500-000002000000}">
      <formula1>0</formula1>
      <formula2>0</formula2>
    </dataValidation>
    <dataValidation operator="equal" allowBlank="1" showInputMessage="1" showErrorMessage="1" promptTitle="Ссылки" prompt="Ссылки даны для ознакомления. Товары_x000a_подбирались исходя из принципа &quot;максимальное_x000a_качество за минимальные деньги&quot;. Если какой-то_x000a_товар закончился или не устраивает вас, то вы_x000a_можете заменить его на аналогичный. Главное_x000a_убедиться, что это действительно ана" sqref="L22:L1021" xr:uid="{00000000-0002-0000-0500-000003000000}">
      <formula1>0</formula1>
      <formula2>0</formula2>
    </dataValidation>
  </dataValidations>
  <hyperlinks>
    <hyperlink ref="L4" r:id="rId1" xr:uid="{00000000-0004-0000-0500-000000000000}"/>
    <hyperlink ref="L5" r:id="rId2" xr:uid="{00000000-0004-0000-0500-000001000000}"/>
    <hyperlink ref="L6" r:id="rId3" xr:uid="{00000000-0004-0000-0500-000002000000}"/>
    <hyperlink ref="L7" r:id="rId4" xr:uid="{00000000-0004-0000-0500-000003000000}"/>
    <hyperlink ref="L8" r:id="rId5" xr:uid="{00000000-0004-0000-0500-000004000000}"/>
    <hyperlink ref="L10" r:id="rId6" xr:uid="{00000000-0004-0000-0500-000005000000}"/>
    <hyperlink ref="L11" r:id="rId7" xr:uid="{00000000-0004-0000-0500-000006000000}"/>
    <hyperlink ref="L12" r:id="rId8" xr:uid="{00000000-0004-0000-0500-000007000000}"/>
    <hyperlink ref="L13" r:id="rId9" xr:uid="{00000000-0004-0000-0500-000008000000}"/>
    <hyperlink ref="L14" r:id="rId10" xr:uid="{00000000-0004-0000-0500-000009000000}"/>
    <hyperlink ref="L15" r:id="rId11" xr:uid="{00000000-0004-0000-0500-00000A000000}"/>
    <hyperlink ref="L16" r:id="rId12" xr:uid="{00000000-0004-0000-0500-00000B000000}"/>
    <hyperlink ref="L17" r:id="rId13" xr:uid="{00000000-0004-0000-0500-00000C000000}"/>
    <hyperlink ref="L18" r:id="rId14" xr:uid="{00000000-0004-0000-0500-00000D000000}"/>
    <hyperlink ref="L21" r:id="rId15" xr:uid="{00000000-0004-0000-0500-00000E000000}"/>
    <hyperlink ref="L19" r:id="rId16" xr:uid="{F971E781-609B-4964-B7B3-906C3E9BB190}"/>
    <hyperlink ref="L20" r:id="rId17" xr:uid="{AF84EE9D-CF4B-45C8-AEFE-A2E35ADBB818}"/>
  </hyperlink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8"/>
  <dimension ref="A1:B11"/>
  <sheetViews>
    <sheetView zoomScaleNormal="100" workbookViewId="0">
      <selection activeCell="B2" sqref="B2"/>
    </sheetView>
  </sheetViews>
  <sheetFormatPr defaultColWidth="10.625" defaultRowHeight="13.5" x14ac:dyDescent="0.25"/>
  <cols>
    <col min="1" max="1" width="29.25" style="12" customWidth="1"/>
    <col min="5" max="5" width="18.125" customWidth="1"/>
  </cols>
  <sheetData>
    <row r="1" spans="1:2" ht="27" x14ac:dyDescent="0.25">
      <c r="A1" s="12" t="s">
        <v>442</v>
      </c>
      <c r="B1" s="4">
        <v>82</v>
      </c>
    </row>
    <row r="2" spans="1:2" x14ac:dyDescent="0.25">
      <c r="A2" t="s">
        <v>443</v>
      </c>
      <c r="B2">
        <v>1450</v>
      </c>
    </row>
    <row r="3" spans="1:2" x14ac:dyDescent="0.25">
      <c r="A3" t="s">
        <v>444</v>
      </c>
      <c r="B3">
        <v>1636</v>
      </c>
    </row>
    <row r="4" spans="1:2" x14ac:dyDescent="0.25">
      <c r="A4" t="s">
        <v>445</v>
      </c>
      <c r="B4">
        <v>1986</v>
      </c>
    </row>
    <row r="5" spans="1:2" x14ac:dyDescent="0.25">
      <c r="A5" t="s">
        <v>446</v>
      </c>
      <c r="B5">
        <v>2894</v>
      </c>
    </row>
    <row r="6" spans="1:2" x14ac:dyDescent="0.25">
      <c r="A6" t="s">
        <v>447</v>
      </c>
      <c r="B6">
        <v>2380</v>
      </c>
    </row>
    <row r="7" spans="1:2" x14ac:dyDescent="0.25">
      <c r="A7" t="s">
        <v>448</v>
      </c>
      <c r="B7">
        <v>3680</v>
      </c>
    </row>
    <row r="9" spans="1:2" x14ac:dyDescent="0.25">
      <c r="A9" s="12" t="s">
        <v>476</v>
      </c>
    </row>
    <row r="10" spans="1:2" x14ac:dyDescent="0.25">
      <c r="A10" s="12" t="s">
        <v>477</v>
      </c>
    </row>
    <row r="11" spans="1:2" x14ac:dyDescent="0.25">
      <c r="A11" s="12" t="s">
        <v>478</v>
      </c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9"/>
  <dimension ref="A1:D12"/>
  <sheetViews>
    <sheetView zoomScaleNormal="100" workbookViewId="0">
      <selection activeCell="C13" sqref="C13"/>
    </sheetView>
  </sheetViews>
  <sheetFormatPr defaultColWidth="10.625" defaultRowHeight="13.5" x14ac:dyDescent="0.25"/>
  <cols>
    <col min="1" max="1" width="21.375" customWidth="1"/>
  </cols>
  <sheetData>
    <row r="1" spans="1:4" x14ac:dyDescent="0.25">
      <c r="A1" t="s">
        <v>449</v>
      </c>
    </row>
    <row r="2" spans="1:4" x14ac:dyDescent="0.25">
      <c r="A2" t="s">
        <v>450</v>
      </c>
      <c r="B2">
        <f>34+269+16+16+16+306+3+18+52+398+45+70+34</f>
        <v>1277</v>
      </c>
      <c r="C2" s="13">
        <v>1.1000000000000001</v>
      </c>
      <c r="D2">
        <f t="shared" ref="D2:D7" si="0">ROUND(B2*C2,0)</f>
        <v>1405</v>
      </c>
    </row>
    <row r="3" spans="1:4" x14ac:dyDescent="0.25">
      <c r="A3" t="s">
        <v>451</v>
      </c>
      <c r="B3">
        <f>B2+150*3</f>
        <v>1727</v>
      </c>
      <c r="C3" s="13">
        <v>1.1000000000000001</v>
      </c>
      <c r="D3">
        <f t="shared" si="0"/>
        <v>1900</v>
      </c>
    </row>
    <row r="4" spans="1:4" x14ac:dyDescent="0.25">
      <c r="A4" t="s">
        <v>452</v>
      </c>
      <c r="B4">
        <f>B2+3*250</f>
        <v>2027</v>
      </c>
      <c r="C4" s="13">
        <v>1.1000000000000001</v>
      </c>
      <c r="D4">
        <f t="shared" si="0"/>
        <v>2230</v>
      </c>
    </row>
    <row r="5" spans="1:4" x14ac:dyDescent="0.25">
      <c r="A5" t="s">
        <v>453</v>
      </c>
      <c r="B5">
        <f>2341+29+36</f>
        <v>2406</v>
      </c>
      <c r="C5" s="13">
        <v>1.1000000000000001</v>
      </c>
      <c r="D5">
        <f t="shared" si="0"/>
        <v>2647</v>
      </c>
    </row>
    <row r="6" spans="1:4" x14ac:dyDescent="0.25">
      <c r="A6" t="s">
        <v>454</v>
      </c>
      <c r="B6">
        <f>B5+2*150</f>
        <v>2706</v>
      </c>
      <c r="C6" s="13">
        <v>1.1000000000000001</v>
      </c>
      <c r="D6">
        <f t="shared" si="0"/>
        <v>2977</v>
      </c>
    </row>
    <row r="7" spans="1:4" x14ac:dyDescent="0.25">
      <c r="A7" t="s">
        <v>455</v>
      </c>
      <c r="B7">
        <f>B5+2*250</f>
        <v>2906</v>
      </c>
      <c r="C7" s="13">
        <v>1.1000000000000001</v>
      </c>
      <c r="D7">
        <f t="shared" si="0"/>
        <v>3197</v>
      </c>
    </row>
    <row r="8" spans="1:4" x14ac:dyDescent="0.25">
      <c r="C8" s="13"/>
    </row>
    <row r="9" spans="1:4" x14ac:dyDescent="0.25">
      <c r="C9" s="13"/>
    </row>
    <row r="10" spans="1:4" x14ac:dyDescent="0.25">
      <c r="C10" s="13"/>
    </row>
    <row r="11" spans="1:4" x14ac:dyDescent="0.25">
      <c r="C11" s="13"/>
    </row>
    <row r="12" spans="1:4" x14ac:dyDescent="0.25">
      <c r="C12" s="13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&amp;C&amp;"Arial,Обычный"&amp;A</oddHeader>
    <oddFooter>&amp;C&amp;"Arial,Обычный"Page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18528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Настройки</vt:lpstr>
      <vt:lpstr>Покупные изд.</vt:lpstr>
      <vt:lpstr>Стандартные изд.</vt:lpstr>
      <vt:lpstr>Печатные изд.</vt:lpstr>
      <vt:lpstr>Профиль</vt:lpstr>
      <vt:lpstr>Зашивка</vt:lpstr>
      <vt:lpstr>Проводка</vt:lpstr>
      <vt:lpstr>Константы</vt:lpstr>
      <vt:lpstr>Расчёты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dsorkin</dc:creator>
  <dc:description/>
  <cp:lastModifiedBy>Dmitry Sorkin</cp:lastModifiedBy>
  <cp:revision>358</cp:revision>
  <dcterms:created xsi:type="dcterms:W3CDTF">2025-05-09T17:49:55Z</dcterms:created>
  <dcterms:modified xsi:type="dcterms:W3CDTF">2026-09-06T07:02:01Z</dcterms:modified>
  <dc:language>ru-RU</dc:language>
</cp:coreProperties>
</file>